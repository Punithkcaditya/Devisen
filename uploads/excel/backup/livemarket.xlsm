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1730" yWindow="-30" windowWidth="3165" windowHeight="4935"/>
  </bookViews>
  <sheets>
    <sheet name="USDINR" sheetId="4" r:id="rId1"/>
    <sheet name="EURINR" sheetId="5" r:id="rId2"/>
    <sheet name="GBPINR" sheetId="6" r:id="rId3"/>
    <sheet name="JPYINR" sheetId="7" r:id="rId4"/>
    <sheet name="LIBOR" sheetId="8" r:id="rId5"/>
    <sheet name="OHLC" sheetId="10" r:id="rId6"/>
    <sheet name="Currency futures 1 Month" sheetId="11" r:id="rId7"/>
    <sheet name="Currency Futures 2 Month" sheetId="12" r:id="rId8"/>
    <sheet name="Currency Futures 3 Month" sheetId="13" r:id="rId9"/>
    <sheet name="Forward Rates Tab 1USDINR ME" sheetId="14" r:id="rId10"/>
    <sheet name="Forward Rates Tab 2USDINR MW" sheetId="15" r:id="rId11"/>
    <sheet name="Forward Rates Tab 3EURINR ME" sheetId="16" r:id="rId12"/>
    <sheet name="Forward Rates Tab 4GBPINR ME" sheetId="17" r:id="rId13"/>
    <sheet name="Forward Rates Tab 5JPYINR ME" sheetId="18" r:id="rId14"/>
    <sheet name="Forward Rates Tab 6EURUSD MW" sheetId="19" r:id="rId15"/>
    <sheet name="Forward Rates Tab 7GBPUSD MW" sheetId="20" r:id="rId16"/>
    <sheet name="Forward Rates Tab 8USDJPY MW" sheetId="21" r:id="rId17"/>
    <sheet name="Forward Rate Calculator" sheetId="22" r:id="rId18"/>
    <sheet name="Historical Rates" sheetId="23" r:id="rId19"/>
  </sheets>
  <calcPr calcId="144525"/>
</workbook>
</file>

<file path=xl/calcChain.xml><?xml version="1.0" encoding="utf-8"?>
<calcChain xmlns="http://schemas.openxmlformats.org/spreadsheetml/2006/main">
  <c r="B21" i="23" l="1" a="1"/>
  <c r="B20" i="23" a="1"/>
  <c r="E2" i="19" a="1"/>
  <c r="M2" i="20" a="1"/>
  <c r="E1" i="21" a="1"/>
  <c r="G1" i="20" a="1"/>
  <c r="L2" i="16" a="1"/>
  <c r="M1" i="18" a="1"/>
  <c r="D1" i="21" a="1"/>
  <c r="C11" i="15" a="1"/>
  <c r="F2" i="20" a="1"/>
  <c r="I1" i="21" a="1"/>
  <c r="O1" i="20" a="1"/>
  <c r="G1" i="21" a="1"/>
  <c r="N1" i="15" a="1"/>
  <c r="F1" i="18" a="1"/>
  <c r="D1" i="17" a="1"/>
  <c r="H2" i="20" a="1"/>
  <c r="G2" i="19" a="1"/>
  <c r="J2" i="16" a="1"/>
  <c r="M1" i="21" a="1"/>
  <c r="J2" i="20" a="1"/>
  <c r="K1" i="21" a="1"/>
  <c r="M2" i="18" a="1"/>
  <c r="J2" i="17" a="1"/>
  <c r="O1" i="17" a="1"/>
  <c r="F1" i="16" a="1"/>
  <c r="M2" i="14" a="1"/>
  <c r="N1" i="19" a="1"/>
  <c r="L1" i="15" a="1"/>
  <c r="K1" i="19" a="1"/>
  <c r="E1" i="16" a="1"/>
  <c r="D2" i="19" a="1"/>
  <c r="H2" i="19" a="1"/>
  <c r="L1" i="18" a="1"/>
  <c r="K2" i="17" a="1"/>
  <c r="B3" i="5" a="1"/>
  <c r="C8" i="15" a="1"/>
  <c r="O1" i="15" a="1"/>
  <c r="I2" i="21" a="1"/>
  <c r="K1" i="20" a="1"/>
  <c r="C10" i="15" a="1"/>
  <c r="J1" i="20" a="1"/>
  <c r="I1" i="15" a="1"/>
  <c r="O2" i="21" a="1"/>
  <c r="L2" i="19" a="1"/>
  <c r="I1" i="18" a="1"/>
  <c r="D2" i="20" a="1"/>
  <c r="K2" i="15" a="1"/>
  <c r="L1" i="19" a="1"/>
  <c r="C1" i="16" a="1"/>
  <c r="N1" i="20" a="1"/>
  <c r="G2" i="15" a="1"/>
  <c r="H1" i="19" a="1"/>
  <c r="H2" i="15" a="1"/>
  <c r="K2" i="20" a="1"/>
  <c r="L2" i="18" a="1"/>
  <c r="C1" i="18" a="1"/>
  <c r="M2" i="17" a="1"/>
  <c r="M2" i="19" a="1"/>
  <c r="K2" i="16" a="1"/>
  <c r="F1" i="21" a="1"/>
  <c r="G1" i="16" a="1"/>
  <c r="E2" i="20" a="1"/>
  <c r="O2" i="15" a="1"/>
  <c r="C2" i="19" a="1"/>
  <c r="L2" i="15" a="1"/>
  <c r="O1" i="18" a="1"/>
  <c r="M1" i="17" a="1"/>
  <c r="B3" i="6" a="1"/>
  <c r="B3" i="7" a="1"/>
  <c r="G1" i="17" a="1"/>
  <c r="C5" i="15" a="1"/>
  <c r="L1" i="21" a="1"/>
  <c r="O2" i="19" a="1"/>
  <c r="N2" i="16" a="1"/>
  <c r="C3" i="22" a="1"/>
  <c r="I1" i="16" a="1"/>
  <c r="H1" i="18" a="1"/>
  <c r="N1" i="17" a="1"/>
  <c r="C1" i="17" a="1"/>
  <c r="M2" i="16" a="1"/>
  <c r="M1" i="15" a="1"/>
  <c r="K2" i="21" a="1"/>
  <c r="J2" i="14" a="1"/>
  <c r="O1" i="19" a="1"/>
  <c r="D1" i="16" a="1"/>
  <c r="O1" i="21" a="1"/>
  <c r="G2" i="20" a="1"/>
  <c r="O2" i="18" a="1"/>
  <c r="E1" i="18" a="1"/>
  <c r="I2" i="19" a="1"/>
  <c r="N2" i="15" a="1"/>
  <c r="N2" i="14" a="1"/>
  <c r="F2" i="19" a="1"/>
  <c r="C1" i="21" a="1"/>
  <c r="C2" i="20" a="1"/>
  <c r="N1" i="18" a="1"/>
  <c r="L1" i="17" a="1"/>
  <c r="B2" i="6" a="1"/>
  <c r="B2" i="7" a="1"/>
  <c r="M2" i="15" a="1"/>
  <c r="M1" i="20" a="1"/>
  <c r="H1" i="16" a="1"/>
  <c r="J2" i="15" a="1"/>
  <c r="J2" i="21" a="1"/>
  <c r="I1" i="20" a="1"/>
  <c r="L1" i="20" a="1"/>
  <c r="K2" i="18" a="1"/>
  <c r="I2" i="15" a="1"/>
  <c r="M2" i="21" a="1"/>
  <c r="N2" i="21" a="1"/>
  <c r="O2" i="20" a="1"/>
  <c r="J1" i="15" a="1"/>
  <c r="C7" i="15" a="1"/>
  <c r="J1" i="18" a="1"/>
  <c r="H1" i="17" a="1"/>
  <c r="G1" i="15" a="1"/>
  <c r="H1" i="21" a="1"/>
  <c r="N2" i="20" a="1"/>
  <c r="H1" i="15" a="1"/>
  <c r="G1" i="19" a="1"/>
  <c r="H2" i="21" a="1"/>
  <c r="L2" i="21" a="1"/>
  <c r="G1" i="18" a="1"/>
  <c r="N2" i="17" a="1"/>
  <c r="E1" i="17" a="1"/>
  <c r="H1" i="20" a="1"/>
  <c r="N2" i="19" a="1"/>
  <c r="O2" i="16" a="1"/>
  <c r="G2" i="21" a="1"/>
  <c r="I1" i="19" a="1"/>
  <c r="M1" i="19" a="1"/>
  <c r="J2" i="18" a="1"/>
  <c r="O2" i="17" a="1"/>
  <c r="F1" i="17" a="1"/>
  <c r="K1" i="17" a="1"/>
  <c r="J1" i="19" a="1"/>
  <c r="K2" i="19" a="1"/>
  <c r="D1" i="18" a="1"/>
  <c r="J1" i="17" a="1"/>
  <c r="K1" i="15" a="1"/>
  <c r="N1" i="21" a="1"/>
  <c r="I2" i="20" a="1"/>
  <c r="K2" i="14" a="1"/>
  <c r="J1" i="21" a="1"/>
  <c r="K1" i="18" a="1"/>
  <c r="I1" i="17" a="1"/>
  <c r="B2" i="5" a="1"/>
  <c r="L2" i="20" a="1"/>
  <c r="L2" i="14" a="1"/>
  <c r="L2" i="17" a="1"/>
  <c r="J2" i="19" a="1"/>
  <c r="D3" i="22" a="1"/>
  <c r="N2" i="18" a="1"/>
  <c r="O1" i="16" a="1"/>
  <c r="L1" i="16" a="1"/>
  <c r="K1" i="16" a="1"/>
  <c r="N1" i="16" a="1"/>
  <c r="M1" i="16" a="1"/>
  <c r="J1" i="16" a="1"/>
  <c r="C5" i="16" a="1"/>
  <c r="D2" i="5" a="1"/>
  <c r="C4" i="16" a="1"/>
  <c r="F2" i="5" a="1"/>
  <c r="C2" i="5" a="1"/>
  <c r="E3" i="5" a="1"/>
  <c r="C7" i="16" a="1"/>
  <c r="C3" i="5" a="1"/>
  <c r="E2" i="5" a="1"/>
  <c r="F2" i="7" a="1"/>
  <c r="D3" i="7" a="1"/>
  <c r="C10" i="18" a="1"/>
  <c r="F3" i="7" a="1"/>
  <c r="C8" i="18" a="1"/>
  <c r="C11" i="18" a="1"/>
  <c r="D2" i="7" a="1"/>
  <c r="C7" i="18" a="1"/>
  <c r="F2" i="6" a="1"/>
  <c r="C10" i="17" a="1"/>
  <c r="C11" i="17" a="1"/>
  <c r="D2" i="6" a="1"/>
  <c r="F3" i="6" a="1"/>
  <c r="D3" i="6" a="1"/>
  <c r="C7" i="17" a="1"/>
  <c r="C8" i="17" a="1"/>
  <c r="N11" i="17" a="1"/>
  <c r="N8" i="17" a="1"/>
  <c r="N7" i="17" a="1"/>
  <c r="N10" i="17" a="1"/>
  <c r="O7" i="17" a="1"/>
  <c r="O8" i="17" a="1"/>
  <c r="O11" i="17" a="1"/>
  <c r="O10" i="17" a="1"/>
  <c r="G7" i="17" a="1"/>
  <c r="G8" i="17" a="1"/>
  <c r="G10" i="17" a="1"/>
  <c r="K11" i="17" a="1"/>
  <c r="F10" i="17" a="1"/>
  <c r="K8" i="18" a="1"/>
  <c r="F11" i="17" a="1"/>
  <c r="G11" i="17" a="1"/>
  <c r="K10" i="18" a="1"/>
  <c r="K8" i="17" a="1"/>
  <c r="K7" i="18" a="1"/>
  <c r="E4" i="16" a="1"/>
  <c r="H11" i="17" a="1"/>
  <c r="H7" i="17" a="1"/>
  <c r="K11" i="18" a="1"/>
  <c r="K7" i="17" a="1"/>
  <c r="K10" i="17" a="1"/>
  <c r="H10" i="17" a="1"/>
  <c r="E5" i="16" a="1"/>
  <c r="E7" i="16" a="1"/>
  <c r="H8" i="17" a="1"/>
  <c r="F7" i="17" a="1"/>
  <c r="F8" i="17" a="1"/>
  <c r="E8" i="17" a="1"/>
  <c r="E11" i="17" a="1"/>
  <c r="E7" i="17" a="1"/>
  <c r="E10" i="17" a="1"/>
  <c r="I8" i="18" a="1"/>
  <c r="I7" i="18" a="1"/>
  <c r="I10" i="18" a="1"/>
  <c r="I11" i="18" a="1"/>
  <c r="I8" i="17" a="1"/>
  <c r="I11" i="17" a="1"/>
  <c r="I7" i="17" a="1"/>
  <c r="I10" i="17" a="1"/>
  <c r="H7" i="18" a="1"/>
  <c r="E8" i="18" a="1"/>
  <c r="E11" i="18" a="1"/>
  <c r="E7" i="18" a="1"/>
  <c r="E10" i="18" a="1"/>
  <c r="D10" i="18" a="1"/>
  <c r="D7" i="18" a="1"/>
  <c r="D8" i="18" a="1"/>
  <c r="D11" i="18" a="1"/>
  <c r="A32" i="23"/>
  <c r="A24" i="23"/>
  <c r="A11" i="23"/>
  <c r="A14" i="23"/>
  <c r="A25" i="23"/>
  <c r="A13" i="23"/>
  <c r="A12" i="23"/>
  <c r="I4" i="10"/>
  <c r="J9" i="10"/>
  <c r="J7" i="10"/>
  <c r="A30" i="23"/>
  <c r="A22" i="23"/>
  <c r="A7" i="23"/>
  <c r="A6" i="23"/>
  <c r="A31" i="23"/>
  <c r="A23" i="23"/>
  <c r="A9" i="23"/>
  <c r="A4" i="23"/>
  <c r="J5" i="10"/>
  <c r="C1" i="14"/>
  <c r="A28" i="23"/>
  <c r="A20" i="23"/>
  <c r="A3" i="23"/>
  <c r="A2" i="23"/>
  <c r="A29" i="23"/>
  <c r="A21" i="23"/>
  <c r="A5" i="23"/>
  <c r="I6" i="10"/>
  <c r="I3" i="10"/>
  <c r="I5" i="10"/>
  <c r="J8" i="10"/>
  <c r="A26" i="23"/>
  <c r="A15" i="23"/>
  <c r="A27" i="23"/>
  <c r="I9" i="10"/>
  <c r="A10" i="23"/>
  <c r="J4" i="10"/>
  <c r="A19" i="23"/>
  <c r="A8" i="23"/>
  <c r="J6" i="10"/>
  <c r="C5" i="14" a="1"/>
  <c r="D2" i="4" a="1"/>
  <c r="E14" i="22" a="1"/>
  <c r="O11" i="14" a="1"/>
  <c r="N11" i="15" a="1"/>
  <c r="C14" i="22" a="1"/>
  <c r="C15" i="22" a="1"/>
  <c r="N7" i="14" a="1"/>
  <c r="N8" i="14" a="1"/>
  <c r="F12" i="22" a="1"/>
  <c r="E12" i="22" a="1"/>
  <c r="M7" i="15" a="1"/>
  <c r="M10" i="15" a="1"/>
  <c r="M11" i="15" a="1"/>
  <c r="C12" i="22" a="1"/>
  <c r="L8" i="15" a="1"/>
  <c r="F7" i="22" a="1"/>
  <c r="L10" i="14" a="1"/>
  <c r="E8" i="22" a="1"/>
  <c r="K7" i="14" a="1"/>
  <c r="K7" i="15" a="1"/>
  <c r="C11" i="22" a="1"/>
  <c r="J10" i="15" a="1"/>
  <c r="J7" i="14" a="1"/>
  <c r="D10" i="22" a="1"/>
  <c r="I10" i="14" a="1"/>
  <c r="I4" i="15" a="1"/>
  <c r="I10" i="15" a="1"/>
  <c r="H8" i="15" a="1"/>
  <c r="H5" i="15" a="1"/>
  <c r="H10" i="15" a="1"/>
  <c r="G5" i="15" a="1"/>
  <c r="G4" i="14" a="1"/>
  <c r="G11" i="15" a="1"/>
  <c r="F5" i="14" a="1"/>
  <c r="F4" i="14" a="1"/>
  <c r="F11" i="15" a="1"/>
  <c r="C5" i="22" a="1"/>
  <c r="E11" i="15" a="1"/>
  <c r="E4" i="14" a="1"/>
  <c r="D10" i="15" a="1"/>
  <c r="D5" i="15" a="1"/>
  <c r="C2" i="4" a="1"/>
  <c r="F2" i="4" a="1"/>
  <c r="F14" i="22" a="1"/>
  <c r="O8" i="14" a="1"/>
  <c r="O11" i="15" a="1"/>
  <c r="N10" i="15" a="1"/>
  <c r="D14" i="22" a="1"/>
  <c r="N10" i="14" a="1"/>
  <c r="N11" i="14" a="1"/>
  <c r="M10" i="14" a="1"/>
  <c r="D13" i="22" a="1"/>
  <c r="M7" i="14" a="1"/>
  <c r="E11" i="22" a="1"/>
  <c r="L8" i="14" a="1"/>
  <c r="L11" i="15" a="1"/>
  <c r="L4" i="15" a="1"/>
  <c r="E10" i="22" a="1"/>
  <c r="K10" i="14" a="1"/>
  <c r="K8" i="14" a="1"/>
  <c r="K5" i="15" a="1"/>
  <c r="J7" i="15" a="1"/>
  <c r="J11" i="15" a="1"/>
  <c r="J8" i="14" a="1"/>
  <c r="I7" i="14" a="1"/>
  <c r="I8" i="15" a="1"/>
  <c r="I7" i="15" a="1"/>
  <c r="H7" i="15" a="1"/>
  <c r="H5" i="14" a="1"/>
  <c r="H4" i="15" a="1"/>
  <c r="G7" i="15" a="1"/>
  <c r="C7" i="22" a="1"/>
  <c r="D7" i="22" a="1"/>
  <c r="F5" i="15" a="1"/>
  <c r="F7" i="14" a="1"/>
  <c r="F8" i="15" a="1"/>
  <c r="E8" i="15" a="1"/>
  <c r="E7" i="14" a="1"/>
  <c r="E4" i="15" a="1"/>
  <c r="D8" i="15" a="1"/>
  <c r="D10" i="14" a="1"/>
  <c r="D7" i="15" a="1"/>
  <c r="B2" i="4" a="1"/>
  <c r="C3" i="4" a="1"/>
  <c r="C4" i="14" a="1"/>
  <c r="E2" i="4" a="1"/>
  <c r="E3" i="4" a="1"/>
  <c r="E15" i="22" a="1"/>
  <c r="O10" i="14" a="1"/>
  <c r="F13" i="22" a="1"/>
  <c r="O7" i="15" a="1"/>
  <c r="N8" i="15" a="1"/>
  <c r="O5" i="15" a="1"/>
  <c r="N5" i="15" a="1"/>
  <c r="D15" i="22" a="1"/>
  <c r="M11" i="14" a="1"/>
  <c r="C13" i="22" a="1"/>
  <c r="M8" i="15" a="1"/>
  <c r="F11" i="22" a="1"/>
  <c r="D12" i="22" a="1"/>
  <c r="E7" i="22" a="1"/>
  <c r="L10" i="15" a="1"/>
  <c r="L7" i="15" a="1"/>
  <c r="F9" i="22" a="1"/>
  <c r="L5" i="15" a="1"/>
  <c r="F10" i="22" a="1"/>
  <c r="K10" i="15" a="1"/>
  <c r="K11" i="14" a="1"/>
  <c r="K11" i="15" a="1"/>
  <c r="J5" i="15" a="1"/>
  <c r="J10" i="14" a="1"/>
  <c r="C10" i="22" a="1"/>
  <c r="I5" i="15" a="1"/>
  <c r="I11" i="15" a="1"/>
  <c r="C8" i="22" a="1"/>
  <c r="H11" i="15" a="1"/>
  <c r="D8" i="22" a="1"/>
  <c r="G8" i="15" a="1"/>
  <c r="G5" i="14" a="1"/>
  <c r="G10" i="15" a="1"/>
  <c r="D6" i="22" a="1"/>
  <c r="F10" i="14" a="1"/>
  <c r="F10" i="15" a="1"/>
  <c r="E7" i="15" a="1"/>
  <c r="E5" i="14" a="1"/>
  <c r="E5" i="15" a="1"/>
  <c r="D4" i="22" a="1"/>
  <c r="D4" i="15" a="1"/>
  <c r="D4" i="14" a="1"/>
  <c r="B19" i="23" a="1"/>
  <c r="F3" i="22" a="1"/>
  <c r="C10" i="14" a="1"/>
  <c r="C7" i="14" a="1"/>
  <c r="F15" i="22" a="1"/>
  <c r="O7" i="14" a="1"/>
  <c r="E13" i="22" a="1"/>
  <c r="N4" i="15" a="1"/>
  <c r="N7" i="15" a="1"/>
  <c r="O8" i="15" a="1"/>
  <c r="O4" i="15" a="1"/>
  <c r="O10" i="15" a="1"/>
  <c r="M4" i="15" a="1"/>
  <c r="M5" i="15" a="1"/>
  <c r="M8" i="14" a="1"/>
  <c r="L11" i="14" a="1"/>
  <c r="L7" i="14" a="1"/>
  <c r="F8" i="22" a="1"/>
  <c r="E9" i="22" a="1"/>
  <c r="K4" i="15" a="1"/>
  <c r="D11" i="22" a="1"/>
  <c r="K8" i="15" a="1"/>
  <c r="J4" i="15" a="1"/>
  <c r="J8" i="15" a="1"/>
  <c r="J11" i="14" a="1"/>
  <c r="C9" i="22" a="1"/>
  <c r="I4" i="14" a="1"/>
  <c r="D9" i="22" a="1"/>
  <c r="I5" i="14" a="1"/>
  <c r="H7" i="14" a="1"/>
  <c r="H4" i="14" a="1"/>
  <c r="H10" i="14" a="1"/>
  <c r="G4" i="15" a="1"/>
  <c r="G7" i="14" a="1"/>
  <c r="G10" i="14" a="1"/>
  <c r="F4" i="15" a="1"/>
  <c r="F7" i="15" a="1"/>
  <c r="C6" i="22" a="1"/>
  <c r="E10" i="15" a="1"/>
  <c r="E10" i="14" a="1"/>
  <c r="D5" i="22" a="1"/>
  <c r="D5" i="14" a="1"/>
  <c r="D11" i="15" a="1"/>
  <c r="C4" i="22" a="1"/>
  <c r="B3" i="4" a="1"/>
  <c r="N7" i="22" a="1"/>
  <c r="G10" i="20" a="1"/>
  <c r="K10" i="20" a="1"/>
  <c r="M11" i="20" a="1"/>
  <c r="K7" i="20" a="1"/>
  <c r="N4" i="22" a="1"/>
  <c r="N5" i="22" a="1"/>
  <c r="E11" i="19" a="1"/>
  <c r="E5" i="20" a="1"/>
  <c r="G5" i="20" a="1"/>
  <c r="M7" i="22" a="1"/>
  <c r="K5" i="20" a="1"/>
  <c r="M4" i="20" a="1"/>
  <c r="E7" i="19" a="1"/>
  <c r="G4" i="20" a="1"/>
  <c r="G8" i="20" a="1"/>
  <c r="M8" i="20" a="1"/>
  <c r="M11" i="22" a="1"/>
  <c r="N11" i="22" a="1"/>
  <c r="M5" i="20" a="1"/>
  <c r="M4" i="22" a="1"/>
  <c r="E4" i="20" a="1"/>
  <c r="E8" i="20" a="1"/>
  <c r="L5" i="22" a="1"/>
  <c r="E10" i="19" a="1"/>
  <c r="D8" i="20" a="1"/>
  <c r="K5" i="22" a="1"/>
  <c r="M13" i="22" a="1"/>
  <c r="E10" i="20" a="1"/>
  <c r="G11" i="20" a="1"/>
  <c r="G7" i="20" a="1"/>
  <c r="M7" i="20" a="1"/>
  <c r="K8" i="20" a="1"/>
  <c r="K4" i="20" a="1"/>
  <c r="K11" i="20" a="1"/>
  <c r="D4" i="20" a="1"/>
  <c r="D7" i="20" a="1"/>
  <c r="M5" i="22" a="1"/>
  <c r="E11" i="20" a="1"/>
  <c r="E8" i="19" a="1"/>
  <c r="E5" i="19" a="1"/>
  <c r="N13" i="22" a="1"/>
  <c r="E7" i="20" a="1"/>
  <c r="M10" i="20" a="1"/>
  <c r="D5" i="20" a="1"/>
  <c r="E4" i="19" a="1"/>
  <c r="I5" i="20" a="1"/>
  <c r="I10" i="20" a="1"/>
  <c r="I11" i="20" a="1"/>
  <c r="I4" i="20" a="1"/>
  <c r="N9" i="22" a="1"/>
  <c r="I8" i="20" a="1"/>
  <c r="M9" i="22" a="1"/>
  <c r="I7" i="20" a="1"/>
  <c r="C4" i="20" a="1"/>
  <c r="C4" i="19" a="1"/>
  <c r="C5" i="19" a="1"/>
  <c r="C7" i="20" a="1"/>
  <c r="C11" i="19" a="1"/>
  <c r="C8" i="19" a="1"/>
  <c r="C5" i="20" a="1"/>
  <c r="C8" i="20" a="1"/>
  <c r="C7" i="19" a="1"/>
  <c r="F4" i="20" a="1"/>
  <c r="N6" i="22" a="1"/>
  <c r="M8" i="22" a="1"/>
  <c r="H11" i="20" a="1"/>
  <c r="H5" i="20" a="1"/>
  <c r="F8" i="20" a="1"/>
  <c r="F11" i="20" a="1"/>
  <c r="H7" i="20" a="1"/>
  <c r="H10" i="20" a="1"/>
  <c r="F10" i="20" a="1"/>
  <c r="F5" i="20" a="1"/>
  <c r="M6" i="22" a="1"/>
  <c r="N8" i="22" a="1"/>
  <c r="H8" i="20" a="1"/>
  <c r="F7" i="20" a="1"/>
  <c r="H4" i="20" a="1"/>
  <c r="K4" i="19" a="1"/>
  <c r="K11" i="19" a="1"/>
  <c r="K10" i="19" a="1"/>
  <c r="K5" i="19" a="1"/>
  <c r="L11" i="22" a="1"/>
  <c r="K11" i="22" a="1"/>
  <c r="C11" i="21" a="1"/>
  <c r="K10" i="21" a="1"/>
  <c r="K11" i="21" a="1"/>
  <c r="O7" i="20" a="1"/>
  <c r="N7" i="20" a="1"/>
  <c r="O8" i="20" a="1"/>
  <c r="N15" i="22" a="1"/>
  <c r="H11" i="21" a="1"/>
  <c r="H8" i="21" a="1"/>
  <c r="M4" i="19" a="1"/>
  <c r="C10" i="21" a="1"/>
  <c r="C8" i="21" a="1"/>
  <c r="O11" i="22" a="1"/>
  <c r="K8" i="21" a="1"/>
  <c r="K7" i="21" a="1"/>
  <c r="O4" i="20" a="1"/>
  <c r="O5" i="20" a="1"/>
  <c r="O10" i="20" a="1"/>
  <c r="O8" i="22" a="1"/>
  <c r="M11" i="19" a="1"/>
  <c r="D5" i="19" a="1"/>
  <c r="C4" i="21" a="1"/>
  <c r="C7" i="21" a="1"/>
  <c r="K4" i="21" a="1"/>
  <c r="K5" i="21" a="1"/>
  <c r="N4" i="20" a="1"/>
  <c r="N8" i="20" a="1"/>
  <c r="O11" i="20" a="1"/>
  <c r="P8" i="22" a="1"/>
  <c r="H5" i="21" a="1"/>
  <c r="K13" i="22" a="1"/>
  <c r="D8" i="19" a="1"/>
  <c r="K4" i="22" a="1"/>
  <c r="M10" i="19" a="1"/>
  <c r="M5" i="19" a="1"/>
  <c r="L13" i="22" a="1"/>
  <c r="C5" i="21" a="1"/>
  <c r="P11" i="22" a="1"/>
  <c r="N11" i="20" a="1"/>
  <c r="M15" i="22" a="1"/>
  <c r="M14" i="22" a="1"/>
  <c r="N5" i="20" a="1"/>
  <c r="N10" i="20" a="1"/>
  <c r="N14" i="22" a="1"/>
  <c r="H10" i="21" a="1"/>
  <c r="H4" i="21" a="1"/>
  <c r="D4" i="19" a="1"/>
  <c r="L4" i="22" a="1"/>
  <c r="D7" i="19" a="1"/>
  <c r="E10" i="21" a="1"/>
  <c r="E4" i="21" a="1"/>
  <c r="E8" i="21" a="1"/>
  <c r="E5" i="21" a="1"/>
  <c r="L5" i="20" a="1"/>
  <c r="L11" i="20" a="1"/>
  <c r="L4" i="20" a="1"/>
  <c r="D8" i="21" a="1"/>
  <c r="M12" i="22" a="1"/>
  <c r="N12" i="22" a="1"/>
  <c r="P5" i="22" a="1"/>
  <c r="O5" i="22" a="1"/>
  <c r="D7" i="21" a="1"/>
  <c r="E7" i="21" a="1"/>
  <c r="L7" i="20" a="1"/>
  <c r="E11" i="21" a="1"/>
  <c r="L10" i="20" a="1"/>
  <c r="I8" i="21" a="1"/>
  <c r="P7" i="22" a="1"/>
  <c r="J11" i="21" a="1"/>
  <c r="O10" i="22" a="1"/>
  <c r="I4" i="21" a="1"/>
  <c r="O9" i="22" a="1"/>
  <c r="O7" i="22" a="1"/>
  <c r="P9" i="22" a="1"/>
  <c r="I11" i="21" a="1"/>
  <c r="G5" i="21" a="1"/>
  <c r="G10" i="21" a="1"/>
  <c r="J7" i="21" a="1"/>
  <c r="J10" i="21" a="1"/>
  <c r="P10" i="22" a="1"/>
  <c r="J8" i="21" a="1"/>
  <c r="I10" i="21" a="1"/>
  <c r="I5" i="21" a="1"/>
  <c r="G4" i="21" a="1"/>
  <c r="G8" i="21" a="1"/>
  <c r="G11" i="21" a="1"/>
  <c r="J4" i="21" a="1"/>
  <c r="J5" i="21" a="1"/>
  <c r="E3" i="22" a="1"/>
  <c r="G7" i="21" a="1"/>
  <c r="D10" i="21" a="1"/>
  <c r="O4" i="22" a="1"/>
  <c r="D5" i="21" a="1"/>
  <c r="C11" i="20" a="1"/>
  <c r="L8" i="20" a="1"/>
  <c r="I7" i="21" a="1"/>
  <c r="D4" i="21" a="1"/>
  <c r="C10" i="20" a="1"/>
  <c r="H7" i="21" a="1"/>
  <c r="D11" i="21" a="1"/>
  <c r="P4" i="22" a="1"/>
  <c r="F4" i="22" a="1"/>
  <c r="F5" i="22" a="1"/>
  <c r="F6" i="22" a="1"/>
  <c r="E5" i="22" a="1"/>
  <c r="E4" i="22" a="1"/>
  <c r="J4" i="19" a="1"/>
  <c r="J11" i="19" a="1"/>
  <c r="H7" i="19" a="1"/>
  <c r="H11" i="19" a="1"/>
  <c r="L14" i="22" a="1"/>
  <c r="K14" i="22" a="1"/>
  <c r="I11" i="19" a="1"/>
  <c r="F4" i="19" a="1"/>
  <c r="K6" i="22" a="1"/>
  <c r="K9" i="22" a="1"/>
  <c r="L10" i="22" a="1"/>
  <c r="N10" i="19" a="1"/>
  <c r="I5" i="19" a="1"/>
  <c r="J5" i="19" a="1"/>
  <c r="H10" i="19" a="1"/>
  <c r="H5" i="19" a="1"/>
  <c r="N11" i="19" a="1"/>
  <c r="N5" i="19" a="1"/>
  <c r="L6" i="22" a="1"/>
  <c r="I7" i="19" a="1"/>
  <c r="I4" i="19" a="1"/>
  <c r="F7" i="19" a="1"/>
  <c r="K8" i="22" a="1"/>
  <c r="F8" i="19" a="1"/>
  <c r="L9" i="22" a="1"/>
  <c r="J10" i="19" a="1"/>
  <c r="H4" i="19" a="1"/>
  <c r="L8" i="22" a="1"/>
  <c r="I8" i="19" a="1"/>
  <c r="I10" i="19" a="1"/>
  <c r="F5" i="19" a="1"/>
  <c r="J8" i="19" a="1"/>
  <c r="J7" i="19" a="1"/>
  <c r="K10" i="22" a="1"/>
  <c r="N4" i="19" a="1"/>
  <c r="F7" i="21" a="1"/>
  <c r="L4" i="19" a="1"/>
  <c r="L10" i="19" a="1"/>
  <c r="L11" i="19" a="1"/>
  <c r="L12" i="22" a="1"/>
  <c r="F8" i="21" a="1"/>
  <c r="K12" i="22" a="1"/>
  <c r="L5" i="19" a="1"/>
  <c r="M8" i="17" a="1"/>
  <c r="H5" i="16" a="1"/>
  <c r="I4" i="16" a="1"/>
  <c r="F5" i="16" a="1"/>
  <c r="I5" i="16" a="1"/>
  <c r="M7" i="17" a="1"/>
  <c r="M11" i="17" a="1"/>
  <c r="M10" i="17" a="1"/>
  <c r="H4" i="16" a="1"/>
  <c r="F4" i="16" a="1"/>
  <c r="I7" i="16" a="1"/>
  <c r="M10" i="22" a="1"/>
  <c r="G11" i="19" a="1"/>
  <c r="K7" i="22" a="1"/>
  <c r="J7" i="20" a="1"/>
  <c r="N4" i="21" a="1"/>
  <c r="N7" i="21" a="1"/>
  <c r="L4" i="21" a="1"/>
  <c r="O13" i="22" a="1"/>
  <c r="L11" i="21" a="1"/>
  <c r="M4" i="21" a="1"/>
  <c r="M8" i="21" a="1"/>
  <c r="J10" i="17" a="1"/>
  <c r="G5" i="19" a="1"/>
  <c r="N10" i="22" a="1"/>
  <c r="J11" i="20" a="1"/>
  <c r="L7" i="22" a="1"/>
  <c r="P14" i="22" a="1"/>
  <c r="N8" i="21" a="1"/>
  <c r="L8" i="21" a="1"/>
  <c r="M11" i="21" a="1"/>
  <c r="O12" i="22" a="1"/>
  <c r="J11" i="17" a="1"/>
  <c r="J8" i="17" a="1"/>
  <c r="J8" i="20" a="1"/>
  <c r="G8" i="19" a="1"/>
  <c r="G7" i="19" a="1"/>
  <c r="J4" i="20" a="1"/>
  <c r="N5" i="21" a="1"/>
  <c r="L10" i="21" a="1"/>
  <c r="P13" i="22" a="1"/>
  <c r="L5" i="21" a="1"/>
  <c r="P12" i="22" a="1"/>
  <c r="J7" i="17" a="1"/>
  <c r="G4" i="19" a="1"/>
  <c r="J5" i="20" a="1"/>
  <c r="G10" i="19" a="1"/>
  <c r="J10" i="20" a="1"/>
  <c r="N10" i="21" a="1"/>
  <c r="N11" i="21" a="1"/>
  <c r="O14" i="22" a="1"/>
  <c r="M10" i="21" a="1"/>
  <c r="M7" i="21" a="1"/>
  <c r="M5" i="21" a="1"/>
  <c r="L7" i="21" a="1"/>
  <c r="E1" i="19" a="1"/>
  <c r="F1" i="15" a="1"/>
  <c r="D1" i="15" a="1"/>
  <c r="L7" i="17" a="1"/>
  <c r="N7" i="18" a="1"/>
  <c r="O10" i="18" a="1"/>
  <c r="N5" i="16" a="1"/>
  <c r="N8" i="16" a="1"/>
  <c r="O8" i="16" a="1"/>
  <c r="M7" i="18" a="1"/>
  <c r="M4" i="16" a="1"/>
  <c r="L4" i="16" a="1"/>
  <c r="G7" i="16" a="1"/>
  <c r="G5" i="16" a="1"/>
  <c r="E10" i="16" a="1"/>
  <c r="J8" i="18" a="1"/>
  <c r="J8" i="16" a="1"/>
  <c r="G7" i="18" a="1"/>
  <c r="H10" i="18" a="1"/>
  <c r="F7" i="18" a="1"/>
  <c r="D8" i="17" a="1"/>
  <c r="D5" i="16" a="1"/>
  <c r="E2" i="21" a="1"/>
  <c r="C2" i="17" a="1"/>
  <c r="H2" i="18" a="1"/>
  <c r="E2" i="18" a="1"/>
  <c r="H3" i="22" a="1"/>
  <c r="D11" i="19" a="1"/>
  <c r="O4" i="19" a="1"/>
  <c r="O7" i="21" a="1"/>
  <c r="M7" i="19" a="1"/>
  <c r="L8" i="19" a="1"/>
  <c r="F10" i="21" a="1"/>
  <c r="O7" i="19" a="1"/>
  <c r="E2" i="15" a="1"/>
  <c r="K10" i="16" a="1"/>
  <c r="F2" i="14" a="1"/>
  <c r="F2" i="16" a="1"/>
  <c r="K5" i="14" a="1"/>
  <c r="C1" i="20" a="1"/>
  <c r="N11" i="16" a="1"/>
  <c r="G2" i="16" a="1"/>
  <c r="M4" i="14" a="1"/>
  <c r="M11" i="16" a="1"/>
  <c r="G2" i="14" a="1"/>
  <c r="I8" i="16" a="1"/>
  <c r="I8" i="14" a="1"/>
  <c r="G11" i="14" a="1"/>
  <c r="L7" i="16" a="1"/>
  <c r="O7" i="16" a="1"/>
  <c r="L5" i="14" a="1"/>
  <c r="K4" i="14" a="1"/>
  <c r="L11" i="16" a="1"/>
  <c r="E8" i="16" a="1"/>
  <c r="D8" i="14" a="1"/>
  <c r="M5" i="14" a="1"/>
  <c r="O5" i="14" a="1"/>
  <c r="O7" i="18" a="1"/>
  <c r="M5" i="16" a="1"/>
  <c r="K8" i="16" a="1"/>
  <c r="J11" i="18" a="1"/>
  <c r="H8" i="18" a="1"/>
  <c r="D7" i="17" a="1"/>
  <c r="E2" i="17" a="1"/>
  <c r="O11" i="19" a="1"/>
  <c r="L15" i="22" a="1"/>
  <c r="F4" i="21" a="1"/>
  <c r="L3" i="22" a="1"/>
  <c r="K7" i="16" a="1"/>
  <c r="E6" i="22" a="1"/>
  <c r="E8" i="14" a="1"/>
  <c r="H8" i="14" a="1"/>
  <c r="C8" i="16" a="1"/>
  <c r="C8" i="14" a="1"/>
  <c r="N4" i="14" a="1"/>
  <c r="C1" i="19" a="1"/>
  <c r="F1" i="19" a="1"/>
  <c r="F1" i="20" a="1"/>
  <c r="C1" i="15" a="1"/>
  <c r="C10" i="16" a="1"/>
  <c r="L11" i="17" a="1"/>
  <c r="N11" i="18" a="1"/>
  <c r="O11" i="18" a="1"/>
  <c r="O4" i="16" a="1"/>
  <c r="L8" i="18" a="1"/>
  <c r="M11" i="18" a="1"/>
  <c r="M8" i="16" a="1"/>
  <c r="K5" i="16" a="1"/>
  <c r="F10" i="16" a="1"/>
  <c r="F7" i="16" a="1"/>
  <c r="J10" i="18" a="1"/>
  <c r="F8" i="18" a="1"/>
  <c r="D11" i="17" a="1"/>
  <c r="D7" i="16" a="1"/>
  <c r="D4" i="16" a="1"/>
  <c r="F2" i="21" a="1"/>
  <c r="G2" i="17" a="1"/>
  <c r="F2" i="18" a="1"/>
  <c r="G2" i="18" a="1"/>
  <c r="I3" i="22" a="1"/>
  <c r="D10" i="20" a="1"/>
  <c r="D11" i="20" a="1"/>
  <c r="O5" i="19" a="1"/>
  <c r="O10" i="19" a="1"/>
  <c r="O5" i="21" a="1"/>
  <c r="F5" i="21" a="1"/>
  <c r="P3" i="22" a="1"/>
  <c r="K8" i="19" a="1"/>
  <c r="N8" i="19" a="1"/>
  <c r="O8" i="19" a="1"/>
  <c r="C11" i="16" a="1"/>
  <c r="E11" i="16" a="1"/>
  <c r="H2" i="16" a="1"/>
  <c r="D8" i="16" a="1"/>
  <c r="F8" i="14" a="1"/>
  <c r="D2" i="21" a="1"/>
  <c r="J11" i="16" a="1"/>
  <c r="H11" i="14" a="1"/>
  <c r="D1" i="19" a="1"/>
  <c r="K11" i="16" a="1"/>
  <c r="E2" i="14" a="1"/>
  <c r="I2" i="16" a="1"/>
  <c r="J4" i="14" a="1"/>
  <c r="N10" i="16" a="1"/>
  <c r="H8" i="16" a="1"/>
  <c r="C11" i="14" a="1"/>
  <c r="N5" i="14" a="1"/>
  <c r="D2" i="15" a="1"/>
  <c r="G11" i="16" a="1"/>
  <c r="F8" i="16" a="1"/>
  <c r="I2" i="17" a="1"/>
  <c r="D1" i="20" a="1"/>
  <c r="L10" i="17" a="1"/>
  <c r="L10" i="18" a="1"/>
  <c r="L5" i="16" a="1"/>
  <c r="J5" i="16" a="1"/>
  <c r="G10" i="18" a="1"/>
  <c r="F11" i="18" a="1"/>
  <c r="F2" i="17" a="1"/>
  <c r="H8" i="19" a="1"/>
  <c r="O10" i="21" a="1"/>
  <c r="O8" i="21" a="1"/>
  <c r="O15" i="22" a="1"/>
  <c r="P6" i="22" a="1"/>
  <c r="L10" i="16" a="1"/>
  <c r="D11" i="14" a="1"/>
  <c r="O10" i="16" a="1"/>
  <c r="C2" i="16" a="1"/>
  <c r="I2" i="18" a="1"/>
  <c r="F3" i="5" a="1"/>
  <c r="G8" i="16" a="1"/>
  <c r="E1" i="20" a="1"/>
  <c r="E1" i="15" a="1"/>
  <c r="L8" i="17" a="1"/>
  <c r="N10" i="18" a="1"/>
  <c r="O8" i="18" a="1"/>
  <c r="L11" i="18" a="1"/>
  <c r="O5" i="16" a="1"/>
  <c r="L7" i="18" a="1"/>
  <c r="N4" i="16" a="1"/>
  <c r="M10" i="18" a="1"/>
  <c r="L8" i="16" a="1"/>
  <c r="K4" i="16" a="1"/>
  <c r="G4" i="16" a="1"/>
  <c r="H7" i="16" a="1"/>
  <c r="H10" i="16" a="1"/>
  <c r="G10" i="16" a="1"/>
  <c r="J7" i="18" a="1"/>
  <c r="J4" i="16" a="1"/>
  <c r="G11" i="18" a="1"/>
  <c r="H11" i="18" a="1"/>
  <c r="F10" i="18" a="1"/>
  <c r="D10" i="17" a="1"/>
  <c r="D10" i="16" a="1"/>
  <c r="H2" i="17" a="1"/>
  <c r="D2" i="17" a="1"/>
  <c r="C2" i="18" a="1"/>
  <c r="G3" i="22" a="1"/>
  <c r="D10" i="19" a="1"/>
  <c r="O4" i="21" a="1"/>
  <c r="P15" i="22" a="1"/>
  <c r="O11" i="21" a="1"/>
  <c r="K15" i="22" a="1"/>
  <c r="K3" i="22" a="1"/>
  <c r="M3" i="22" a="1"/>
  <c r="O6" i="22" a="1"/>
  <c r="O3" i="22" a="1"/>
  <c r="F11" i="21" a="1"/>
  <c r="L7" i="19" a="1"/>
  <c r="N7" i="19" a="1"/>
  <c r="M8" i="19" a="1"/>
  <c r="N3" i="22" a="1"/>
  <c r="O11" i="16" a="1"/>
  <c r="I11" i="16" a="1"/>
  <c r="J7" i="16" a="1"/>
  <c r="O4" i="14" a="1"/>
  <c r="D3" i="4" a="1"/>
  <c r="J3" i="22" a="1"/>
  <c r="I2" i="14" a="1"/>
  <c r="L4" i="14" a="1"/>
  <c r="F2" i="15" a="1"/>
  <c r="F11" i="16" a="1"/>
  <c r="D3" i="5" a="1"/>
  <c r="D2" i="16" a="1"/>
  <c r="J5" i="14" a="1"/>
  <c r="H2" i="14" a="1"/>
  <c r="M7" i="16" a="1"/>
  <c r="G8" i="14" a="1"/>
  <c r="F11" i="14" a="1"/>
  <c r="C2" i="15" a="1"/>
  <c r="J10" i="16" a="1"/>
  <c r="I11" i="14" a="1"/>
  <c r="N8" i="18" a="1"/>
  <c r="M8" i="18" a="1"/>
  <c r="I10" i="16" a="1"/>
  <c r="G8" i="18" a="1"/>
  <c r="C2" i="21" a="1"/>
  <c r="D2" i="18" a="1"/>
  <c r="F11" i="19" a="1"/>
  <c r="F10" i="19" a="1"/>
  <c r="K7" i="19" a="1"/>
  <c r="D11" i="16" a="1"/>
  <c r="E11" i="14" a="1"/>
  <c r="E2" i="16" a="1"/>
  <c r="H11" i="16" a="1"/>
  <c r="F3" i="4" a="1"/>
  <c r="M10" i="16" a="1"/>
  <c r="N7" i="16" a="1"/>
  <c r="O2" i="14"/>
  <c r="C3" i="6"/>
  <c r="J4" i="17"/>
  <c r="E5" i="17"/>
  <c r="E4" i="18"/>
  <c r="H4" i="10"/>
  <c r="D20" i="23"/>
  <c r="C2" i="7"/>
  <c r="N4" i="17"/>
  <c r="L4" i="18"/>
  <c r="I4" i="17"/>
  <c r="D4" i="18"/>
  <c r="E5" i="10"/>
  <c r="C3" i="10"/>
  <c r="G20" i="23"/>
  <c r="J3" i="10"/>
  <c r="O5" i="18"/>
  <c r="J5" i="17"/>
  <c r="F5" i="18"/>
  <c r="B3" i="10"/>
  <c r="B9" i="23"/>
  <c r="F20" i="23"/>
  <c r="D1" i="14"/>
  <c r="M5" i="17"/>
  <c r="E6" i="10"/>
  <c r="C2" i="11"/>
  <c r="L4" i="17"/>
  <c r="H4" i="17"/>
  <c r="N5" i="17"/>
  <c r="D3" i="23"/>
  <c r="D3" i="10"/>
  <c r="C5" i="23"/>
  <c r="H9" i="22"/>
  <c r="L19" i="23"/>
  <c r="G11" i="22"/>
  <c r="G15" i="22"/>
  <c r="D5" i="23"/>
  <c r="G7" i="22"/>
  <c r="F3" i="10"/>
  <c r="D5" i="10"/>
  <c r="G5" i="10"/>
  <c r="C7" i="23"/>
  <c r="F6" i="10"/>
  <c r="I15" i="22"/>
  <c r="H13" i="22"/>
  <c r="C2" i="23"/>
  <c r="M19" i="23"/>
  <c r="C9" i="23"/>
  <c r="B14" i="23"/>
  <c r="E8" i="10"/>
  <c r="C13" i="23"/>
  <c r="C15" i="23"/>
  <c r="J28" i="23"/>
  <c r="B28" i="23"/>
  <c r="F9" i="10"/>
  <c r="N28" i="23"/>
  <c r="F28" i="23"/>
  <c r="G9" i="10"/>
  <c r="L28" i="23"/>
  <c r="I27" i="23"/>
  <c r="L29" i="23"/>
  <c r="N29" i="23"/>
  <c r="M27" i="23"/>
  <c r="F32" i="23"/>
  <c r="E10" i="23"/>
  <c r="H32" i="23"/>
  <c r="C29" i="23"/>
  <c r="J27" i="23"/>
  <c r="D29" i="23"/>
  <c r="N32" i="23"/>
  <c r="N31" i="23"/>
  <c r="E12" i="23"/>
  <c r="N30" i="23"/>
  <c r="G32" i="23"/>
  <c r="G30" i="23"/>
  <c r="K28" i="23"/>
  <c r="K23" i="23"/>
  <c r="F23" i="23"/>
  <c r="H26" i="23"/>
  <c r="E5" i="23"/>
  <c r="L24" i="23"/>
  <c r="B24" i="23"/>
  <c r="F26" i="23"/>
  <c r="G26" i="23"/>
  <c r="N25" i="23"/>
  <c r="I23" i="23"/>
  <c r="M23" i="23"/>
  <c r="N24" i="23"/>
  <c r="N26" i="23"/>
  <c r="E3" i="23"/>
  <c r="N20" i="23"/>
  <c r="C21" i="23"/>
  <c r="J20" i="23"/>
  <c r="I22" i="23"/>
  <c r="L20" i="23"/>
  <c r="D8" i="23"/>
  <c r="D37" i="23"/>
  <c r="L37" i="23"/>
  <c r="E25" i="23"/>
  <c r="H38" i="23"/>
  <c r="F2" i="8"/>
  <c r="D3" i="8"/>
  <c r="M36" i="23"/>
  <c r="F33" i="23"/>
  <c r="D21" i="23"/>
  <c r="K20" i="23"/>
  <c r="C10" i="19"/>
  <c r="C3" i="8"/>
  <c r="E5" i="8"/>
  <c r="K39" i="23"/>
  <c r="L33" i="23"/>
  <c r="I21" i="23"/>
  <c r="K21" i="23"/>
  <c r="D14" i="23"/>
  <c r="M39" i="23"/>
  <c r="M20" i="23"/>
  <c r="M22" i="23"/>
  <c r="J38" i="23"/>
  <c r="P39" i="23"/>
  <c r="E7" i="23"/>
  <c r="K37" i="23"/>
  <c r="F5" i="8"/>
  <c r="D2" i="8"/>
  <c r="E6" i="23"/>
  <c r="E23" i="23"/>
  <c r="N39" i="23"/>
  <c r="D30" i="23"/>
  <c r="E3" i="7"/>
  <c r="O5" i="17"/>
  <c r="F5" i="17"/>
  <c r="E4" i="17"/>
  <c r="B3" i="23"/>
  <c r="B5" i="10"/>
  <c r="C4" i="12"/>
  <c r="C2" i="6"/>
  <c r="L5" i="17"/>
  <c r="L5" i="18"/>
  <c r="H4" i="18"/>
  <c r="B4" i="23"/>
  <c r="H6" i="10"/>
  <c r="E7" i="10"/>
  <c r="C4" i="11"/>
  <c r="E2" i="7"/>
  <c r="K5" i="17"/>
  <c r="H5" i="17"/>
  <c r="D5" i="17"/>
  <c r="B5" i="23"/>
  <c r="H7" i="10"/>
  <c r="C4" i="13"/>
  <c r="N4" i="18"/>
  <c r="E3" i="6"/>
  <c r="B15" i="23"/>
  <c r="C2" i="12"/>
  <c r="D4" i="17"/>
  <c r="H5" i="10"/>
  <c r="I11" i="22"/>
  <c r="H4" i="22"/>
  <c r="H7" i="22"/>
  <c r="H14" i="22"/>
  <c r="N19" i="23"/>
  <c r="F5" i="10"/>
  <c r="G8" i="22"/>
  <c r="I8" i="22"/>
  <c r="G10" i="22"/>
  <c r="G12" i="22"/>
  <c r="J11" i="22"/>
  <c r="J13" i="22"/>
  <c r="D4" i="23"/>
  <c r="J8" i="22"/>
  <c r="D6" i="10"/>
  <c r="H8" i="22"/>
  <c r="J12" i="22"/>
  <c r="F4" i="10"/>
  <c r="G9" i="22"/>
  <c r="B16" i="23"/>
  <c r="E9" i="10"/>
  <c r="F8" i="10"/>
  <c r="C12" i="23"/>
  <c r="B8" i="10"/>
  <c r="E11" i="23"/>
  <c r="C14" i="23"/>
  <c r="H28" i="23"/>
  <c r="G7" i="10"/>
  <c r="M28" i="23"/>
  <c r="M31" i="23"/>
  <c r="E27" i="23"/>
  <c r="B29" i="23"/>
  <c r="J29" i="23"/>
  <c r="K32" i="23"/>
  <c r="K31" i="23"/>
  <c r="B32" i="23"/>
  <c r="B7" i="10"/>
  <c r="I32" i="23"/>
  <c r="J31" i="23"/>
  <c r="B31" i="23"/>
  <c r="B27" i="23"/>
  <c r="G27" i="23"/>
  <c r="F31" i="23"/>
  <c r="B30" i="23"/>
  <c r="M30" i="23"/>
  <c r="F25" i="23"/>
  <c r="J24" i="23"/>
  <c r="B23" i="23"/>
  <c r="I24" i="23"/>
  <c r="D24" i="23"/>
  <c r="H25" i="23"/>
  <c r="B26" i="23"/>
  <c r="A33" i="23"/>
  <c r="G23" i="23"/>
  <c r="I25" i="23"/>
  <c r="B3" i="13"/>
  <c r="O1" i="14"/>
  <c r="K22" i="23"/>
  <c r="M1" i="14"/>
  <c r="H21" i="23"/>
  <c r="J4" i="22"/>
  <c r="E36" i="23"/>
  <c r="I3" i="8"/>
  <c r="E37" i="23"/>
  <c r="F38" i="23"/>
  <c r="I4" i="8"/>
  <c r="D39" i="23"/>
  <c r="D5" i="8"/>
  <c r="N33" i="23"/>
  <c r="B5" i="12"/>
  <c r="B5" i="13"/>
  <c r="K36" i="23"/>
  <c r="B4" i="8"/>
  <c r="C2" i="8"/>
  <c r="I2" i="8"/>
  <c r="G33" i="23"/>
  <c r="H22" i="23"/>
  <c r="M4" i="17"/>
  <c r="M4" i="18"/>
  <c r="G4" i="17"/>
  <c r="I4" i="18"/>
  <c r="B2" i="23"/>
  <c r="E4" i="10"/>
  <c r="C20" i="23"/>
  <c r="H1" i="14"/>
  <c r="C5" i="17"/>
  <c r="O4" i="18"/>
  <c r="I5" i="18"/>
  <c r="H5" i="18"/>
  <c r="C6" i="10"/>
  <c r="B6" i="23"/>
  <c r="B10" i="23"/>
  <c r="H20" i="23"/>
  <c r="F1" i="14"/>
  <c r="C3" i="7"/>
  <c r="F4" i="17"/>
  <c r="J4" i="18"/>
  <c r="E5" i="18"/>
  <c r="B7" i="23"/>
  <c r="C2" i="13"/>
  <c r="G4" i="18"/>
  <c r="M5" i="18"/>
  <c r="B3" i="12"/>
  <c r="I13" i="22"/>
  <c r="I12" i="22"/>
  <c r="F19" i="23"/>
  <c r="H15" i="22"/>
  <c r="G4" i="10"/>
  <c r="H12" i="22"/>
  <c r="I7" i="22"/>
  <c r="G19" i="23"/>
  <c r="C19" i="23"/>
  <c r="H10" i="22"/>
  <c r="H5" i="22"/>
  <c r="H19" i="23"/>
  <c r="H6" i="22"/>
  <c r="H11" i="22"/>
  <c r="G3" i="10"/>
  <c r="G13" i="22"/>
  <c r="J10" i="22"/>
  <c r="J7" i="22"/>
  <c r="E19" i="23"/>
  <c r="I19" i="23"/>
  <c r="B12" i="23"/>
  <c r="B11" i="23"/>
  <c r="E16" i="23"/>
  <c r="D12" i="23"/>
  <c r="C8" i="10"/>
  <c r="C10" i="23"/>
  <c r="C11" i="23"/>
  <c r="C16" i="23"/>
  <c r="G8" i="10"/>
  <c r="D11" i="23"/>
  <c r="F7" i="10"/>
  <c r="G28" i="23"/>
  <c r="I31" i="23"/>
  <c r="D27" i="23"/>
  <c r="H29" i="23"/>
  <c r="H30" i="23"/>
  <c r="N27" i="23"/>
  <c r="C30" i="23"/>
  <c r="I29" i="23"/>
  <c r="K29" i="23"/>
  <c r="I30" i="23"/>
  <c r="C7" i="10"/>
  <c r="M29" i="23"/>
  <c r="F29" i="23"/>
  <c r="H31" i="23"/>
  <c r="F27" i="23"/>
  <c r="L32" i="23"/>
  <c r="G29" i="23"/>
  <c r="L23" i="23"/>
  <c r="J26" i="23"/>
  <c r="H23" i="23"/>
  <c r="B25" i="23"/>
  <c r="K26" i="23"/>
  <c r="L26" i="23"/>
  <c r="E2" i="23"/>
  <c r="B2" i="11"/>
  <c r="D9" i="10"/>
  <c r="G24" i="23"/>
  <c r="M25" i="23"/>
  <c r="G25" i="23"/>
  <c r="J25" i="23"/>
  <c r="F24" i="23"/>
  <c r="L25" i="23"/>
  <c r="M21" i="23"/>
  <c r="J21" i="23"/>
  <c r="N1" i="14"/>
  <c r="N22" i="23"/>
  <c r="L22" i="23"/>
  <c r="D7" i="23"/>
  <c r="O39" i="23"/>
  <c r="C36" i="23"/>
  <c r="C24" i="23"/>
  <c r="I5" i="8"/>
  <c r="G4" i="8"/>
  <c r="I36" i="23"/>
  <c r="O37" i="23"/>
  <c r="C5" i="12"/>
  <c r="E30" i="23"/>
  <c r="C22" i="23"/>
  <c r="G5" i="22"/>
  <c r="B2" i="13"/>
  <c r="C25" i="23"/>
  <c r="F3" i="8"/>
  <c r="C5" i="13"/>
  <c r="M33" i="23"/>
  <c r="C4" i="15"/>
  <c r="E9" i="23"/>
  <c r="G6" i="22"/>
  <c r="J33" i="23"/>
  <c r="E22" i="23"/>
  <c r="I20" i="23"/>
  <c r="C4" i="8"/>
  <c r="B4" i="11"/>
  <c r="B4" i="13"/>
  <c r="C3" i="13"/>
  <c r="D4" i="8"/>
  <c r="E8" i="23"/>
  <c r="C38" i="23"/>
  <c r="G5" i="18"/>
  <c r="O4" i="17"/>
  <c r="B6" i="10"/>
  <c r="F4" i="18"/>
  <c r="E3" i="10"/>
  <c r="J19" i="23"/>
  <c r="J15" i="22"/>
  <c r="D6" i="23"/>
  <c r="G14" i="22"/>
  <c r="D2" i="23"/>
  <c r="B33" i="23"/>
  <c r="D28" i="23"/>
  <c r="E29" i="23"/>
  <c r="D7" i="10"/>
  <c r="L27" i="23"/>
  <c r="J30" i="23"/>
  <c r="I7" i="10"/>
  <c r="E24" i="23"/>
  <c r="G21" i="23"/>
  <c r="D15" i="23"/>
  <c r="E39" i="23"/>
  <c r="C2" i="14"/>
  <c r="B38" i="23"/>
  <c r="N21" i="23"/>
  <c r="C33" i="23"/>
  <c r="L1" i="14"/>
  <c r="K38" i="23"/>
  <c r="I37" i="23"/>
  <c r="G2" i="8"/>
  <c r="B2" i="8"/>
  <c r="M37" i="23"/>
  <c r="I4" i="22"/>
  <c r="G4" i="22"/>
  <c r="B3" i="8"/>
  <c r="J37" i="23"/>
  <c r="I39" i="23"/>
  <c r="E26" i="23"/>
  <c r="E3" i="8"/>
  <c r="H37" i="23"/>
  <c r="C26" i="23"/>
  <c r="E31" i="23"/>
  <c r="I33" i="23"/>
  <c r="C37" i="23"/>
  <c r="E15" i="23"/>
  <c r="D5" i="18"/>
  <c r="H3" i="10"/>
  <c r="J9" i="22"/>
  <c r="D19" i="23"/>
  <c r="D16" i="23"/>
  <c r="C9" i="10"/>
  <c r="B9" i="10"/>
  <c r="M32" i="23"/>
  <c r="E4" i="23"/>
  <c r="K24" i="23"/>
  <c r="F22" i="23"/>
  <c r="P38" i="23"/>
  <c r="K1" i="14"/>
  <c r="E21" i="23"/>
  <c r="D36" i="23"/>
  <c r="O36" i="23"/>
  <c r="D9" i="23"/>
  <c r="D26" i="23"/>
  <c r="I38" i="23"/>
  <c r="G36" i="23"/>
  <c r="C32" i="23"/>
  <c r="L36" i="23"/>
  <c r="D32" i="23"/>
  <c r="K4" i="17"/>
  <c r="B4" i="10"/>
  <c r="K4" i="18"/>
  <c r="J5" i="18"/>
  <c r="I14" i="22"/>
  <c r="C6" i="23"/>
  <c r="J14" i="22"/>
  <c r="D10" i="23"/>
  <c r="G31" i="23"/>
  <c r="C27" i="23"/>
  <c r="K25" i="23"/>
  <c r="H24" i="23"/>
  <c r="I8" i="10"/>
  <c r="J22" i="23"/>
  <c r="J1" i="14"/>
  <c r="D2" i="14"/>
  <c r="G38" i="23"/>
  <c r="J39" i="23"/>
  <c r="E33" i="23"/>
  <c r="G37" i="23"/>
  <c r="E2" i="8"/>
  <c r="B36" i="23"/>
  <c r="C5" i="11"/>
  <c r="E14" i="23"/>
  <c r="P36" i="23"/>
  <c r="C4" i="17"/>
  <c r="C5" i="10"/>
  <c r="I5" i="17"/>
  <c r="B5" i="11"/>
  <c r="G1" i="14"/>
  <c r="B8" i="23"/>
  <c r="I1" i="14"/>
  <c r="G5" i="17"/>
  <c r="G6" i="10"/>
  <c r="C4" i="23"/>
  <c r="K19" i="23"/>
  <c r="D7" i="14"/>
  <c r="H9" i="10"/>
  <c r="E28" i="23"/>
  <c r="L30" i="23"/>
  <c r="L31" i="23"/>
  <c r="K27" i="23"/>
  <c r="H27" i="23"/>
  <c r="J23" i="23"/>
  <c r="M24" i="23"/>
  <c r="I26" i="23"/>
  <c r="F21" i="23"/>
  <c r="L21" i="23"/>
  <c r="H39" i="23"/>
  <c r="F4" i="8"/>
  <c r="J6" i="22"/>
  <c r="H3" i="8"/>
  <c r="E4" i="8"/>
  <c r="G22" i="23"/>
  <c r="D22" i="23"/>
  <c r="C3" i="11"/>
  <c r="B5" i="8"/>
  <c r="G3" i="8"/>
  <c r="O38" i="23"/>
  <c r="D33" i="23"/>
  <c r="J5" i="22"/>
  <c r="E38" i="23"/>
  <c r="H5" i="8"/>
  <c r="D13" i="23"/>
  <c r="F37" i="23"/>
  <c r="N38" i="23"/>
  <c r="D23" i="23"/>
  <c r="N36" i="23"/>
  <c r="C5" i="8"/>
  <c r="H33" i="23"/>
  <c r="H2" i="8"/>
  <c r="H36" i="23"/>
  <c r="E13" i="23"/>
  <c r="K5" i="18"/>
  <c r="B13" i="23"/>
  <c r="C5" i="18"/>
  <c r="N5" i="18"/>
  <c r="C4" i="10"/>
  <c r="C4" i="18"/>
  <c r="C8" i="23"/>
  <c r="C3" i="23"/>
  <c r="H8" i="10"/>
  <c r="I28" i="23"/>
  <c r="D8" i="10"/>
  <c r="J32" i="23"/>
  <c r="A16" i="23"/>
  <c r="M26" i="23"/>
  <c r="I6" i="22"/>
  <c r="B37" i="23"/>
  <c r="C39" i="23"/>
  <c r="H4" i="8"/>
  <c r="B39" i="23"/>
  <c r="F39" i="23"/>
  <c r="P37" i="23"/>
  <c r="K33" i="23"/>
  <c r="L38" i="23"/>
  <c r="J36" i="23"/>
  <c r="M38" i="23"/>
  <c r="L39" i="23"/>
  <c r="C31" i="23"/>
  <c r="C23" i="23"/>
  <c r="E20" i="23"/>
  <c r="E2" i="6"/>
  <c r="B3" i="11"/>
  <c r="E1" i="14"/>
  <c r="I9" i="22"/>
  <c r="D4" i="10"/>
  <c r="I10" i="22"/>
  <c r="C28" i="23"/>
  <c r="F30" i="23"/>
  <c r="K30" i="23"/>
  <c r="N23" i="23"/>
  <c r="B22" i="23"/>
  <c r="C3" i="12"/>
  <c r="B2" i="12"/>
  <c r="D25" i="23"/>
  <c r="B4" i="12"/>
  <c r="F36" i="23"/>
  <c r="D38" i="23"/>
  <c r="I5" i="22"/>
  <c r="N37" i="23"/>
  <c r="G5" i="8"/>
  <c r="G39" i="23"/>
  <c r="E32" i="23"/>
  <c r="D31" i="23"/>
  <c r="K1" i="15" l="1"/>
  <c r="M1" i="19"/>
  <c r="H1" i="15"/>
  <c r="L1" i="20"/>
  <c r="O1" i="19"/>
  <c r="C1" i="17"/>
  <c r="H1" i="19"/>
  <c r="O1" i="15"/>
  <c r="K1" i="19"/>
  <c r="K1" i="21"/>
  <c r="I1" i="21"/>
  <c r="G1" i="20"/>
  <c r="J1" i="21"/>
  <c r="I1" i="19"/>
  <c r="H1" i="21"/>
  <c r="J1" i="15"/>
  <c r="I1" i="20"/>
  <c r="N1" i="20"/>
  <c r="I1" i="15"/>
  <c r="L1" i="15"/>
  <c r="M1" i="21"/>
  <c r="N1" i="15"/>
  <c r="D1" i="21"/>
  <c r="E1" i="21"/>
  <c r="G1" i="15"/>
  <c r="C1" i="21"/>
  <c r="O1" i="21"/>
  <c r="M1" i="15"/>
  <c r="L1" i="21"/>
  <c r="C1" i="18"/>
  <c r="C1" i="16"/>
  <c r="J1" i="20"/>
  <c r="N1" i="19"/>
  <c r="G1" i="21"/>
  <c r="N1" i="21"/>
  <c r="J1" i="19"/>
  <c r="H1" i="20"/>
  <c r="G1" i="19"/>
  <c r="M1" i="20"/>
  <c r="F1" i="21"/>
  <c r="L1" i="19"/>
  <c r="K1" i="20"/>
  <c r="O1" i="20"/>
  <c r="E2" i="4"/>
  <c r="E3" i="4"/>
  <c r="C5" i="21"/>
  <c r="F1" i="19"/>
  <c r="E1" i="18"/>
  <c r="M1" i="17"/>
  <c r="F1" i="18"/>
  <c r="H2" i="20"/>
  <c r="G5" i="14"/>
  <c r="K4" i="16"/>
  <c r="L2" i="17"/>
  <c r="F1" i="17"/>
  <c r="J2" i="14"/>
  <c r="M2" i="17"/>
  <c r="E2" i="19"/>
  <c r="J2" i="15"/>
  <c r="I5" i="16"/>
  <c r="C3" i="4"/>
  <c r="H4" i="15"/>
  <c r="J7" i="14"/>
  <c r="H5" i="15"/>
  <c r="J5" i="15"/>
  <c r="C4" i="16"/>
  <c r="L2" i="14"/>
  <c r="O2" i="16"/>
  <c r="H1" i="16"/>
  <c r="H1" i="18"/>
  <c r="J2" i="17"/>
  <c r="J1" i="16"/>
  <c r="K2" i="20"/>
  <c r="I4" i="16"/>
  <c r="N8" i="15"/>
  <c r="F5" i="14"/>
  <c r="L4" i="16"/>
  <c r="D10" i="22"/>
  <c r="D8" i="22"/>
  <c r="F11" i="22"/>
  <c r="J2" i="18"/>
  <c r="K2" i="18"/>
  <c r="M2" i="16"/>
  <c r="L2" i="18"/>
  <c r="M2" i="14"/>
  <c r="L2" i="16"/>
  <c r="H2" i="19"/>
  <c r="K2" i="15"/>
  <c r="C2" i="4"/>
  <c r="F4" i="14"/>
  <c r="E5" i="15"/>
  <c r="K7" i="14"/>
  <c r="F9" i="22"/>
  <c r="E8" i="15"/>
  <c r="D1" i="15"/>
  <c r="C10" i="22"/>
  <c r="E14" i="22"/>
  <c r="E1" i="15"/>
  <c r="H3" i="22"/>
  <c r="E12" i="22"/>
  <c r="E1" i="20"/>
  <c r="E4" i="14"/>
  <c r="F10" i="22"/>
  <c r="M4" i="22"/>
  <c r="G2" i="17"/>
  <c r="E2" i="17"/>
  <c r="G3" i="22"/>
  <c r="M5" i="20"/>
  <c r="N13" i="22"/>
  <c r="M5" i="22"/>
  <c r="E5" i="20"/>
  <c r="N5" i="20"/>
  <c r="N7" i="22"/>
  <c r="I2" i="18"/>
  <c r="E2" i="18"/>
  <c r="K8" i="19"/>
  <c r="N10" i="22"/>
  <c r="J8" i="20"/>
  <c r="L6" i="22"/>
  <c r="K5" i="22"/>
  <c r="I11" i="20"/>
  <c r="O11" i="22"/>
  <c r="N5" i="19"/>
  <c r="L4" i="19"/>
  <c r="H8" i="20"/>
  <c r="H7" i="20"/>
  <c r="C4" i="20"/>
  <c r="K7" i="19"/>
  <c r="H4" i="19"/>
  <c r="M6" i="22"/>
  <c r="N8" i="22"/>
  <c r="C7" i="19"/>
  <c r="K4" i="21"/>
  <c r="P11" i="22"/>
  <c r="O10" i="19"/>
  <c r="O5" i="21"/>
  <c r="P6" i="22"/>
  <c r="N4" i="19"/>
  <c r="G7" i="19"/>
  <c r="F5" i="20"/>
  <c r="O7" i="20"/>
  <c r="E5" i="19"/>
  <c r="E7" i="20"/>
  <c r="O6" i="22"/>
  <c r="E4" i="21"/>
  <c r="D11" i="19"/>
  <c r="C7" i="21"/>
  <c r="D7" i="19"/>
  <c r="F8" i="20"/>
  <c r="C8" i="19"/>
  <c r="H5" i="20"/>
  <c r="D10" i="19"/>
  <c r="N7" i="20"/>
  <c r="O10" i="21"/>
  <c r="N5" i="21"/>
  <c r="I5" i="21"/>
  <c r="N8" i="21"/>
  <c r="L5" i="20"/>
  <c r="E3" i="22"/>
  <c r="O12" i="22"/>
  <c r="F8" i="21"/>
  <c r="L7" i="20"/>
  <c r="I10" i="21"/>
  <c r="M11" i="19"/>
  <c r="L11" i="21"/>
  <c r="O8" i="20"/>
  <c r="H5" i="21"/>
  <c r="O10" i="22"/>
  <c r="N4" i="21"/>
  <c r="P8" i="22"/>
  <c r="M3" i="22"/>
  <c r="E7" i="19"/>
  <c r="N7" i="21"/>
  <c r="M5" i="21"/>
  <c r="O7" i="22"/>
  <c r="D2" i="20"/>
  <c r="H11" i="17"/>
  <c r="G11" i="15"/>
  <c r="C11" i="17"/>
  <c r="D2" i="7"/>
  <c r="O8" i="18"/>
  <c r="O2" i="15"/>
  <c r="D3" i="6"/>
  <c r="F8" i="17"/>
  <c r="J7" i="17"/>
  <c r="N2" i="18"/>
  <c r="K1" i="17"/>
  <c r="J1" i="18"/>
  <c r="K2" i="16"/>
  <c r="I5" i="14"/>
  <c r="F2" i="4"/>
  <c r="G4" i="14"/>
  <c r="N1" i="17"/>
  <c r="O1" i="17"/>
  <c r="J2" i="19"/>
  <c r="J2" i="20"/>
  <c r="C5" i="14"/>
  <c r="J4" i="16"/>
  <c r="K8" i="15"/>
  <c r="C3" i="5"/>
  <c r="D4" i="14"/>
  <c r="I7" i="14"/>
  <c r="J8" i="14"/>
  <c r="K2" i="14"/>
  <c r="G1" i="18"/>
  <c r="J2" i="16"/>
  <c r="K1" i="16"/>
  <c r="K2" i="19"/>
  <c r="O4" i="16"/>
  <c r="G7" i="14"/>
  <c r="C5" i="16"/>
  <c r="E7" i="14"/>
  <c r="K5" i="15"/>
  <c r="M4" i="16"/>
  <c r="I1" i="17"/>
  <c r="I1" i="16"/>
  <c r="M2" i="18"/>
  <c r="N1" i="16"/>
  <c r="H2" i="21"/>
  <c r="I4" i="14"/>
  <c r="L7" i="14"/>
  <c r="O7" i="14"/>
  <c r="D4" i="16"/>
  <c r="N5" i="16"/>
  <c r="E9" i="22"/>
  <c r="E4" i="16"/>
  <c r="B3" i="5"/>
  <c r="L5" i="16"/>
  <c r="F7" i="22"/>
  <c r="C1" i="15"/>
  <c r="L8" i="14"/>
  <c r="F14" i="22"/>
  <c r="F1" i="15"/>
  <c r="F13" i="22"/>
  <c r="D5" i="20"/>
  <c r="H2" i="17"/>
  <c r="F2" i="17"/>
  <c r="J3" i="22"/>
  <c r="M7" i="20"/>
  <c r="M11" i="20"/>
  <c r="N5" i="22"/>
  <c r="G4" i="20"/>
  <c r="F7" i="19"/>
  <c r="G5" i="20"/>
  <c r="F2" i="18"/>
  <c r="I8" i="20"/>
  <c r="H5" i="19"/>
  <c r="F11" i="20"/>
  <c r="C5" i="20"/>
  <c r="E4" i="19"/>
  <c r="O4" i="20"/>
  <c r="I5" i="20"/>
  <c r="F11" i="21"/>
  <c r="P15" i="22"/>
  <c r="L12" i="22"/>
  <c r="O11" i="19"/>
  <c r="N7" i="19"/>
  <c r="I10" i="20"/>
  <c r="K14" i="22"/>
  <c r="H8" i="19"/>
  <c r="K7" i="22"/>
  <c r="O4" i="22"/>
  <c r="F5" i="19"/>
  <c r="K4" i="22"/>
  <c r="E7" i="21"/>
  <c r="M8" i="22"/>
  <c r="K1" i="18"/>
  <c r="F1" i="16"/>
  <c r="N4" i="16"/>
  <c r="J7" i="15"/>
  <c r="J5" i="16"/>
  <c r="E1" i="19"/>
  <c r="N2" i="17"/>
  <c r="N1" i="18"/>
  <c r="N2" i="16"/>
  <c r="L1" i="16"/>
  <c r="N2" i="21"/>
  <c r="E5" i="14"/>
  <c r="H7" i="14"/>
  <c r="F4" i="16"/>
  <c r="F7" i="14"/>
  <c r="C2" i="5"/>
  <c r="M8" i="14"/>
  <c r="G5" i="16"/>
  <c r="E11" i="22"/>
  <c r="D1" i="18"/>
  <c r="G1" i="16"/>
  <c r="L1" i="18"/>
  <c r="J2" i="21"/>
  <c r="C4" i="14"/>
  <c r="D5" i="22"/>
  <c r="E3" i="5"/>
  <c r="N7" i="15"/>
  <c r="K8" i="14"/>
  <c r="C8" i="22"/>
  <c r="D11" i="22"/>
  <c r="N2" i="14"/>
  <c r="G1" i="17"/>
  <c r="D1" i="17"/>
  <c r="M1" i="16"/>
  <c r="K2" i="21"/>
  <c r="K4" i="15"/>
  <c r="B19" i="23"/>
  <c r="B2" i="4"/>
  <c r="D14" i="22"/>
  <c r="F8" i="22"/>
  <c r="E15" i="22"/>
  <c r="B2" i="5"/>
  <c r="H8" i="15"/>
  <c r="F15" i="22"/>
  <c r="B20" i="23"/>
  <c r="F5" i="16"/>
  <c r="E7" i="22"/>
  <c r="E2" i="21"/>
  <c r="C11" i="22"/>
  <c r="D1" i="20"/>
  <c r="D4" i="20"/>
  <c r="D2" i="17"/>
  <c r="I3" i="22"/>
  <c r="M13" i="22"/>
  <c r="K5" i="20"/>
  <c r="M4" i="20"/>
  <c r="E4" i="20"/>
  <c r="N14" i="22"/>
  <c r="N4" i="20"/>
  <c r="G2" i="18"/>
  <c r="H2" i="18"/>
  <c r="C4" i="21"/>
  <c r="G7" i="20"/>
  <c r="F7" i="20"/>
  <c r="G8" i="19"/>
  <c r="N15" i="22"/>
  <c r="D10" i="21"/>
  <c r="D4" i="19"/>
  <c r="I4" i="20"/>
  <c r="K11" i="22"/>
  <c r="K15" i="22"/>
  <c r="L11" i="19"/>
  <c r="K4" i="19"/>
  <c r="E8" i="20"/>
  <c r="M10" i="19"/>
  <c r="F10" i="20"/>
  <c r="M15" i="22"/>
  <c r="G8" i="20"/>
  <c r="L13" i="22"/>
  <c r="K5" i="21"/>
  <c r="K12" i="22"/>
  <c r="O11" i="21"/>
  <c r="L5" i="22"/>
  <c r="K5" i="19"/>
  <c r="E8" i="21"/>
  <c r="K8" i="20"/>
  <c r="L7" i="22"/>
  <c r="C4" i="19"/>
  <c r="M4" i="19"/>
  <c r="L7" i="19"/>
  <c r="D11" i="20"/>
  <c r="L11" i="22"/>
  <c r="D5" i="19"/>
  <c r="E5" i="21"/>
  <c r="J5" i="20"/>
  <c r="G4" i="19"/>
  <c r="O10" i="20"/>
  <c r="N9" i="22"/>
  <c r="O4" i="21"/>
  <c r="L7" i="21"/>
  <c r="P7" i="22"/>
  <c r="M4" i="21"/>
  <c r="O3" i="22"/>
  <c r="G4" i="21"/>
  <c r="O7" i="21"/>
  <c r="P13" i="22"/>
  <c r="J4" i="21"/>
  <c r="I7" i="21"/>
  <c r="I11" i="19"/>
  <c r="O8" i="21"/>
  <c r="P10" i="22"/>
  <c r="I11" i="21"/>
  <c r="I7" i="19"/>
  <c r="I4" i="19"/>
  <c r="J5" i="21"/>
  <c r="I5" i="19"/>
  <c r="L10" i="21"/>
  <c r="D8" i="21"/>
  <c r="M7" i="19"/>
  <c r="M7" i="21"/>
  <c r="P14" i="22"/>
  <c r="P3" i="22"/>
  <c r="M2" i="20"/>
  <c r="G10" i="16"/>
  <c r="D13" i="22"/>
  <c r="C4" i="22"/>
  <c r="M8" i="15"/>
  <c r="C1" i="19"/>
  <c r="N5" i="15"/>
  <c r="O1" i="18"/>
  <c r="C5" i="22"/>
  <c r="O8" i="14"/>
  <c r="N2" i="19"/>
  <c r="B3" i="4"/>
  <c r="H1" i="17"/>
  <c r="N2" i="15"/>
  <c r="N8" i="14"/>
  <c r="H7" i="15"/>
  <c r="F1" i="20"/>
  <c r="C14" i="22"/>
  <c r="N4" i="22"/>
  <c r="M10" i="20"/>
  <c r="M14" i="22"/>
  <c r="J4" i="20"/>
  <c r="M5" i="19"/>
  <c r="L10" i="19"/>
  <c r="N6" i="22"/>
  <c r="I7" i="20"/>
  <c r="J7" i="19"/>
  <c r="H4" i="20"/>
  <c r="J7" i="20"/>
  <c r="F11" i="19"/>
  <c r="F5" i="21"/>
  <c r="O5" i="22"/>
  <c r="L4" i="22"/>
  <c r="O5" i="20"/>
  <c r="L14" i="22"/>
  <c r="L5" i="21"/>
  <c r="M12" i="22"/>
  <c r="G7" i="21"/>
  <c r="J5" i="19"/>
  <c r="H4" i="21"/>
  <c r="L3" i="22"/>
  <c r="O7" i="19"/>
  <c r="I8" i="21"/>
  <c r="G8" i="21"/>
  <c r="N8" i="20"/>
  <c r="L11" i="20"/>
  <c r="L2" i="15"/>
  <c r="G10" i="15"/>
  <c r="D7" i="15"/>
  <c r="L2" i="20"/>
  <c r="B2" i="6"/>
  <c r="M7" i="15"/>
  <c r="J8" i="18"/>
  <c r="C10" i="17"/>
  <c r="E11" i="15"/>
  <c r="H4" i="14"/>
  <c r="O1" i="16"/>
  <c r="E2" i="20"/>
  <c r="M5" i="16"/>
  <c r="D5" i="14"/>
  <c r="H5" i="14"/>
  <c r="H4" i="16"/>
  <c r="E7" i="15"/>
  <c r="N2" i="20"/>
  <c r="N4" i="15"/>
  <c r="E10" i="22"/>
  <c r="C3" i="22"/>
  <c r="I2" i="17"/>
  <c r="K4" i="20"/>
  <c r="K8" i="22"/>
  <c r="M9" i="22"/>
  <c r="M8" i="19"/>
  <c r="L8" i="22"/>
  <c r="D7" i="20"/>
  <c r="F4" i="19"/>
  <c r="M8" i="20"/>
  <c r="G5" i="19"/>
  <c r="K13" i="22"/>
  <c r="D8" i="20"/>
  <c r="L5" i="19"/>
  <c r="K7" i="20"/>
  <c r="D5" i="21"/>
  <c r="L8" i="19"/>
  <c r="K9" i="22"/>
  <c r="P12" i="22"/>
  <c r="D7" i="21"/>
  <c r="O13" i="22"/>
  <c r="O14" i="22"/>
  <c r="J7" i="21"/>
  <c r="H7" i="21"/>
  <c r="K3" i="22"/>
  <c r="H8" i="21"/>
  <c r="M11" i="21"/>
  <c r="M8" i="21"/>
  <c r="D8" i="17"/>
  <c r="G2" i="20"/>
  <c r="F10" i="14"/>
  <c r="H11" i="18"/>
  <c r="C7" i="22"/>
  <c r="K8" i="17"/>
  <c r="C7" i="18"/>
  <c r="L11" i="15"/>
  <c r="E8" i="17"/>
  <c r="H8" i="18"/>
  <c r="H11" i="16"/>
  <c r="D2" i="21"/>
  <c r="J10" i="16"/>
  <c r="O7" i="18"/>
  <c r="B3" i="7"/>
  <c r="N11" i="16"/>
  <c r="O5" i="14"/>
  <c r="C2" i="16"/>
  <c r="J7" i="16"/>
  <c r="J11" i="20"/>
  <c r="G11" i="19"/>
  <c r="G10" i="19"/>
  <c r="O4" i="14"/>
  <c r="O10" i="14"/>
  <c r="K8" i="16"/>
  <c r="F11" i="18"/>
  <c r="C8" i="17"/>
  <c r="J10" i="18"/>
  <c r="K10" i="17"/>
  <c r="I2" i="20"/>
  <c r="E10" i="18"/>
  <c r="L5" i="15"/>
  <c r="F8" i="18"/>
  <c r="C2" i="19"/>
  <c r="D2" i="6"/>
  <c r="I7" i="15"/>
  <c r="L8" i="16"/>
  <c r="C11" i="16"/>
  <c r="D7" i="22"/>
  <c r="D8" i="14"/>
  <c r="C5" i="15"/>
  <c r="M11" i="18"/>
  <c r="D3" i="5"/>
  <c r="D8" i="16"/>
  <c r="O2" i="20"/>
  <c r="G11" i="17"/>
  <c r="D7" i="18"/>
  <c r="G8" i="17"/>
  <c r="E7" i="17"/>
  <c r="N8" i="17"/>
  <c r="H11" i="15"/>
  <c r="D12" i="22"/>
  <c r="H8" i="17"/>
  <c r="G10" i="14"/>
  <c r="M8" i="17"/>
  <c r="N8" i="18"/>
  <c r="D2" i="4"/>
  <c r="H7" i="16"/>
  <c r="J10" i="14"/>
  <c r="E7" i="16"/>
  <c r="J5" i="14"/>
  <c r="G8" i="14"/>
  <c r="K11" i="16"/>
  <c r="F8" i="14"/>
  <c r="F2" i="15"/>
  <c r="C8" i="16"/>
  <c r="C11" i="21"/>
  <c r="H10" i="21"/>
  <c r="E4" i="22"/>
  <c r="I2" i="19"/>
  <c r="J11" i="18"/>
  <c r="M2" i="21"/>
  <c r="L7" i="18"/>
  <c r="I11" i="18"/>
  <c r="F4" i="15"/>
  <c r="C10" i="16"/>
  <c r="C7" i="14"/>
  <c r="O11" i="18"/>
  <c r="I11" i="16"/>
  <c r="I10" i="15"/>
  <c r="K10" i="14"/>
  <c r="D4" i="15"/>
  <c r="H10" i="14"/>
  <c r="C2" i="21"/>
  <c r="M10" i="15"/>
  <c r="G2" i="14"/>
  <c r="E2" i="14"/>
  <c r="K11" i="20"/>
  <c r="L1" i="17"/>
  <c r="E2" i="5"/>
  <c r="J1" i="17"/>
  <c r="H2" i="15"/>
  <c r="J8" i="15"/>
  <c r="D1" i="19"/>
  <c r="J4" i="15"/>
  <c r="G4" i="16"/>
  <c r="D1" i="16"/>
  <c r="E1" i="16"/>
  <c r="M7" i="14"/>
  <c r="K5" i="16"/>
  <c r="E4" i="15"/>
  <c r="E13" i="22"/>
  <c r="F3" i="22"/>
  <c r="M11" i="22"/>
  <c r="D2" i="18"/>
  <c r="P4" i="22"/>
  <c r="P5" i="22"/>
  <c r="C7" i="20"/>
  <c r="C5" i="19"/>
  <c r="O4" i="19"/>
  <c r="K7" i="21"/>
  <c r="M10" i="22"/>
  <c r="F8" i="19"/>
  <c r="F4" i="21"/>
  <c r="D8" i="19"/>
  <c r="C8" i="20"/>
  <c r="F4" i="20"/>
  <c r="F10" i="19"/>
  <c r="L10" i="22"/>
  <c r="M10" i="21"/>
  <c r="O8" i="22"/>
  <c r="L8" i="20"/>
  <c r="P9" i="22"/>
  <c r="J8" i="19"/>
  <c r="J4" i="19"/>
  <c r="L9" i="22"/>
  <c r="I4" i="21"/>
  <c r="L8" i="21"/>
  <c r="G5" i="21"/>
  <c r="I10" i="19"/>
  <c r="J10" i="15"/>
  <c r="G7" i="16"/>
  <c r="F2" i="6"/>
  <c r="D15" i="22"/>
  <c r="M11" i="17"/>
  <c r="G2" i="21"/>
  <c r="O10" i="17"/>
  <c r="E11" i="18"/>
  <c r="F3" i="6"/>
  <c r="C7" i="16"/>
  <c r="C2" i="15"/>
  <c r="G8" i="18"/>
  <c r="H2" i="14"/>
  <c r="C7" i="15"/>
  <c r="F5" i="15"/>
  <c r="D11" i="16"/>
  <c r="F5" i="22"/>
  <c r="I8" i="16"/>
  <c r="G8" i="16"/>
  <c r="C11" i="19"/>
  <c r="K11" i="19"/>
  <c r="J10" i="21"/>
  <c r="J11" i="21"/>
  <c r="H10" i="15"/>
  <c r="B21" i="23"/>
  <c r="O7" i="17"/>
  <c r="N11" i="18"/>
  <c r="I7" i="18"/>
  <c r="E11" i="16"/>
  <c r="I10" i="16"/>
  <c r="D11" i="17"/>
  <c r="D7" i="17"/>
  <c r="L7" i="15"/>
  <c r="E10" i="14"/>
  <c r="D10" i="14"/>
  <c r="E10" i="16"/>
  <c r="D5" i="15"/>
  <c r="N5" i="14"/>
  <c r="N10" i="16"/>
  <c r="E11" i="14"/>
  <c r="G11" i="14"/>
  <c r="O8" i="16"/>
  <c r="K10" i="20"/>
  <c r="C10" i="21"/>
  <c r="I2" i="15"/>
  <c r="F7" i="16"/>
  <c r="I11" i="17"/>
  <c r="M10" i="17"/>
  <c r="K11" i="17"/>
  <c r="N7" i="18"/>
  <c r="G2" i="15"/>
  <c r="F7" i="17"/>
  <c r="I10" i="14"/>
  <c r="F11" i="15"/>
  <c r="C2" i="20"/>
  <c r="M11" i="15"/>
  <c r="K11" i="18"/>
  <c r="D11" i="15"/>
  <c r="G11" i="18"/>
  <c r="O5" i="15"/>
  <c r="I10" i="18"/>
  <c r="L5" i="14"/>
  <c r="L11" i="16"/>
  <c r="G8" i="15"/>
  <c r="F2" i="14"/>
  <c r="D2" i="16"/>
  <c r="J10" i="20"/>
  <c r="J11" i="19"/>
  <c r="N4" i="14"/>
  <c r="F2" i="19"/>
  <c r="L10" i="17"/>
  <c r="O7" i="15"/>
  <c r="I8" i="17"/>
  <c r="E1" i="17"/>
  <c r="K7" i="15"/>
  <c r="D5" i="16"/>
  <c r="M1" i="18"/>
  <c r="C1" i="20"/>
  <c r="M7" i="22"/>
  <c r="L15" i="22"/>
  <c r="O15" i="22"/>
  <c r="N8" i="19"/>
  <c r="O8" i="19"/>
  <c r="L10" i="20"/>
  <c r="N3" i="22"/>
  <c r="D6" i="22"/>
  <c r="I8" i="15"/>
  <c r="I7" i="16"/>
  <c r="H11" i="14"/>
  <c r="H8" i="14"/>
  <c r="L10" i="14"/>
  <c r="H2" i="16"/>
  <c r="G10" i="20"/>
  <c r="K10" i="21"/>
  <c r="G2" i="19"/>
  <c r="L2" i="19"/>
  <c r="L10" i="18"/>
  <c r="M2" i="15"/>
  <c r="M10" i="18"/>
  <c r="D7" i="16"/>
  <c r="O8" i="17"/>
  <c r="O11" i="17"/>
  <c r="G11" i="16"/>
  <c r="E8" i="14"/>
  <c r="F8" i="16"/>
  <c r="D8" i="18"/>
  <c r="M2" i="19"/>
  <c r="N11" i="17"/>
  <c r="I2" i="21"/>
  <c r="E10" i="15"/>
  <c r="D2" i="19"/>
  <c r="N10" i="14"/>
  <c r="H7" i="17"/>
  <c r="O4" i="15"/>
  <c r="C11" i="15"/>
  <c r="K5" i="14"/>
  <c r="N10" i="19"/>
  <c r="N11" i="20"/>
  <c r="M7" i="17"/>
  <c r="F10" i="15"/>
  <c r="L11" i="14"/>
  <c r="K7" i="17"/>
  <c r="I8" i="18"/>
  <c r="D3" i="7"/>
  <c r="G7" i="18"/>
  <c r="D10" i="17"/>
  <c r="D9" i="22"/>
  <c r="F10" i="18"/>
  <c r="M11" i="16"/>
  <c r="I2" i="14"/>
  <c r="F2" i="16"/>
  <c r="E2" i="16"/>
  <c r="H10" i="20"/>
  <c r="C10" i="20"/>
  <c r="N11" i="21"/>
  <c r="H11" i="19"/>
  <c r="H10" i="16"/>
  <c r="C13" i="22"/>
  <c r="J8" i="16"/>
  <c r="F8" i="15"/>
  <c r="E2" i="15"/>
  <c r="C8" i="14"/>
  <c r="K4" i="14"/>
  <c r="F2" i="21"/>
  <c r="I2" i="16"/>
  <c r="K7" i="16"/>
  <c r="E10" i="21"/>
  <c r="E5" i="22"/>
  <c r="E6" i="22"/>
  <c r="C11" i="14"/>
  <c r="G4" i="15"/>
  <c r="E10" i="17"/>
  <c r="O11" i="14"/>
  <c r="L2" i="21"/>
  <c r="C12" i="22"/>
  <c r="O11" i="15"/>
  <c r="N10" i="15"/>
  <c r="C15" i="22"/>
  <c r="E10" i="20"/>
  <c r="D10" i="18"/>
  <c r="N10" i="18"/>
  <c r="D2" i="5"/>
  <c r="J11" i="15"/>
  <c r="C9" i="22"/>
  <c r="J4" i="14"/>
  <c r="K10" i="16"/>
  <c r="G2" i="16"/>
  <c r="C2" i="18"/>
  <c r="G11" i="21"/>
  <c r="H11" i="20"/>
  <c r="K2" i="17"/>
  <c r="O2" i="17"/>
  <c r="N7" i="14"/>
  <c r="O5" i="16"/>
  <c r="K8" i="21"/>
  <c r="H7" i="19"/>
  <c r="C8" i="21"/>
  <c r="K10" i="22"/>
  <c r="L4" i="20"/>
  <c r="L4" i="21"/>
  <c r="G10" i="17"/>
  <c r="E11" i="17"/>
  <c r="O10" i="15"/>
  <c r="F11" i="14"/>
  <c r="K10" i="18"/>
  <c r="M8" i="16"/>
  <c r="O7" i="16"/>
  <c r="G11" i="20"/>
  <c r="K10" i="19"/>
  <c r="M5" i="15"/>
  <c r="D4" i="22"/>
  <c r="M10" i="14"/>
  <c r="M4" i="15"/>
  <c r="M7" i="18"/>
  <c r="C10" i="14"/>
  <c r="N11" i="14"/>
  <c r="L11" i="18"/>
  <c r="C8" i="15"/>
  <c r="D8" i="15"/>
  <c r="H8" i="16"/>
  <c r="M8" i="18"/>
  <c r="L7" i="17"/>
  <c r="L8" i="15"/>
  <c r="J11" i="14"/>
  <c r="I11" i="15"/>
  <c r="K8" i="18"/>
  <c r="C7" i="17"/>
  <c r="E7" i="18"/>
  <c r="M10" i="16"/>
  <c r="M5" i="14"/>
  <c r="D3" i="4"/>
  <c r="J10" i="19"/>
  <c r="K11" i="21"/>
  <c r="F2" i="5"/>
  <c r="N10" i="17"/>
  <c r="F2" i="20"/>
  <c r="K10" i="15"/>
  <c r="I1" i="18"/>
  <c r="O2" i="18"/>
  <c r="E8" i="22"/>
  <c r="E5" i="16"/>
  <c r="D3" i="22"/>
  <c r="I8" i="19"/>
  <c r="D4" i="21"/>
  <c r="D11" i="21"/>
  <c r="O11" i="20"/>
  <c r="E8" i="19"/>
  <c r="F7" i="21"/>
  <c r="J8" i="21"/>
  <c r="I5" i="15"/>
  <c r="J8" i="17"/>
  <c r="B3" i="6"/>
  <c r="G5" i="15"/>
  <c r="F3" i="4"/>
  <c r="C10" i="15"/>
  <c r="E8" i="16"/>
  <c r="E11" i="21"/>
  <c r="N10" i="20"/>
  <c r="J10" i="17"/>
  <c r="C6" i="22"/>
  <c r="L8" i="17"/>
  <c r="H10" i="17"/>
  <c r="E8" i="18"/>
  <c r="G7" i="17"/>
  <c r="I10" i="17"/>
  <c r="L4" i="14"/>
  <c r="J7" i="18"/>
  <c r="F6" i="22"/>
  <c r="N10" i="21"/>
  <c r="H7" i="18"/>
  <c r="F3" i="7"/>
  <c r="D10" i="16"/>
  <c r="D11" i="18"/>
  <c r="L10" i="15"/>
  <c r="F2" i="7"/>
  <c r="C8" i="18"/>
  <c r="L10" i="16"/>
  <c r="F7" i="18"/>
  <c r="F11" i="16"/>
  <c r="L7" i="16"/>
  <c r="H11" i="21"/>
  <c r="O2" i="21"/>
  <c r="I4" i="15"/>
  <c r="C10" i="18"/>
  <c r="K11" i="14"/>
  <c r="G10" i="18"/>
  <c r="F10" i="16"/>
  <c r="L4" i="15"/>
  <c r="B2" i="7"/>
  <c r="K7" i="18"/>
  <c r="M4" i="14"/>
  <c r="I8" i="14"/>
  <c r="O11" i="16"/>
  <c r="C2" i="17"/>
  <c r="M7" i="16"/>
  <c r="E11" i="20"/>
  <c r="H10" i="19"/>
  <c r="G10" i="21"/>
  <c r="D2" i="15"/>
  <c r="H5" i="16"/>
  <c r="F12" i="22"/>
  <c r="N11" i="22"/>
  <c r="K6" i="22"/>
  <c r="O5" i="19"/>
  <c r="D10" i="20"/>
  <c r="F10" i="21"/>
  <c r="N12" i="22"/>
  <c r="O9" i="22"/>
  <c r="O2" i="19"/>
  <c r="O8" i="15"/>
  <c r="F10" i="17"/>
  <c r="G7" i="15"/>
  <c r="N8" i="16"/>
  <c r="I11" i="14"/>
  <c r="F3" i="5"/>
  <c r="C11" i="20"/>
  <c r="E10" i="19"/>
  <c r="I7" i="17"/>
  <c r="N7" i="17"/>
  <c r="J11" i="17"/>
  <c r="L11" i="17"/>
  <c r="M11" i="14"/>
  <c r="H10" i="18"/>
  <c r="N7" i="16"/>
  <c r="C11" i="18"/>
  <c r="F7" i="15"/>
  <c r="O10" i="18"/>
  <c r="K11" i="15"/>
  <c r="D11" i="14"/>
  <c r="J11" i="16"/>
  <c r="N11" i="19"/>
  <c r="L8" i="18"/>
  <c r="F11" i="17"/>
  <c r="N11" i="15"/>
  <c r="D10" i="15"/>
  <c r="O10" i="16"/>
  <c r="F4" i="22"/>
  <c r="E11" i="19"/>
</calcChain>
</file>

<file path=xl/sharedStrings.xml><?xml version="1.0" encoding="utf-8"?>
<sst xmlns="http://schemas.openxmlformats.org/spreadsheetml/2006/main" count="247" uniqueCount="62">
  <si>
    <t>ASK</t>
  </si>
  <si>
    <t>BID</t>
  </si>
  <si>
    <t>Annualised Premium %</t>
  </si>
  <si>
    <t>Outright Rate</t>
  </si>
  <si>
    <t>Forward Premium</t>
  </si>
  <si>
    <t>End Date</t>
  </si>
  <si>
    <t>Description</t>
  </si>
  <si>
    <t>USDJPY</t>
  </si>
  <si>
    <t>GBPUSD</t>
  </si>
  <si>
    <t>EURUSD</t>
  </si>
  <si>
    <t>JPYINR</t>
  </si>
  <si>
    <t>GBPINR</t>
  </si>
  <si>
    <t>EURINR</t>
  </si>
  <si>
    <t>USDINR</t>
  </si>
  <si>
    <t>Currency</t>
  </si>
  <si>
    <t>52 Week Low</t>
  </si>
  <si>
    <t>52 Week High</t>
  </si>
  <si>
    <t>Prv. Close</t>
  </si>
  <si>
    <t>Low</t>
  </si>
  <si>
    <t>High</t>
  </si>
  <si>
    <t>Open</t>
  </si>
  <si>
    <t>% Change</t>
  </si>
  <si>
    <t>JPY</t>
  </si>
  <si>
    <t>GBP</t>
  </si>
  <si>
    <t>Ask</t>
  </si>
  <si>
    <t>EUR</t>
  </si>
  <si>
    <t>Bid</t>
  </si>
  <si>
    <t>USD</t>
  </si>
  <si>
    <t>Tom Rate</t>
  </si>
  <si>
    <t>Tom</t>
  </si>
  <si>
    <t>Cash Rate</t>
  </si>
  <si>
    <t>Cash</t>
  </si>
  <si>
    <t>Spot</t>
  </si>
  <si>
    <t>12M</t>
  </si>
  <si>
    <t>6M</t>
  </si>
  <si>
    <t>3M</t>
  </si>
  <si>
    <t>1M</t>
  </si>
  <si>
    <t>2M</t>
  </si>
  <si>
    <t>4M</t>
  </si>
  <si>
    <t>5M</t>
  </si>
  <si>
    <t>9M</t>
  </si>
  <si>
    <t>Currency Pair</t>
  </si>
  <si>
    <t>SPOT</t>
  </si>
  <si>
    <t>7M</t>
  </si>
  <si>
    <t>8M</t>
  </si>
  <si>
    <t>10M</t>
  </si>
  <si>
    <t>11M</t>
  </si>
  <si>
    <t>BID (Export)</t>
  </si>
  <si>
    <t>ASK (Import)</t>
  </si>
  <si>
    <t>BID
(Export)</t>
  </si>
  <si>
    <t>ASK
(Import)</t>
  </si>
  <si>
    <t>Bid (Export)</t>
  </si>
  <si>
    <t>Ask (Import)</t>
  </si>
  <si>
    <t>Days</t>
  </si>
  <si>
    <t>Close</t>
  </si>
  <si>
    <t>Spot Rate</t>
  </si>
  <si>
    <t>O/N</t>
  </si>
  <si>
    <t>1W</t>
  </si>
  <si>
    <t>2W</t>
  </si>
  <si>
    <t>TABLE FOR HISTORICAL SPOT</t>
  </si>
  <si>
    <t>TABLE FOR HISTORICAL FORWARD</t>
  </si>
  <si>
    <t>TABLE FOR HISTORICAL 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</si>
</sst>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dd\-mmm\-yyyy"/>
    <numFmt numFmtId="167" formatCode="mmm\-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Calibri"/>
      <family val="2"/>
    </font>
    <font>
      <sz val="8"/>
      <color indexed="8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indexed="8"/>
      <name val="Calibri"/>
      <family val="2"/>
    </font>
    <font>
      <b/>
      <sz val="8"/>
      <color rgb="FF00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17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/>
    </xf>
    <xf numFmtId="164" fontId="0" fillId="0" borderId="0" xfId="0" applyNumberFormat="1" applyBorder="1"/>
    <xf numFmtId="164" fontId="0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Border="1" applyAlignment="1">
      <alignment horizontal="right" vertical="center"/>
    </xf>
    <xf numFmtId="2" fontId="0" fillId="0" borderId="0" xfId="0" applyNumberFormat="1" applyBorder="1" applyAlignment="1">
      <alignment horizontal="right" vertical="center"/>
    </xf>
    <xf numFmtId="165" fontId="0" fillId="0" borderId="0" xfId="0" applyNumberFormat="1" applyBorder="1" applyAlignment="1">
      <alignment horizontal="right" vertical="center"/>
    </xf>
    <xf numFmtId="165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164" fontId="0" fillId="0" borderId="9" xfId="0" applyNumberFormat="1" applyFon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/>
    <xf numFmtId="0" fontId="1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2" fillId="0" borderId="7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2" fontId="8" fillId="0" borderId="0" xfId="0" applyNumberFormat="1" applyFont="1" applyFill="1" applyBorder="1" applyAlignment="1" applyProtection="1">
      <alignment horizontal="center" vertical="center"/>
    </xf>
    <xf numFmtId="2" fontId="7" fillId="0" borderId="4" xfId="0" applyNumberFormat="1" applyFont="1" applyFill="1" applyBorder="1" applyAlignment="1" applyProtection="1">
      <alignment horizontal="center" vertical="center"/>
    </xf>
    <xf numFmtId="164" fontId="7" fillId="0" borderId="4" xfId="0" applyNumberFormat="1" applyFont="1" applyFill="1" applyBorder="1" applyAlignment="1" applyProtection="1">
      <alignment horizontal="center"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0" borderId="1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7" fillId="0" borderId="6" xfId="0" applyNumberFormat="1" applyFont="1" applyFill="1" applyBorder="1" applyAlignment="1" applyProtection="1">
      <alignment horizontal="center" vertical="center"/>
    </xf>
    <xf numFmtId="166" fontId="7" fillId="0" borderId="4" xfId="0" applyNumberFormat="1" applyFont="1" applyFill="1" applyBorder="1" applyAlignment="1" applyProtection="1">
      <alignment horizontal="center" vertical="center"/>
    </xf>
    <xf numFmtId="167" fontId="7" fillId="0" borderId="7" xfId="0" applyNumberFormat="1" applyFont="1" applyFill="1" applyBorder="1" applyAlignment="1" applyProtection="1">
      <alignment horizontal="center" vertical="center"/>
    </xf>
    <xf numFmtId="167" fontId="7" fillId="0" borderId="6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1" fillId="0" borderId="26" xfId="1" applyFont="1" applyBorder="1" applyAlignment="1">
      <alignment horizontal="center" vertical="center"/>
    </xf>
    <xf numFmtId="0" fontId="0" fillId="0" borderId="0" xfId="0"/>
    <xf numFmtId="2" fontId="7" fillId="0" borderId="27" xfId="0" applyNumberFormat="1" applyFont="1" applyFill="1" applyBorder="1" applyAlignment="1" applyProtection="1">
      <alignment horizontal="center" vertical="center"/>
    </xf>
    <xf numFmtId="0" fontId="1" fillId="0" borderId="28" xfId="1" applyFont="1" applyBorder="1" applyAlignment="1">
      <alignment horizontal="center" vertical="center"/>
    </xf>
    <xf numFmtId="2" fontId="7" fillId="0" borderId="29" xfId="0" applyNumberFormat="1" applyFont="1" applyFill="1" applyBorder="1" applyAlignment="1" applyProtection="1">
      <alignment horizontal="center" vertical="center"/>
    </xf>
    <xf numFmtId="2" fontId="7" fillId="0" borderId="30" xfId="0" applyNumberFormat="1" applyFont="1" applyFill="1" applyBorder="1" applyAlignment="1" applyProtection="1">
      <alignment horizontal="center" vertical="center"/>
    </xf>
    <xf numFmtId="0" fontId="1" fillId="0" borderId="31" xfId="1" applyFont="1" applyBorder="1" applyAlignment="1">
      <alignment horizontal="center" vertical="center"/>
    </xf>
    <xf numFmtId="164" fontId="7" fillId="0" borderId="17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164" fontId="7" fillId="0" borderId="32" xfId="0" applyNumberFormat="1" applyFont="1" applyFill="1" applyBorder="1" applyAlignment="1" applyProtection="1">
      <alignment horizontal="center" vertical="center"/>
    </xf>
    <xf numFmtId="2" fontId="7" fillId="0" borderId="3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34" xfId="0" applyNumberFormat="1" applyFont="1" applyFill="1" applyBorder="1" applyAlignment="1" applyProtection="1">
      <alignment horizontal="center" vertical="center"/>
    </xf>
    <xf numFmtId="2" fontId="7" fillId="0" borderId="14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11" xfId="0" applyNumberFormat="1" applyFont="1" applyFill="1" applyBorder="1" applyAlignment="1" applyProtection="1">
      <alignment horizontal="center" vertical="center"/>
    </xf>
    <xf numFmtId="2" fontId="7" fillId="0" borderId="35" xfId="0" applyNumberFormat="1" applyFont="1" applyFill="1" applyBorder="1" applyAlignment="1" applyProtection="1">
      <alignment horizontal="center" vertical="center"/>
    </xf>
    <xf numFmtId="2" fontId="7" fillId="0" borderId="36" xfId="0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10" fillId="0" borderId="40" xfId="0" applyNumberFormat="1" applyFont="1" applyFill="1" applyBorder="1" applyAlignment="1" applyProtection="1">
      <alignment horizontal="center" vertical="center"/>
    </xf>
    <xf numFmtId="164" fontId="10" fillId="0" borderId="40" xfId="0" applyNumberFormat="1" applyFont="1" applyFill="1" applyBorder="1" applyAlignment="1" applyProtection="1">
      <alignment horizontal="center" vertical="center"/>
    </xf>
    <xf numFmtId="2" fontId="10" fillId="0" borderId="40" xfId="0" applyNumberFormat="1" applyFont="1" applyFill="1" applyBorder="1" applyAlignment="1" applyProtection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2" fillId="0" borderId="0" xfId="0" applyFont="1"/>
    <xf numFmtId="0" fontId="13" fillId="0" borderId="25" xfId="0" applyFont="1" applyBorder="1" applyAlignment="1">
      <alignment horizontal="center" vertical="center"/>
    </xf>
    <xf numFmtId="164" fontId="12" fillId="0" borderId="29" xfId="0" applyNumberFormat="1" applyFont="1" applyBorder="1" applyAlignment="1">
      <alignment horizontal="center" vertical="center"/>
    </xf>
    <xf numFmtId="164" fontId="12" fillId="0" borderId="41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12" fillId="0" borderId="40" xfId="0" applyNumberFormat="1" applyFont="1" applyBorder="1" applyAlignment="1">
      <alignment horizontal="center" vertical="center"/>
    </xf>
    <xf numFmtId="164" fontId="12" fillId="0" borderId="34" xfId="0" applyNumberFormat="1" applyFont="1" applyBorder="1" applyAlignment="1">
      <alignment horizontal="center" vertical="center"/>
    </xf>
    <xf numFmtId="2" fontId="12" fillId="0" borderId="40" xfId="0" applyNumberFormat="1" applyFont="1" applyBorder="1" applyAlignment="1">
      <alignment horizontal="center" vertical="center"/>
    </xf>
    <xf numFmtId="2" fontId="12" fillId="0" borderId="34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4" fillId="2" borderId="29" xfId="0" applyNumberFormat="1" applyFont="1" applyFill="1" applyBorder="1" applyAlignment="1" applyProtection="1">
      <alignment horizontal="center" vertical="center"/>
    </xf>
    <xf numFmtId="0" fontId="14" fillId="2" borderId="29" xfId="0" applyNumberFormat="1" applyFont="1" applyFill="1" applyBorder="1" applyAlignment="1" applyProtection="1">
      <alignment horizontal="center" vertical="center"/>
    </xf>
    <xf numFmtId="164" fontId="15" fillId="2" borderId="29" xfId="0" applyNumberFormat="1" applyFont="1" applyFill="1" applyBorder="1" applyAlignment="1">
      <alignment horizontal="center" vertical="center"/>
    </xf>
    <xf numFmtId="164" fontId="15" fillId="2" borderId="41" xfId="0" applyNumberFormat="1" applyFont="1" applyFill="1" applyBorder="1" applyAlignment="1">
      <alignment horizontal="center" vertical="center"/>
    </xf>
    <xf numFmtId="0" fontId="14" fillId="2" borderId="40" xfId="0" applyNumberFormat="1" applyFont="1" applyFill="1" applyBorder="1" applyAlignment="1" applyProtection="1">
      <alignment horizontal="center" vertical="center"/>
    </xf>
    <xf numFmtId="164" fontId="14" fillId="2" borderId="40" xfId="0" applyNumberFormat="1" applyFont="1" applyFill="1" applyBorder="1" applyAlignment="1" applyProtection="1">
      <alignment horizontal="center" vertical="center"/>
    </xf>
    <xf numFmtId="164" fontId="14" fillId="2" borderId="34" xfId="0" applyNumberFormat="1" applyFont="1" applyFill="1" applyBorder="1" applyAlignment="1" applyProtection="1">
      <alignment horizontal="center" vertical="center"/>
    </xf>
    <xf numFmtId="2" fontId="14" fillId="2" borderId="40" xfId="0" applyNumberFormat="1" applyFont="1" applyFill="1" applyBorder="1" applyAlignment="1" applyProtection="1">
      <alignment horizontal="center" vertical="center"/>
    </xf>
    <xf numFmtId="2" fontId="14" fillId="2" borderId="34" xfId="0" applyNumberFormat="1" applyFont="1" applyFill="1" applyBorder="1" applyAlignment="1" applyProtection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5" fontId="12" fillId="0" borderId="43" xfId="0" applyNumberFormat="1" applyFont="1" applyBorder="1" applyAlignment="1">
      <alignment horizontal="center" vertical="center"/>
    </xf>
    <xf numFmtId="165" fontId="12" fillId="0" borderId="29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1" xfId="0" applyNumberFormat="1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0" xfId="0" applyNumberFormat="1" applyFont="1" applyBorder="1" applyAlignment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35" xfId="0" applyNumberFormat="1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36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49" fontId="3" fillId="0" borderId="8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1" fillId="0" borderId="19" xfId="1" applyFont="1" applyBorder="1" applyAlignment="1">
      <alignment horizontal="center" vertical="center" wrapText="1"/>
    </xf>
    <xf numFmtId="0" fontId="1" fillId="0" borderId="18" xfId="1" applyFont="1" applyBorder="1" applyAlignment="1">
      <alignment horizontal="center" vertical="center" wrapText="1"/>
    </xf>
    <xf numFmtId="0" fontId="1" fillId="0" borderId="20" xfId="1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</cellXfs>
  <cellStyles count="2">
    <cellStyle name="Normal" xfId="0" builtinId="0"/>
    <cellStyle name="Normal 4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ickerplantrtdserver">
      <tp t="s">
        <v>TN</v>
        <stp/>
        <stp>FWRC1#GBPUSD#Month Wise Rates#0#S#Desc.2</stp>
        <tr r="C1" s="20"/>
      </tp>
      <tp t="s">
        <v>1M</v>
        <stp/>
        <stp>FWRC1#GBPUSD#Month Wise Rates#0#S#Desc.7</stp>
        <tr r="D1" s="20"/>
      </tp>
      <tp t="s">
        <v>2M</v>
        <stp/>
        <stp>FWRC1#GBPUSD#Month Wise Rates#0#S#Desc.8</stp>
        <tr r="E1" s="20"/>
      </tp>
      <tp t="s">
        <v>3M</v>
        <stp/>
        <stp>FWRC1#GBPUSD#Month Wise Rates#0#S#Desc.9</stp>
        <tr r="F1" s="20"/>
      </tp>
      <tp t="s">
        <v>1M</v>
        <stp/>
        <stp>FWRC1#EURUSD#Month Wise Rates#0#S#Desc.7</stp>
        <tr r="D1" s="19"/>
      </tp>
      <tp t="s">
        <v>TN</v>
        <stp/>
        <stp>FWRC1#EURUSD#Month Wise Rates#0#S#Desc.2</stp>
        <tr r="C1" s="19"/>
      </tp>
      <tp t="s">
        <v>3M</v>
        <stp/>
        <stp>FWRC1#EURUSD#Month Wise Rates#0#S#Desc.9</stp>
        <tr r="F1" s="19"/>
      </tp>
      <tp t="s">
        <v>2M</v>
        <stp/>
        <stp>FWRC1#EURUSD#Month Wise Rates#0#S#Desc.8</stp>
        <tr r="E1" s="19"/>
      </tp>
      <tp>
        <v>0</v>
        <stp/>
        <stp>12#2#1#6069#SUSDJPY#%Chg</stp>
        <tr r="D9" s="10"/>
      </tp>
      <tp>
        <v>104.666</v>
        <stp/>
        <stp>12#2#1#6069#SUSDJPY#LTP</stp>
        <tr r="E12" s="23"/>
      </tp>
      <tp>
        <v>104.404</v>
        <stp/>
        <stp>12#2#1#6069#SUSDJPY#Low</stp>
        <tr r="D12" s="23"/>
        <tr r="G9" s="10"/>
      </tp>
      <tp t="s">
        <v>USDJPY</v>
        <stp/>
        <stp>12#2#1#6069#SUSDJPY#S#Descr.</stp>
        <tr r="A29" s="23"/>
        <tr r="A12" s="23"/>
      </tp>
      <tp>
        <v>104.666</v>
        <stp/>
        <stp>12#2#1#6069#SUSDJPY#Bid</stp>
        <tr r="B9" s="10"/>
      </tp>
      <tp>
        <v>1.3514900000000001</v>
        <stp/>
        <stp>12#2#1#6031#SGBPUSD#52WkHigh</stp>
        <tr r="I8" s="10"/>
      </tp>
      <tp t="s">
        <v>26-Oct-2020</v>
        <stp/>
        <stp>FWRC1#USDJPY#Month Wise Rates#0#S#PillarDate7</stp>
        <tr r="D2" s="21"/>
      </tp>
      <tp t="s">
        <v>24-Sep-2020</v>
        <stp/>
        <stp>FWRC1#USDJPY#Month Wise Rates#0#S#PillarDate2</stp>
        <tr r="C2" s="21"/>
      </tp>
      <tp t="s">
        <v>24-Nov-2020</v>
        <stp/>
        <stp>FWRC1#USDJPY#Month Wise Rates#0#S#PillarDate8</stp>
        <tr r="E2" s="21"/>
      </tp>
      <tp t="s">
        <v>24-Dec-2020</v>
        <stp/>
        <stp>FWRC1#USDJPY#Month Wise Rates#0#S#PillarDate9</stp>
        <tr r="F2" s="21"/>
      </tp>
      <tp>
        <v>104.667</v>
        <stp/>
        <stp>12#2#1#6069#SUSDJPY#Ask</stp>
        <tr r="C9" s="10"/>
      </tp>
      <tp t="s">
        <v>26-Feb-2021</v>
        <stp/>
        <stp>FWRC1#JPYINR#Month End Rates#0#S#PillarDate9</stp>
        <tr r="I2" s="18"/>
      </tp>
      <tp t="s">
        <v>29-Jan-2021</v>
        <stp/>
        <stp>FWRC1#JPYINR#Month End Rates#0#S#PillarDate8</stp>
        <tr r="H2" s="18"/>
      </tp>
      <tp t="s">
        <v>24-Sep-2020</v>
        <stp/>
        <stp>FWRC1#JPYINR#Month End Rates#0#S#PillarDate2</stp>
        <tr r="C2" s="18"/>
      </tp>
      <tp t="s">
        <v>31-Dec-2020</v>
        <stp/>
        <stp>FWRC1#JPYINR#Month End Rates#0#S#PillarDate7</stp>
        <tr r="G2" s="18"/>
      </tp>
      <tp t="s">
        <v>27-Nov-2020</v>
        <stp/>
        <stp>FWRC1#JPYINR#Month End Rates#0#S#PillarDate6</stp>
        <tr r="F2" s="18"/>
      </tp>
      <tp t="s">
        <v>29-Oct-2020</v>
        <stp/>
        <stp>FWRC1#JPYINR#Month End Rates#0#S#PillarDate5</stp>
        <tr r="E2" s="18"/>
      </tp>
      <tp t="s">
        <v>30-Sep-2020</v>
        <stp/>
        <stp>FWRC1#JPYINR#Month End Rates#0#S#PillarDate4</stp>
        <tr r="D2" s="18"/>
      </tp>
      <tp t="s">
        <v>26-Feb-2021</v>
        <stp/>
        <stp>FWRC1#GBPINR#Month End Rates#0#S#PillarDate9</stp>
        <tr r="I2" s="17"/>
      </tp>
      <tp t="s">
        <v>29-Jan-2021</v>
        <stp/>
        <stp>FWRC1#GBPINR#Month End Rates#0#S#PillarDate8</stp>
        <tr r="H2" s="17"/>
      </tp>
      <tp t="s">
        <v>24-Sep-2020</v>
        <stp/>
        <stp>FWRC1#GBPINR#Month End Rates#0#S#PillarDate2</stp>
        <tr r="C2" s="17"/>
      </tp>
      <tp t="s">
        <v>29-Oct-2020</v>
        <stp/>
        <stp>FWRC1#GBPINR#Month End Rates#0#S#PillarDate5</stp>
        <tr r="E2" s="17"/>
      </tp>
      <tp t="s">
        <v>30-Sep-2020</v>
        <stp/>
        <stp>FWRC1#GBPINR#Month End Rates#0#S#PillarDate4</stp>
        <tr r="D2" s="17"/>
      </tp>
      <tp t="s">
        <v>31-Dec-2020</v>
        <stp/>
        <stp>FWRC1#GBPINR#Month End Rates#0#S#PillarDate7</stp>
        <tr r="G2" s="17"/>
      </tp>
      <tp t="s">
        <v>27-Nov-2020</v>
        <stp/>
        <stp>FWRC1#GBPINR#Month End Rates#0#S#PillarDate6</stp>
        <tr r="F2" s="17"/>
      </tp>
      <tp>
        <v>1.2011400000000001</v>
        <stp/>
        <stp>12#2#1#5949#SEURUSD#52WkHigh</stp>
        <tr r="I7" s="10"/>
      </tp>
      <tp>
        <v>1.33283</v>
        <stp/>
        <stp>12#2#1#6069#SUSDCAD#LTP</stp>
        <tr r="E14" s="23"/>
      </tp>
      <tp>
        <v>0.91686000000000001</v>
        <stp/>
        <stp>12#2#1#6069#SUSDCHF#LTP</stp>
        <tr r="E13" s="23"/>
      </tp>
      <tp>
        <v>0.91329000000000005</v>
        <stp/>
        <stp>12#2#1#6069#SUSDCHF#Low</stp>
        <tr r="D13" s="23"/>
      </tp>
      <tp>
        <v>1.3293999999999999</v>
        <stp/>
        <stp>12#2#1#6069#SUSDCAD#Low</stp>
        <tr r="D14" s="23"/>
      </tp>
      <tp>
        <v>0.71858</v>
        <stp/>
        <stp>12#2#1#5903#SAUDUSD#LTP</stp>
        <tr r="E15" s="23"/>
      </tp>
      <tp>
        <v>1.1729000000000001</v>
        <stp/>
        <stp>12#2#1#5949#SEURUSD#LTP</stp>
        <tr r="E10" s="23"/>
      </tp>
      <tp>
        <v>0.71738999999999997</v>
        <stp/>
        <stp>12#2#1#5903#SAUDUSD#Low</stp>
        <tr r="D15" s="23"/>
      </tp>
      <tp>
        <v>1.1718500000000001</v>
        <stp/>
        <stp>12#2#1#5949#SEURUSD#Low</stp>
        <tr r="D10" s="23"/>
        <tr r="G7" s="10"/>
      </tp>
      <tp>
        <v>-0.1</v>
        <stp/>
        <stp>12#2#1#6031#SGBPUSD#%Chg</stp>
        <tr r="D8" s="10"/>
      </tp>
      <tp>
        <v>94.182500000000005</v>
        <stp/>
        <stp>17#3#1#6031#GBPINRCOMP#LTP</stp>
        <tr r="E4" s="23"/>
      </tp>
      <tp>
        <v>80.262500000000003</v>
        <stp/>
        <stp>17#3#1#6056#CHFINRCOMP#LTP</stp>
        <tr r="E6" s="23"/>
      </tp>
      <tp>
        <v>53.912500000000001</v>
        <stp/>
        <stp>17#3#1#6041#SGDINRCOMP#LTP</stp>
        <tr r="E9" s="23"/>
      </tp>
      <tp>
        <v>53.8</v>
        <stp/>
        <stp>17#3#1#6041#SGDINRCOMP#Low</stp>
        <tr r="D9" s="23"/>
      </tp>
      <tp t="s">
        <v>USDSGD</v>
        <stp/>
        <stp>12#2#1#6069#SUSDSGD#S#Descr.</stp>
        <tr r="A16" s="23"/>
        <tr r="A33" s="23"/>
      </tp>
      <tp>
        <v>93.56</v>
        <stp/>
        <stp>17#3#1#6031#GBPINRCOMP#Low</stp>
        <tr r="D4" s="23"/>
        <tr r="G5" s="10"/>
      </tp>
      <tp>
        <v>80.167500000000004</v>
        <stp/>
        <stp>17#3#1#6056#CHFINRCOMP#Low</stp>
        <tr r="D6" s="23"/>
      </tp>
      <tp>
        <v>70.307500000000005</v>
        <stp/>
        <stp>17#3#1#5978#JPYINRCOMP#LTP</stp>
        <tr r="E5" s="23"/>
      </tp>
      <tp>
        <v>86.3125</v>
        <stp/>
        <stp>17#3#1#5949#EURINRCOMP#LTP</stp>
        <tr r="E3" s="23"/>
      </tp>
      <tp>
        <v>52.88</v>
        <stp/>
        <stp>17#3#1#5903#AUDINRCOMP#LTP</stp>
        <tr r="E8" s="23"/>
      </tp>
      <tp>
        <v>55.207500000000003</v>
        <stp/>
        <stp>17#3#1#5921#CADINRCOMP#LTP</stp>
        <tr r="E7" s="23"/>
      </tp>
      <tp>
        <v>86.224999999999994</v>
        <stp/>
        <stp>17#3#1#5949#EURINRCOMP#Low</stp>
        <tr r="G4" s="10"/>
        <tr r="D3" s="23"/>
      </tp>
      <tp>
        <v>55.097499999999997</v>
        <stp/>
        <stp>17#3#1#5921#CADINRCOMP#Low</stp>
        <tr r="D7" s="23"/>
      </tp>
      <tp>
        <v>52.784999999999997</v>
        <stp/>
        <stp>17#3#1#5903#AUDINRCOMP#Low</stp>
        <tr r="D8" s="23"/>
      </tp>
      <tp t="s">
        <v>GBPUSD</v>
        <stp/>
        <stp>12#2#1#6031#SGBPUSD#S#Descr.</stp>
        <tr r="A28" s="23"/>
        <tr r="A11" s="23"/>
      </tp>
      <tp>
        <v>70.1875</v>
        <stp/>
        <stp>17#3#1#5978#JPYINRCOMP#Low</stp>
        <tr r="G6" s="10"/>
        <tr r="D5" s="23"/>
      </tp>
      <tp>
        <v>73.59</v>
        <stp/>
        <stp>17#1#1#6069#USDINRCOMP#LTP</stp>
        <tr r="E2" s="23"/>
      </tp>
      <tp>
        <v>73.38</v>
        <stp/>
        <stp>17#1#1#6069#USDINRCOMP#Low</stp>
        <tr r="D2" s="23"/>
        <tr r="G3" s="10"/>
      </tp>
      <tp>
        <v>1.2799700000000001</v>
        <stp/>
        <stp>12#2#1#6031#SGBPUSD#Ask</stp>
        <tr r="C8" s="10"/>
      </tp>
      <tp t="s">
        <v>26-Oct-2020</v>
        <stp/>
        <stp>FWRC1#USDINR#Month Wise Rates#0#S#PillarDate7</stp>
        <tr r="D2" s="15"/>
      </tp>
      <tp t="s">
        <v>24-Sep-2020</v>
        <stp/>
        <stp>FWRC1#USDINR#Month Wise Rates#0#S#PillarDate2</stp>
        <tr r="C2" s="15"/>
      </tp>
      <tp t="s">
        <v>24-Nov-2020</v>
        <stp/>
        <stp>FWRC1#USDINR#Month Wise Rates#0#S#PillarDate8</stp>
        <tr r="E2" s="15"/>
      </tp>
      <tp t="s">
        <v>24-Dec-2020</v>
        <stp/>
        <stp>FWRC1#USDINR#Month Wise Rates#0#S#PillarDate9</stp>
        <tr r="F2" s="15"/>
      </tp>
      <tp>
        <v>-0.34</v>
        <stp/>
        <stp>12#2#1#5949#SEURUSD#%Chg</stp>
        <tr r="D7" s="10"/>
      </tp>
      <tp>
        <v>1.27976</v>
        <stp/>
        <stp>12#2#1#6031#SGBPUSD#Bid</stp>
        <tr r="B8" s="10"/>
      </tp>
      <tp t="s">
        <v>AUDUSD</v>
        <stp/>
        <stp>12#2#1#5903#SAUDUSD#S#Descr.</stp>
        <tr r="A15" s="23"/>
        <tr r="A32" s="23"/>
      </tp>
      <tp t="s">
        <v>EURUSD</v>
        <stp/>
        <stp>12#2#1#5949#SEURUSD#S#Descr.</stp>
        <tr r="A10" s="23"/>
        <tr r="A27" s="23"/>
      </tp>
      <tp t="s">
        <v>USDCAD</v>
        <stp/>
        <stp>12#2#1#6069#SUSDCAD#S#Descr.</stp>
        <tr r="A31" s="23"/>
        <tr r="A14" s="23"/>
      </tp>
      <tp>
        <v>1.27976</v>
        <stp/>
        <stp>12#2#1#6031#SGBPUSD#LTP</stp>
        <tr r="E11" s="23"/>
      </tp>
      <tp t="s">
        <v>24-Sep-2020</v>
        <stp/>
        <stp>FWRC1#EURUSD#Month Wise Rates#0#S#PillarDate2</stp>
        <tr r="C2" s="19"/>
      </tp>
      <tp t="s">
        <v>26-Oct-2020</v>
        <stp/>
        <stp>FWRC1#EURUSD#Month Wise Rates#0#S#PillarDate7</stp>
        <tr r="D2" s="19"/>
      </tp>
      <tp t="s">
        <v>24-Nov-2020</v>
        <stp/>
        <stp>FWRC1#EURUSD#Month Wise Rates#0#S#PillarDate8</stp>
        <tr r="E2" s="19"/>
      </tp>
      <tp t="s">
        <v>24-Dec-2020</v>
        <stp/>
        <stp>FWRC1#EURUSD#Month Wise Rates#0#S#PillarDate9</stp>
        <tr r="F2" s="19"/>
      </tp>
      <tp>
        <v>1.27108</v>
        <stp/>
        <stp>12#2#1#6031#SGBPUSD#Low</stp>
        <tr r="D11" s="23"/>
        <tr r="G8" s="10"/>
      </tp>
      <tp t="s">
        <v>24-Sep-2020</v>
        <stp/>
        <stp>FWRC1#GBPUSD#Month Wise Rates#0#S#PillarDate2</stp>
        <tr r="C2" s="20"/>
      </tp>
      <tp t="s">
        <v>26-Oct-2020</v>
        <stp/>
        <stp>FWRC1#GBPUSD#Month Wise Rates#0#S#PillarDate7</stp>
        <tr r="D2" s="20"/>
      </tp>
      <tp t="s">
        <v>24-Nov-2020</v>
        <stp/>
        <stp>FWRC1#GBPUSD#Month Wise Rates#0#S#PillarDate8</stp>
        <tr r="E2" s="20"/>
      </tp>
      <tp t="s">
        <v>24-Dec-2020</v>
        <stp/>
        <stp>FWRC1#GBPUSD#Month Wise Rates#0#S#PillarDate9</stp>
        <tr r="F2" s="20"/>
      </tp>
      <tp t="s">
        <v>2M</v>
        <stp/>
        <stp>FWRC1#USDJPY#Month Wise Rates#0#S#Desc.8</stp>
        <tr r="E1" s="21"/>
      </tp>
      <tp t="s">
        <v>3M</v>
        <stp/>
        <stp>FWRC1#USDJPY#Month Wise Rates#0#S#Desc.9</stp>
        <tr r="F1" s="21"/>
      </tp>
      <tp t="s">
        <v>1M</v>
        <stp/>
        <stp>FWRC1#USDJPY#Month Wise Rates#0#S#Desc.7</stp>
        <tr r="D1" s="21"/>
      </tp>
      <tp t="s">
        <v>TN</v>
        <stp/>
        <stp>FWRC1#USDJPY#Month Wise Rates#0#S#Desc.2</stp>
        <tr r="C1" s="21"/>
      </tp>
      <tp>
        <v>94.21</v>
        <stp/>
        <stp>17#3#1#6031#GBPINRCOMP#Ask</stp>
        <tr r="C5" s="10"/>
      </tp>
      <tp>
        <v>86.3125</v>
        <stp/>
        <stp>17#3#1#5949#EURINRCOMP#Bid</stp>
        <tr r="B4" s="10"/>
      </tp>
      <tp>
        <v>70.307500000000005</v>
        <stp/>
        <stp>17#3#1#5978#JPYINRCOMP#Bid</stp>
        <tr r="B6" s="10"/>
      </tp>
      <tp>
        <v>1.1729000000000001</v>
        <stp/>
        <stp>12#2#1#5949#SEURUSD#Ask</stp>
        <tr r="C7" s="10"/>
      </tp>
      <tp>
        <v>73.59</v>
        <stp/>
        <stp>17#1#1#6069#USDINRCOMP#Bid</stp>
        <tr r="B3" s="10"/>
      </tp>
      <tp>
        <v>112.22799999999999</v>
        <stp/>
        <stp>12#2#1#6069#SUSDJPY#52WkHigh</stp>
        <tr r="I9" s="10"/>
      </tp>
      <tp>
        <v>1.1729000000000001</v>
        <stp/>
        <stp>12#2#1#5949#SEURUSD#Bid</stp>
        <tr r="B7" s="10"/>
      </tp>
      <tp t="s">
        <v>USDCHF</v>
        <stp/>
        <stp>12#2#1#6069#SUSDCHF#S#Descr.</stp>
        <tr r="A30" s="23"/>
        <tr r="A13" s="23"/>
      </tp>
      <tp>
        <v>73.599999999999994</v>
        <stp/>
        <stp>17#1#1#6069#USDINRCOMP#Ask</stp>
        <tr r="C3" s="10"/>
      </tp>
      <tp>
        <v>1.3645</v>
        <stp/>
        <stp>12#2#1#6069#SUSDSGD#LTP</stp>
        <tr r="K33" s="23"/>
        <tr r="H33" s="23"/>
        <tr r="D33" s="23"/>
        <tr r="E33" s="23"/>
        <tr r="I33" s="23"/>
        <tr r="C33" s="23"/>
        <tr r="B33" s="23"/>
        <tr r="J33" s="23"/>
        <tr r="M33" s="23"/>
        <tr r="E16" s="23"/>
        <tr r="G33" s="23"/>
        <tr r="N33" s="23"/>
        <tr r="L33" s="23"/>
        <tr r="F33" s="23"/>
      </tp>
      <tp t="s">
        <v>1M</v>
        <stp/>
        <stp>FWRC1#USDINR#Month Wise Rates#0#S#Desc.7</stp>
        <tr r="D1" s="15"/>
      </tp>
      <tp t="s">
        <v>TN</v>
        <stp/>
        <stp>FWRC1#USDINR#Month Wise Rates#0#S#Desc.2</stp>
        <tr r="C1" s="15"/>
      </tp>
      <tp t="s">
        <v>3M</v>
        <stp/>
        <stp>FWRC1#USDINR#Month Wise Rates#0#S#Desc.9</stp>
        <tr r="F1" s="15"/>
      </tp>
      <tp t="s">
        <v>2M</v>
        <stp/>
        <stp>FWRC1#USDINR#Month Wise Rates#0#S#Desc.8</stp>
        <tr r="E1" s="15"/>
      </tp>
      <tp>
        <v>1.3602000000000001</v>
        <stp/>
        <stp>12#2#1#6069#SUSDSGD#Low</stp>
        <tr r="D16" s="23"/>
      </tp>
      <tp>
        <v>70.325000000000003</v>
        <stp/>
        <stp>17#3#1#5978#JPYINRCOMP#Ask</stp>
        <tr r="C6" s="10"/>
      </tp>
      <tp>
        <v>86.33</v>
        <stp/>
        <stp>17#3#1#5949#EURINRCOMP#Ask</stp>
        <tr r="C4" s="10"/>
      </tp>
      <tp>
        <v>94.182500000000005</v>
        <stp/>
        <stp>17#3#1#6031#GBPINRCOMP#Bid</stp>
        <tr r="B5" s="10"/>
      </tp>
      <tp>
        <v>89.352999999999994</v>
        <stp/>
        <stp>FWRC1#EURINR#Month End Rates#0#FwdOutrightBid12</stp>
        <tr r="L7" s="16"/>
      </tp>
      <tp>
        <v>89.725800000000007</v>
        <stp/>
        <stp>FWRC1#EURINR#Month End Rates#0#FwdOutrightBid13</stp>
        <tr r="M7" s="16"/>
      </tp>
      <tp>
        <v>88.608800000000002</v>
        <stp/>
        <stp>FWRC1#EURINR#Month End Rates#0#FwdOutrightBid10</stp>
        <tr r="J7" s="16"/>
      </tp>
      <tp>
        <v>88.965699999999998</v>
        <stp/>
        <stp>FWRC1#EURINR#Month End Rates#0#FwdOutrightBid11</stp>
        <tr r="K7" s="16"/>
      </tp>
      <tp>
        <v>90.087599999999995</v>
        <stp/>
        <stp>FWRC1#EURINR#Month End Rates#0#FwdOutrightBid14</stp>
        <tr r="N7" s="16"/>
      </tp>
      <tp>
        <v>90.474800000000002</v>
        <stp/>
        <stp>FWRC1#EURINR#Month End Rates#0#FwdOutrightBid15</stp>
        <tr r="O7" s="16"/>
      </tp>
      <tp>
        <v>87.799000000000007</v>
        <stp/>
        <stp>FWRC1#EURINR#Month End Rates#0#FwdOutrightAsk8</stp>
        <tr r="H8" s="16"/>
      </tp>
      <tp>
        <v>88.130300000000005</v>
        <stp/>
        <stp>FWRC1#EURINR#Month End Rates#0#FwdOutrightAsk9</stp>
        <tr r="I8" s="16"/>
      </tp>
      <tp>
        <v>86.3857</v>
        <stp/>
        <stp>FWRC1#EURINR#Month End Rates#0#FwdOutrightAsk4</stp>
        <tr r="D8" s="16"/>
      </tp>
      <tp>
        <v>86.714600000000004</v>
        <stp/>
        <stp>FWRC1#EURINR#Month End Rates#0#FwdOutrightAsk5</stp>
        <tr r="E8" s="16"/>
      </tp>
      <tp>
        <v>87.0471</v>
        <stp/>
        <stp>FWRC1#EURINR#Month End Rates#0#FwdOutrightAsk6</stp>
        <tr r="F8" s="16"/>
      </tp>
      <tp>
        <v>87.463499999999996</v>
        <stp/>
        <stp>FWRC1#EURINR#Month End Rates#0#FwdOutrightAsk7</stp>
        <tr r="G8" s="16"/>
      </tp>
      <tp>
        <v>86.323599999999999</v>
        <stp/>
        <stp>FWRC1#EURINR#Month End Rates#0#FwdOutrightAsk1</stp>
        <tr r="D3" s="5"/>
        <tr r="C8" s="16"/>
      </tp>
      <tp>
        <v>86.328199999999995</v>
        <stp/>
        <stp>FWRC1#EURINR#Month End Rates#0#FwdOutrightAsk3</stp>
        <tr r="F3" s="5"/>
      </tp>
      <tp>
        <v>0</v>
        <stp/>
        <stp>17#3#1#6031#GBPINRCOMP#52WkLow</stp>
        <tr r="J5" s="10"/>
      </tp>
      <tp t="s">
        <v>26-Feb-2021</v>
        <stp/>
        <stp>FWRC1#EURINR#Month End Rates#0#S#MonthEndDate9</stp>
        <tr r="I2" s="16"/>
      </tp>
      <tp t="s">
        <v>29-Jan-2021</v>
        <stp/>
        <stp>FWRC1#EURINR#Month End Rates#0#S#MonthEndDate8</stp>
        <tr r="H2" s="16"/>
      </tp>
      <tp t="s">
        <v>31-Dec-2020</v>
        <stp/>
        <stp>FWRC1#EURINR#Month End Rates#0#S#MonthEndDate7</stp>
        <tr r="G2" s="16"/>
      </tp>
      <tp t="s">
        <v>27-Nov-2020</v>
        <stp/>
        <stp>FWRC1#EURINR#Month End Rates#0#S#MonthEndDate6</stp>
        <tr r="F2" s="16"/>
      </tp>
      <tp t="s">
        <v>29-Oct-2020</v>
        <stp/>
        <stp>FWRC1#EURINR#Month End Rates#0#S#MonthEndDate5</stp>
        <tr r="E2" s="16"/>
      </tp>
      <tp t="s">
        <v>30-Sep-2020</v>
        <stp/>
        <stp>FWRC1#EURINR#Month End Rates#0#S#MonthEndDate4</stp>
        <tr r="D2" s="16"/>
      </tp>
      <tp t="s">
        <v>24-Sep-2020</v>
        <stp/>
        <stp>FWRC1#EURINR#Month End Rates#0#S#MonthEndDate2</stp>
        <tr r="C2" s="16"/>
      </tp>
      <tp t="s">
        <v>24-Mar-2021</v>
        <stp/>
        <stp>FWRC1#USDJPY#Month Wise Rates#0#S#PillarDate12</stp>
        <tr r="I2" s="21"/>
      </tp>
      <tp t="s">
        <v>26-Apr-2021</v>
        <stp/>
        <stp>FWRC1#USDJPY#Month Wise Rates#0#S#PillarDate13</stp>
        <tr r="J2" s="21"/>
      </tp>
      <tp t="s">
        <v>25-Jan-2021</v>
        <stp/>
        <stp>FWRC1#USDJPY#Month Wise Rates#0#S#PillarDate10</stp>
        <tr r="G2" s="21"/>
      </tp>
      <tp t="s">
        <v>24-Feb-2021</v>
        <stp/>
        <stp>FWRC1#USDJPY#Month Wise Rates#0#S#PillarDate11</stp>
        <tr r="H2" s="21"/>
      </tp>
      <tp t="s">
        <v>26-Jul-2021</v>
        <stp/>
        <stp>FWRC1#USDJPY#Month Wise Rates#0#S#PillarDate16</stp>
        <tr r="M2" s="21"/>
      </tp>
      <tp t="s">
        <v>24-Aug-2021</v>
        <stp/>
        <stp>FWRC1#USDJPY#Month Wise Rates#0#S#PillarDate17</stp>
        <tr r="N2" s="21"/>
      </tp>
      <tp t="s">
        <v>24-May-2021</v>
        <stp/>
        <stp>FWRC1#USDJPY#Month Wise Rates#0#S#PillarDate14</stp>
        <tr r="K2" s="21"/>
      </tp>
      <tp t="s">
        <v>24-Jun-2021</v>
        <stp/>
        <stp>FWRC1#USDJPY#Month Wise Rates#0#S#PillarDate15</stp>
        <tr r="L2" s="21"/>
      </tp>
      <tp t="s">
        <v>24-Sep-2021</v>
        <stp/>
        <stp>FWRC1#USDJPY#Month Wise Rates#0#S#PillarDate18</stp>
        <tr r="O2" s="21"/>
      </tp>
      <tp>
        <v>1.3611</v>
        <stp/>
        <stp>12#2#1#6069#SUSDSGD#Open</stp>
        <tr r="B16" s="23"/>
      </tp>
      <tp>
        <v>4.5137</v>
        <stp/>
        <stp>FWRC1#GBPINR#Month End Rates#0#Bid%14</stp>
        <tr r="N10" s="17"/>
      </tp>
      <tp>
        <v>4.5026999999999999</v>
        <stp/>
        <stp>FWRC1#GBPINR#Month End Rates#0#Bid%15</stp>
        <tr r="O10" s="17"/>
      </tp>
      <tp>
        <v>4.5251000000000001</v>
        <stp/>
        <stp>FWRC1#GBPINR#Month End Rates#0#Bid%10</stp>
        <tr r="J10" s="17"/>
      </tp>
      <tp>
        <v>4.5095000000000001</v>
        <stp/>
        <stp>FWRC1#GBPINR#Month End Rates#0#Bid%11</stp>
        <tr r="K10" s="17"/>
      </tp>
      <tp>
        <v>4.5208000000000004</v>
        <stp/>
        <stp>FWRC1#GBPINR#Month End Rates#0#Bid%12</stp>
        <tr r="L10" s="17"/>
      </tp>
      <tp>
        <v>4.5223000000000004</v>
        <stp/>
        <stp>FWRC1#GBPINR#Month End Rates#0#Bid%13</stp>
        <tr r="M10" s="17"/>
      </tp>
      <tp>
        <v>4.5518000000000001</v>
        <stp/>
        <stp>FWRC1#GBPINR#Month End Rates#0#Ask%14</stp>
        <tr r="N11" s="17"/>
      </tp>
      <tp>
        <v>4.5411999999999999</v>
        <stp/>
        <stp>FWRC1#GBPINR#Month End Rates#0#Ask%15</stp>
        <tr r="O11" s="17"/>
      </tp>
      <tp>
        <v>4.5585000000000004</v>
        <stp/>
        <stp>FWRC1#GBPINR#Month End Rates#0#Ask%12</stp>
        <tr r="L11" s="17"/>
      </tp>
      <tp>
        <v>4.5640000000000001</v>
        <stp/>
        <stp>FWRC1#GBPINR#Month End Rates#0#Ask%13</stp>
        <tr r="M11" s="17"/>
      </tp>
      <tp>
        <v>4.5823</v>
        <stp/>
        <stp>FWRC1#GBPINR#Month End Rates#0#Ask%10</stp>
        <tr r="J11" s="17"/>
      </tp>
      <tp>
        <v>4.5620000000000003</v>
        <stp/>
        <stp>FWRC1#GBPINR#Month End Rates#0#Ask%11</stp>
        <tr r="K11" s="17"/>
      </tp>
      <tp>
        <v>96.393500000000003</v>
        <stp/>
        <stp>FWRC1#GBPINR#Month End Rates#0#FwdOutrightBid10</stp>
        <tr r="J7" s="17"/>
      </tp>
      <tp>
        <v>96.735200000000006</v>
        <stp/>
        <stp>FWRC1#GBPINR#Month End Rates#0#FwdOutrightBid11</stp>
        <tr r="K7" s="17"/>
      </tp>
      <tp>
        <v>97.103300000000004</v>
        <stp/>
        <stp>FWRC1#GBPINR#Month End Rates#0#FwdOutrightBid12</stp>
        <tr r="L7" s="17"/>
      </tp>
      <tp>
        <v>97.454499999999996</v>
        <stp/>
        <stp>FWRC1#GBPINR#Month End Rates#0#FwdOutrightBid13</stp>
        <tr r="M7" s="17"/>
      </tp>
      <tp>
        <v>97.797799999999995</v>
        <stp/>
        <stp>FWRC1#GBPINR#Month End Rates#0#FwdOutrightBid14</stp>
        <tr r="N7" s="17"/>
      </tp>
      <tp>
        <v>98.161000000000001</v>
        <stp/>
        <stp>FWRC1#GBPINR#Month End Rates#0#FwdOutrightBid15</stp>
        <tr r="O7" s="17"/>
      </tp>
      <tp>
        <v>1.28115</v>
        <stp/>
        <stp>12#2#1#6031#SGBPUSD#Open</stp>
        <tr r="B11" s="23"/>
        <tr r="E8" s="10"/>
      </tp>
      <tp>
        <v>70.36</v>
        <stp/>
        <stp>17#1#1#6069#USDINRCOMP#52WkLow</stp>
        <tr r="J3" s="10"/>
      </tp>
      <tp>
        <v>244</v>
        <stp/>
        <stp>FWRC1#USDINR#Month End Rates#0#AskPrice13</stp>
        <tr r="M5" s="14"/>
      </tp>
      <tp>
        <v>216.5</v>
        <stp/>
        <stp>FWRC1#USDINR#Month End Rates#0#AskPrice12</stp>
        <tr r="L5" s="14"/>
      </tp>
      <tp>
        <v>192.5</v>
        <stp/>
        <stp>FWRC1#USDINR#Month End Rates#0#AskPrice11</stp>
        <tr r="K5" s="14"/>
      </tp>
      <tp>
        <v>153.5</v>
        <stp/>
        <stp>FWRC1#USDINR#Month End Rates#0#AskPrice10</stp>
        <tr r="J5" s="14"/>
      </tp>
      <tp>
        <v>297</v>
        <stp/>
        <stp>FWRC1#USDINR#Month End Rates#0#AskPrice15</stp>
        <tr r="O5" s="14"/>
      </tp>
      <tp>
        <v>270</v>
        <stp/>
        <stp>FWRC1#USDINR#Month End Rates#0#AskPrice14</stp>
        <tr r="N5" s="14"/>
      </tp>
      <tp>
        <v>191</v>
        <stp/>
        <stp>FWRC1#USDINR#Month End Rates#0#BidPrice11</stp>
        <tr r="K4" s="14"/>
      </tp>
      <tp>
        <v>152</v>
        <stp/>
        <stp>FWRC1#USDINR#Month End Rates#0#BidPrice10</stp>
        <tr r="J4" s="14"/>
      </tp>
      <tp>
        <v>242.5</v>
        <stp/>
        <stp>FWRC1#USDINR#Month End Rates#0#BidPrice13</stp>
        <tr r="M4" s="14"/>
      </tp>
      <tp>
        <v>215</v>
        <stp/>
        <stp>FWRC1#USDINR#Month End Rates#0#BidPrice12</stp>
        <tr r="L4" s="14"/>
      </tp>
      <tp>
        <v>295.5</v>
        <stp/>
        <stp>FWRC1#USDINR#Month End Rates#0#BidPrice15</stp>
        <tr r="O4" s="14"/>
      </tp>
      <tp>
        <v>268.5</v>
        <stp/>
        <stp>FWRC1#USDINR#Month End Rates#0#BidPrice14</stp>
        <tr r="N4" s="14"/>
      </tp>
      <tp>
        <v>0</v>
        <stp/>
        <stp>17#3#1#5978#JPYINRCOMP#52WkLow</stp>
        <tr r="J6" s="10"/>
      </tp>
      <tp>
        <v>5.2424999999999997</v>
        <stp/>
        <stp>FWRC1#EURINR#Month End Rates#0#Ask%14</stp>
        <tr r="N11" s="16"/>
      </tp>
      <tp>
        <v>5.2084999999999999</v>
        <stp/>
        <stp>FWRC1#EURINR#Month End Rates#0#Ask%15</stp>
        <tr r="O11" s="16"/>
      </tp>
      <tp>
        <v>5.2527999999999997</v>
        <stp/>
        <stp>FWRC1#EURINR#Month End Rates#0#Ask%10</stp>
        <tr r="J11" s="16"/>
      </tp>
      <tp>
        <v>5.1980000000000004</v>
        <stp/>
        <stp>FWRC1#EURINR#Month End Rates#0#Ask%11</stp>
        <tr r="K11" s="16"/>
      </tp>
      <tp>
        <v>5.2210000000000001</v>
        <stp/>
        <stp>FWRC1#EURINR#Month End Rates#0#Ask%12</stp>
        <tr r="L11" s="16"/>
      </tp>
      <tp>
        <v>5.2514000000000003</v>
        <stp/>
        <stp>FWRC1#EURINR#Month End Rates#0#Ask%13</stp>
        <tr r="M11" s="16"/>
      </tp>
      <tp>
        <v>5.1653000000000002</v>
        <stp/>
        <stp>FWRC1#EURINR#Month End Rates#0#Bid%14</stp>
        <tr r="N10" s="16"/>
      </tp>
      <tp>
        <v>5.1607000000000003</v>
        <stp/>
        <stp>FWRC1#EURINR#Month End Rates#0#Bid%15</stp>
        <tr r="O10" s="16"/>
      </tp>
      <tp>
        <v>5.1627000000000001</v>
        <stp/>
        <stp>FWRC1#EURINR#Month End Rates#0#Bid%12</stp>
        <tr r="L10" s="16"/>
      </tp>
      <tp>
        <v>5.1725000000000003</v>
        <stp/>
        <stp>FWRC1#EURINR#Month End Rates#0#Bid%13</stp>
        <tr r="M10" s="16"/>
      </tp>
      <tp>
        <v>5.1641000000000004</v>
        <stp/>
        <stp>FWRC1#EURINR#Month End Rates#0#Bid%10</stp>
        <tr r="J10" s="16"/>
      </tp>
      <tp>
        <v>5.1456999999999997</v>
        <stp/>
        <stp>FWRC1#EURINR#Month End Rates#0#Bid%11</stp>
        <tr r="K10" s="16"/>
      </tp>
      <tp>
        <v>73.252300000000005</v>
        <stp/>
        <stp>FWRC1#JPYINR#Month End Rates#0#FwdOutrightAsk14</stp>
        <tr r="N8" s="18"/>
      </tp>
      <tp>
        <v>73.541899999999998</v>
        <stp/>
        <stp>FWRC1#JPYINR#Month End Rates#0#FwdOutrightAsk15</stp>
        <tr r="O8" s="18"/>
      </tp>
      <tp>
        <v>72.686599999999999</v>
        <stp/>
        <stp>FWRC1#JPYINR#Month End Rates#0#FwdOutrightAsk12</stp>
        <tr r="L8" s="18"/>
      </tp>
      <tp>
        <v>72.968199999999996</v>
        <stp/>
        <stp>FWRC1#JPYINR#Month End Rates#0#FwdOutrightAsk13</stp>
        <tr r="M8" s="18"/>
      </tp>
      <tp>
        <v>72.114199999999997</v>
        <stp/>
        <stp>FWRC1#JPYINR#Month End Rates#0#FwdOutrightAsk10</stp>
        <tr r="J8" s="18"/>
      </tp>
      <tp>
        <v>72.384799999999998</v>
        <stp/>
        <stp>FWRC1#JPYINR#Month End Rates#0#FwdOutrightAsk11</stp>
        <tr r="K8" s="18"/>
      </tp>
      <tp t="s">
        <v>AUG-2021</v>
        <stp/>
        <stp>FWRC1#USDINR#Month End Rates#0#S#Desc.15</stp>
        <tr r="O1" s="14"/>
      </tp>
      <tp t="s">
        <v>JUL-2021</v>
        <stp/>
        <stp>FWRC1#USDINR#Month End Rates#0#S#Desc.14</stp>
        <tr r="N1" s="14"/>
      </tp>
      <tp t="s">
        <v>JUN-2021</v>
        <stp/>
        <stp>FWRC1#USDINR#Month End Rates#0#S#Desc.13</stp>
        <tr r="M1" s="14"/>
      </tp>
      <tp t="s">
        <v>MAY-2021</v>
        <stp/>
        <stp>FWRC1#USDINR#Month End Rates#0#S#Desc.12</stp>
        <tr r="L1" s="14"/>
      </tp>
      <tp t="s">
        <v>APR-2021</v>
        <stp/>
        <stp>FWRC1#USDINR#Month End Rates#0#S#Desc.11</stp>
        <tr r="K1" s="14"/>
      </tp>
      <tp t="s">
        <v>MAR-2021</v>
        <stp/>
        <stp>FWRC1#USDINR#Month End Rates#0#S#Desc.10</stp>
        <tr r="J1" s="14"/>
      </tp>
      <tp t="s">
        <v>JUL-2021</v>
        <stp/>
        <stp>FWRC1#GBPINR#Month End Rates#0#S#Desc.14</stp>
        <tr r="N1" s="17"/>
      </tp>
      <tp t="s">
        <v>AUG-2021</v>
        <stp/>
        <stp>FWRC1#GBPINR#Month End Rates#0#S#Desc.15</stp>
        <tr r="O1" s="17"/>
      </tp>
      <tp t="s">
        <v>MAY-2021</v>
        <stp/>
        <stp>FWRC1#GBPINR#Month End Rates#0#S#Desc.12</stp>
        <tr r="L1" s="17"/>
      </tp>
      <tp t="s">
        <v>JUN-2021</v>
        <stp/>
        <stp>FWRC1#GBPINR#Month End Rates#0#S#Desc.13</stp>
        <tr r="M1" s="17"/>
      </tp>
      <tp t="s">
        <v>MAR-2021</v>
        <stp/>
        <stp>FWRC1#GBPINR#Month End Rates#0#S#Desc.10</stp>
        <tr r="J1" s="17"/>
      </tp>
      <tp t="s">
        <v>APR-2021</v>
        <stp/>
        <stp>FWRC1#GBPINR#Month End Rates#0#S#Desc.11</stp>
        <tr r="K1" s="17"/>
      </tp>
      <tp t="s">
        <v>APR-2021</v>
        <stp/>
        <stp>FWRC1#EURINR#Month End Rates#0#S#Desc.11</stp>
        <tr r="K1" s="16"/>
      </tp>
      <tp t="s">
        <v>MAR-2021</v>
        <stp/>
        <stp>FWRC1#EURINR#Month End Rates#0#S#Desc.10</stp>
        <tr r="J1" s="16"/>
      </tp>
      <tp t="s">
        <v>JUN-2021</v>
        <stp/>
        <stp>FWRC1#EURINR#Month End Rates#0#S#Desc.13</stp>
        <tr r="M1" s="16"/>
      </tp>
      <tp t="s">
        <v>MAY-2021</v>
        <stp/>
        <stp>FWRC1#EURINR#Month End Rates#0#S#Desc.12</stp>
        <tr r="L1" s="16"/>
      </tp>
      <tp t="s">
        <v>AUG-2021</v>
        <stp/>
        <stp>FWRC1#EURINR#Month End Rates#0#S#Desc.15</stp>
        <tr r="O1" s="16"/>
      </tp>
      <tp t="s">
        <v>JUL-2021</v>
        <stp/>
        <stp>FWRC1#EURINR#Month End Rates#0#S#Desc.14</stp>
        <tr r="N1" s="16"/>
      </tp>
      <tp t="s">
        <v>JUL-2021</v>
        <stp/>
        <stp>FWRC1#JPYINR#Month End Rates#0#S#Desc.14</stp>
        <tr r="N1" s="18"/>
      </tp>
      <tp t="s">
        <v>AUG-2021</v>
        <stp/>
        <stp>FWRC1#JPYINR#Month End Rates#0#S#Desc.15</stp>
        <tr r="O1" s="18"/>
      </tp>
      <tp t="s">
        <v>MAR-2021</v>
        <stp/>
        <stp>FWRC1#JPYINR#Month End Rates#0#S#Desc.10</stp>
        <tr r="J1" s="18"/>
      </tp>
      <tp t="s">
        <v>APR-2021</v>
        <stp/>
        <stp>FWRC1#JPYINR#Month End Rates#0#S#Desc.11</stp>
        <tr r="K1" s="18"/>
      </tp>
      <tp t="s">
        <v>MAY-2021</v>
        <stp/>
        <stp>FWRC1#JPYINR#Month End Rates#0#S#Desc.12</stp>
        <tr r="L1" s="18"/>
      </tp>
      <tp t="s">
        <v>JUN-2021</v>
        <stp/>
        <stp>FWRC1#JPYINR#Month End Rates#0#S#Desc.13</stp>
        <tr r="M1" s="18"/>
      </tp>
      <tp>
        <v>-0.45679999999999998</v>
        <stp/>
        <stp>FWRC1#USDJPY#Month Wise Rates#0#Ask%8</stp>
        <tr r="E11" s="21"/>
      </tp>
      <tp>
        <v>-0.46410000000000001</v>
        <stp/>
        <stp>FWRC1#USDJPY#Month Wise Rates#0#Ask%9</stp>
        <tr r="F11" s="21"/>
      </tp>
      <tp>
        <v>-0.50790000000000002</v>
        <stp/>
        <stp>FWRC1#USDJPY#Month Wise Rates#0#Ask%7</stp>
        <tr r="D11" s="21"/>
      </tp>
      <tp>
        <v>-0.1744</v>
        <stp/>
        <stp>FWRC1#USDJPY#Month Wise Rates#0#Ask%2</stp>
        <tr r="C11" s="21"/>
      </tp>
      <tp>
        <v>104.666</v>
        <stp/>
        <stp>FWRC1#USDJPY#Month Wise Rates#0#Close0</stp>
        <tr r="E29" s="23"/>
        <tr r="G29" s="23"/>
        <tr r="F29" s="23"/>
        <tr r="M29" s="23"/>
        <tr r="K29" s="23"/>
        <tr r="I29" s="23"/>
        <tr r="H29" s="23"/>
        <tr r="J29" s="23"/>
        <tr r="B29" s="23"/>
        <tr r="D29" s="23"/>
        <tr r="C29" s="23"/>
        <tr r="N29" s="23"/>
        <tr r="L29" s="23"/>
      </tp>
      <tp>
        <v>-4.76</v>
        <stp/>
        <stp>FWRC1#USDJPY#Month Wise Rates#0#Close7</stp>
        <tr r="C29" s="23"/>
      </tp>
      <tp>
        <v>-8.2799999999999994</v>
        <stp/>
        <stp>FWRC1#USDJPY#Month Wise Rates#0#Close8</stp>
        <tr r="D29" s="23"/>
      </tp>
      <tp>
        <v>-12.36</v>
        <stp/>
        <stp>FWRC1#USDJPY#Month Wise Rates#0#Close9</stp>
        <tr r="E29" s="23"/>
      </tp>
      <tp>
        <v>1.0634999999999999</v>
        <stp/>
        <stp>12#2#1#5949#SEURUSD#52WkLow</stp>
        <tr r="J7" s="10"/>
      </tp>
      <tp t="s">
        <v>12M</v>
        <stp/>
        <stp>FWRC1#USDJPY#Month Wise Rates#0#S#Desc.18</stp>
        <tr r="O1" s="21"/>
      </tp>
      <tp t="s">
        <v>9M</v>
        <stp/>
        <stp>FWRC1#USDJPY#Month Wise Rates#0#S#Desc.15</stp>
        <tr r="L1" s="21"/>
      </tp>
      <tp t="s">
        <v>8M</v>
        <stp/>
        <stp>FWRC1#USDJPY#Month Wise Rates#0#S#Desc.14</stp>
        <tr r="K1" s="21"/>
      </tp>
      <tp t="s">
        <v>11M</v>
        <stp/>
        <stp>FWRC1#USDJPY#Month Wise Rates#0#S#Desc.17</stp>
        <tr r="N1" s="21"/>
      </tp>
      <tp t="s">
        <v>10M</v>
        <stp/>
        <stp>FWRC1#USDJPY#Month Wise Rates#0#S#Desc.16</stp>
        <tr r="M1" s="21"/>
      </tp>
      <tp t="s">
        <v>5M</v>
        <stp/>
        <stp>FWRC1#USDJPY#Month Wise Rates#0#S#Desc.11</stp>
        <tr r="H1" s="21"/>
      </tp>
      <tp t="s">
        <v>4M</v>
        <stp/>
        <stp>FWRC1#USDJPY#Month Wise Rates#0#S#Desc.10</stp>
        <tr r="G1" s="21"/>
      </tp>
      <tp t="s">
        <v>7M</v>
        <stp/>
        <stp>FWRC1#USDJPY#Month Wise Rates#0#S#Desc.13</stp>
        <tr r="J1" s="21"/>
      </tp>
      <tp t="s">
        <v>6M</v>
        <stp/>
        <stp>FWRC1#USDJPY#Month Wise Rates#0#S#Desc.12</stp>
        <tr r="I1" s="21"/>
      </tp>
      <tp>
        <v>4.2896999999999998</v>
        <stp/>
        <stp>FWRC1#GBPINR#Month End Rates#0#Ask%9</stp>
        <tr r="I11" s="17"/>
      </tp>
      <tp>
        <v>4.2725</v>
        <stp/>
        <stp>FWRC1#GBPINR#Month End Rates#0#Ask%8</stp>
        <tr r="H11" s="17"/>
      </tp>
      <tp>
        <v>6.4194000000000004</v>
        <stp/>
        <stp>FWRC1#GBPINR#Month End Rates#0#Ask%2</stp>
        <tr r="C11" s="17"/>
      </tp>
      <tp>
        <v>4.2805999999999997</v>
        <stp/>
        <stp>FWRC1#GBPINR#Month End Rates#0#Ask%7</stp>
        <tr r="G11" s="17"/>
      </tp>
      <tp>
        <v>4.0991</v>
        <stp/>
        <stp>FWRC1#GBPINR#Month End Rates#0#Ask%6</stp>
        <tr r="F11" s="17"/>
      </tp>
      <tp>
        <v>4.0153999999999996</v>
        <stp/>
        <stp>FWRC1#GBPINR#Month End Rates#0#Ask%5</stp>
        <tr r="E11" s="17"/>
      </tp>
      <tp>
        <v>3.4342000000000001</v>
        <stp/>
        <stp>FWRC1#GBPINR#Month End Rates#0#Ask%4</stp>
        <tr r="D11" s="17"/>
      </tp>
      <tp>
        <v>4.8914</v>
        <stp/>
        <stp>FWRC1#EURINR#Month End Rates#0#Ask%8</stp>
        <tr r="H11" s="16"/>
      </tp>
      <tp>
        <v>4.9116</v>
        <stp/>
        <stp>FWRC1#EURINR#Month End Rates#0#Ask%9</stp>
        <tr r="I11" s="16"/>
      </tp>
      <tp>
        <v>3.9275000000000002</v>
        <stp/>
        <stp>FWRC1#EURINR#Month End Rates#0#Ask%4</stp>
        <tr r="D11" s="16"/>
      </tp>
      <tp>
        <v>4.6159999999999997</v>
        <stp/>
        <stp>FWRC1#EURINR#Month End Rates#0#Ask%5</stp>
        <tr r="E11" s="16"/>
      </tp>
      <tp>
        <v>4.7381000000000002</v>
        <stp/>
        <stp>FWRC1#EURINR#Month End Rates#0#Ask%6</stp>
        <tr r="F11" s="16"/>
      </tp>
      <tp>
        <v>4.8912000000000004</v>
        <stp/>
        <stp>FWRC1#EURINR#Month End Rates#0#Ask%7</stp>
        <tr r="G11" s="16"/>
      </tp>
      <tp>
        <v>6.9317000000000002</v>
        <stp/>
        <stp>FWRC1#EURINR#Month End Rates#0#Ask%2</stp>
        <tr r="C11" s="16"/>
      </tp>
      <tp>
        <v>71.450900000000004</v>
        <stp/>
        <stp>FWRC1#JPYINR#Month End Rates#0#FwdOutrightAsk8</stp>
        <tr r="H8" s="18"/>
      </tp>
      <tp>
        <v>71.705500000000001</v>
        <stp/>
        <stp>FWRC1#JPYINR#Month End Rates#0#FwdOutrightAsk9</stp>
        <tr r="I8" s="18"/>
      </tp>
      <tp>
        <v>70.362700000000004</v>
        <stp/>
        <stp>FWRC1#JPYINR#Month End Rates#0#FwdOutrightAsk4</stp>
        <tr r="D8" s="18"/>
      </tp>
      <tp>
        <v>70.6096</v>
        <stp/>
        <stp>FWRC1#JPYINR#Month End Rates#0#FwdOutrightAsk5</stp>
        <tr r="E8" s="18"/>
      </tp>
      <tp>
        <v>70.865899999999996</v>
        <stp/>
        <stp>FWRC1#JPYINR#Month End Rates#0#FwdOutrightAsk6</stp>
        <tr r="F8" s="18"/>
      </tp>
      <tp>
        <v>71.196299999999994</v>
        <stp/>
        <stp>FWRC1#JPYINR#Month End Rates#0#FwdOutrightAsk7</stp>
        <tr r="G8" s="18"/>
      </tp>
      <tp>
        <v>70.312299999999993</v>
        <stp/>
        <stp>FWRC1#JPYINR#Month End Rates#0#FwdOutrightAsk1</stp>
        <tr r="C8" s="18"/>
        <tr r="D3" s="7"/>
      </tp>
      <tp>
        <v>70.317300000000003</v>
        <stp/>
        <stp>FWRC1#JPYINR#Month End Rates#0#FwdOutrightAsk3</stp>
        <tr r="F3" s="7"/>
      </tp>
      <tp>
        <v>4.6402000000000001</v>
        <stp/>
        <stp>FWRC1#JPYINR#Month End Rates#0#Ask%9</stp>
        <tr r="I11" s="18"/>
      </tp>
      <tp>
        <v>4.6227</v>
        <stp/>
        <stp>FWRC1#JPYINR#Month End Rates#0#Ask%8</stp>
        <tr r="H11" s="18"/>
      </tp>
      <tp>
        <v>7.1750999999999996</v>
        <stp/>
        <stp>FWRC1#JPYINR#Month End Rates#0#Ask%2</stp>
        <tr r="C11" s="18"/>
      </tp>
      <tp>
        <v>4.2960000000000003</v>
        <stp/>
        <stp>FWRC1#JPYINR#Month End Rates#0#Ask%5</stp>
        <tr r="E11" s="18"/>
      </tp>
      <tp>
        <v>3.6964000000000001</v>
        <stp/>
        <stp>FWRC1#JPYINR#Month End Rates#0#Ask%4</stp>
        <tr r="D11" s="18"/>
      </tp>
      <tp>
        <v>4.6417999999999999</v>
        <stp/>
        <stp>FWRC1#JPYINR#Month End Rates#0#Ask%7</stp>
        <tr r="G11" s="18"/>
      </tp>
      <tp>
        <v>4.4283999999999999</v>
        <stp/>
        <stp>FWRC1#JPYINR#Month End Rates#0#Ask%6</stp>
        <tr r="F11" s="18"/>
      </tp>
      <tp>
        <v>4.0030999999999999</v>
        <stp/>
        <stp>FWRC1#USDINR#Month End Rates#0#Ask%8</stp>
        <tr r="H11" s="14"/>
      </tp>
      <tp>
        <v>4.0159000000000002</v>
        <stp/>
        <stp>FWRC1#USDINR#Month End Rates#0#Ask%9</stp>
        <tr r="I11" s="14"/>
      </tp>
      <tp>
        <v>6.1999000000000004</v>
        <stp/>
        <stp>FWRC1#USDINR#Month End Rates#0#Ask%2</stp>
        <tr r="C11" s="14"/>
      </tp>
      <tp>
        <v>3.9331</v>
        <stp/>
        <stp>FWRC1#USDINR#Month End Rates#0#Ask%6</stp>
        <tr r="F11" s="14"/>
      </tp>
      <tp>
        <v>3.9729999999999999</v>
        <stp/>
        <stp>FWRC1#USDINR#Month End Rates#0#Ask%7</stp>
        <tr r="G11" s="14"/>
      </tp>
      <tp>
        <v>5.5799000000000003</v>
        <stp/>
        <stp>FWRC1#USDINR#Month End Rates#0#Ask%4</stp>
        <tr r="D11" s="14"/>
      </tp>
      <tp>
        <v>3.9679000000000002</v>
        <stp/>
        <stp>FWRC1#USDINR#Month End Rates#0#Ask%5</stp>
        <tr r="E11" s="14"/>
      </tp>
      <tp>
        <v>74.625</v>
        <stp/>
        <stp>FWRC1#USDINR#Month End Rates#0#FwdOutrightAsk8</stp>
        <tr r="H8" s="14"/>
      </tp>
      <tp>
        <v>74.855000000000004</v>
        <stp/>
        <stp>FWRC1#USDINR#Month End Rates#0#FwdOutrightAsk9</stp>
        <tr r="I8" s="14"/>
      </tp>
      <tp>
        <v>73.667500000000004</v>
        <stp/>
        <stp>FWRC1#USDINR#Month End Rates#0#FwdOutrightAsk4</stp>
        <tr r="D8" s="14"/>
      </tp>
      <tp>
        <v>73.88</v>
        <stp/>
        <stp>FWRC1#USDINR#Month End Rates#0#FwdOutrightAsk5</stp>
        <tr r="E8" s="14"/>
      </tp>
      <tp>
        <v>74.107500000000002</v>
        <stp/>
        <stp>FWRC1#USDINR#Month End Rates#0#FwdOutrightAsk6</stp>
        <tr r="F8" s="14"/>
      </tp>
      <tp>
        <v>74.385000000000005</v>
        <stp/>
        <stp>FWRC1#USDINR#Month End Rates#0#FwdOutrightAsk7</stp>
        <tr r="G8" s="14"/>
      </tp>
      <tp>
        <v>73.594999999999999</v>
        <stp/>
        <stp>FWRC1#USDINR#Month End Rates#0#FwdOutrightAsk1</stp>
        <tr r="D3" s="4"/>
        <tr r="C8" s="14"/>
      </tp>
      <tp>
        <v>73.597499999999997</v>
        <stp/>
        <stp>FWRC1#USDINR#Month End Rates#0#FwdOutrightAsk3</stp>
        <tr r="F3" s="4"/>
      </tp>
      <tp t="s">
        <v>26-Feb-2021</v>
        <stp/>
        <stp>FWRC1#USDINR#Month End Rates#0#S#MonthEndDate9</stp>
        <tr r="I2" s="14"/>
      </tp>
      <tp t="s">
        <v>29-Jan-2021</v>
        <stp/>
        <stp>FWRC1#USDINR#Month End Rates#0#S#MonthEndDate8</stp>
        <tr r="H2" s="14"/>
      </tp>
      <tp t="s">
        <v>31-Dec-2020</v>
        <stp/>
        <stp>FWRC1#USDINR#Month End Rates#0#S#MonthEndDate7</stp>
        <tr r="G2" s="14"/>
      </tp>
      <tp t="s">
        <v>27-Nov-2020</v>
        <stp/>
        <stp>FWRC1#USDINR#Month End Rates#0#S#MonthEndDate6</stp>
        <tr r="F2" s="14"/>
      </tp>
      <tp t="s">
        <v>29-Oct-2020</v>
        <stp/>
        <stp>FWRC1#USDINR#Month End Rates#0#S#MonthEndDate5</stp>
        <tr r="E2" s="14"/>
      </tp>
      <tp t="s">
        <v>30-Sep-2020</v>
        <stp/>
        <stp>FWRC1#USDINR#Month End Rates#0#S#MonthEndDate4</stp>
        <tr r="D2" s="14"/>
      </tp>
      <tp t="s">
        <v>24-Sep-2020</v>
        <stp/>
        <stp>FWRC1#USDINR#Month End Rates#0#S#MonthEndDate2</stp>
        <tr r="C2" s="14"/>
      </tp>
      <tp>
        <v>0.72211000000000003</v>
        <stp/>
        <stp>12#2#1#5903#SAUDUSD#Open</stp>
        <tr r="B15" s="23"/>
      </tp>
      <tp>
        <v>1.17692</v>
        <stp/>
        <stp>12#2#1#5949#SEURUSD#Open</stp>
        <tr r="B10" s="23"/>
        <tr r="E7" s="10"/>
      </tp>
      <tp>
        <v>1.3310999999999999</v>
        <stp/>
        <stp>12#2#1#6069#SUSDCAD#Open</stp>
        <tr r="B14" s="23"/>
      </tp>
      <tp>
        <v>5.4</v>
        <stp/>
        <stp>FWRC1#GBPUSD#Month Wise Rates#0#Close9</stp>
        <tr r="E28" s="23"/>
      </tp>
      <tp>
        <v>3.74</v>
        <stp/>
        <stp>FWRC1#GBPUSD#Month Wise Rates#0#Close8</stp>
        <tr r="D28" s="23"/>
      </tp>
      <tp>
        <v>2</v>
        <stp/>
        <stp>FWRC1#GBPUSD#Month Wise Rates#0#Close7</stp>
        <tr r="C28" s="23"/>
      </tp>
      <tp>
        <v>1.27976</v>
        <stp/>
        <stp>FWRC1#GBPUSD#Month Wise Rates#0#Close0</stp>
        <tr r="C28" s="23"/>
        <tr r="I28" s="23"/>
        <tr r="E28" s="23"/>
        <tr r="D28" s="23"/>
        <tr r="G28" s="23"/>
        <tr r="M28" s="23"/>
        <tr r="H28" s="23"/>
        <tr r="K28" s="23"/>
        <tr r="L28" s="23"/>
        <tr r="F28" s="23"/>
        <tr r="N28" s="23"/>
        <tr r="B28" s="23"/>
        <tr r="J28" s="23"/>
      </tp>
      <tp>
        <v>265.32</v>
        <stp/>
        <stp>FWRC1#EURINR#Month End Rates#0#Close11</stp>
        <tr r="J20" s="23"/>
      </tp>
      <tp>
        <v>229.6275</v>
        <stp/>
        <stp>FWRC1#EURINR#Month End Rates#0#Close10</stp>
        <tr r="I20" s="23"/>
      </tp>
      <tp>
        <v>341.33249999999998</v>
        <stp/>
        <stp>FWRC1#EURINR#Month End Rates#0#Close13</stp>
        <tr r="L20" s="23"/>
      </tp>
      <tp>
        <v>304.04750000000001</v>
        <stp/>
        <stp>FWRC1#EURINR#Month End Rates#0#Close12</stp>
        <tr r="K20" s="23"/>
      </tp>
      <tp>
        <v>416.22500000000002</v>
        <stp/>
        <stp>FWRC1#EURINR#Month End Rates#0#Close15</stp>
        <tr r="N20" s="23"/>
      </tp>
      <tp>
        <v>377.50749999999999</v>
        <stp/>
        <stp>FWRC1#EURINR#Month End Rates#0#Close14</stp>
        <tr r="M20" s="23"/>
      </tp>
      <tp>
        <v>52.88</v>
        <stp/>
        <stp>FWRC1#AUDINR#Month Wise Rates#0#Close0</stp>
        <tr r="D25" s="23"/>
        <tr r="K25" s="23"/>
        <tr r="C25" s="23"/>
        <tr r="L25" s="23"/>
        <tr r="J25" s="23"/>
        <tr r="G25" s="23"/>
        <tr r="M25" s="23"/>
        <tr r="B25" s="23"/>
        <tr r="I25" s="23"/>
        <tr r="H25" s="23"/>
        <tr r="F25" s="23"/>
        <tr r="E25" s="23"/>
        <tr r="N25" s="23"/>
      </tp>
      <tp>
        <v>1774.7826</v>
        <stp/>
        <stp>FWRC1#AUDINR#Month Wise Rates#0#Close7</stp>
        <tr r="C25" s="23"/>
      </tp>
      <tp>
        <v>5198.2004999999999</v>
        <stp/>
        <stp>FWRC1#AUDINR#Month Wise Rates#0#Close9</stp>
        <tr r="E25" s="23"/>
      </tp>
      <tp>
        <v>3341.6516000000001</v>
        <stp/>
        <stp>FWRC1#AUDINR#Month Wise Rates#0#Close8</stp>
        <tr r="D25" s="23"/>
      </tp>
      <tp t="s">
        <v>24-Feb-2021</v>
        <stp/>
        <stp>FWRC1#USDINR#Month Wise Rates#0#S#PillarDate11</stp>
        <tr r="H2" s="15"/>
      </tp>
      <tp t="s">
        <v>25-Jan-2021</v>
        <stp/>
        <stp>FWRC1#USDINR#Month Wise Rates#0#S#PillarDate10</stp>
        <tr r="G2" s="15"/>
      </tp>
      <tp t="s">
        <v>26-Apr-2021</v>
        <stp/>
        <stp>FWRC1#USDINR#Month Wise Rates#0#S#PillarDate13</stp>
        <tr r="J2" s="15"/>
      </tp>
      <tp t="s">
        <v>24-Mar-2021</v>
        <stp/>
        <stp>FWRC1#USDINR#Month Wise Rates#0#S#PillarDate12</stp>
        <tr r="I2" s="15"/>
      </tp>
      <tp t="s">
        <v>24-Jun-2021</v>
        <stp/>
        <stp>FWRC1#USDINR#Month Wise Rates#0#S#PillarDate15</stp>
        <tr r="L2" s="15"/>
      </tp>
      <tp t="s">
        <v>24-May-2021</v>
        <stp/>
        <stp>FWRC1#USDINR#Month Wise Rates#0#S#PillarDate14</stp>
        <tr r="K2" s="15"/>
      </tp>
      <tp t="s">
        <v>24-Aug-2021</v>
        <stp/>
        <stp>FWRC1#USDINR#Month Wise Rates#0#S#PillarDate17</stp>
        <tr r="N2" s="15"/>
      </tp>
      <tp t="s">
        <v>26-Jul-2021</v>
        <stp/>
        <stp>FWRC1#USDINR#Month Wise Rates#0#S#PillarDate16</stp>
        <tr r="M2" s="15"/>
      </tp>
      <tp t="s">
        <v>24-Sep-2021</v>
        <stp/>
        <stp>FWRC1#USDINR#Month Wise Rates#0#S#PillarDate18</stp>
        <tr r="O2" s="15"/>
      </tp>
      <tp>
        <v>4.2117000000000004</v>
        <stp/>
        <stp>FWRC1#GBPINR#Month End Rates#0#Bid%8</stp>
        <tr r="H10" s="17"/>
      </tp>
      <tp>
        <v>4.2317999999999998</v>
        <stp/>
        <stp>FWRC1#GBPINR#Month End Rates#0#Bid%9</stp>
        <tr r="I10" s="17"/>
      </tp>
      <tp>
        <v>1.3033999999999999</v>
        <stp/>
        <stp>FWRC1#GBPINR#Month End Rates#0#Bid%2</stp>
        <tr r="C10" s="17"/>
      </tp>
      <tp>
        <v>3.2648999999999999</v>
        <stp/>
        <stp>FWRC1#GBPINR#Month End Rates#0#Bid%4</stp>
        <tr r="D10" s="17"/>
      </tp>
      <tp>
        <v>3.9081000000000001</v>
        <stp/>
        <stp>FWRC1#GBPINR#Month End Rates#0#Bid%5</stp>
        <tr r="E10" s="17"/>
      </tp>
      <tp>
        <v>3.9799000000000002</v>
        <stp/>
        <stp>FWRC1#GBPINR#Month End Rates#0#Bid%6</stp>
        <tr r="F10" s="17"/>
      </tp>
      <tp>
        <v>4.2028999999999996</v>
        <stp/>
        <stp>FWRC1#GBPINR#Month End Rates#0#Bid%7</stp>
        <tr r="G10" s="17"/>
      </tp>
      <tp>
        <v>4.8574999999999999</v>
        <stp/>
        <stp>FWRC1#EURINR#Month End Rates#0#Bid%9</stp>
        <tr r="I10" s="16"/>
      </tp>
      <tp>
        <v>4.8307000000000002</v>
        <stp/>
        <stp>FWRC1#EURINR#Month End Rates#0#Bid%8</stp>
        <tr r="H10" s="16"/>
      </tp>
      <tp>
        <v>4.82</v>
        <stp/>
        <stp>FWRC1#EURINR#Month End Rates#0#Bid%7</stp>
        <tr r="G10" s="16"/>
      </tp>
      <tp>
        <v>4.6303000000000001</v>
        <stp/>
        <stp>FWRC1#EURINR#Month End Rates#0#Bid%6</stp>
        <tr r="F10" s="16"/>
      </tp>
      <tp>
        <v>4.5117000000000003</v>
        <stp/>
        <stp>FWRC1#EURINR#Month End Rates#0#Bid%5</stp>
        <tr r="E10" s="16"/>
      </tp>
      <tp>
        <v>3.7646000000000002</v>
        <stp/>
        <stp>FWRC1#EURINR#Month End Rates#0#Bid%4</stp>
        <tr r="D10" s="16"/>
      </tp>
      <tp>
        <v>1.8775999999999999</v>
        <stp/>
        <stp>FWRC1#EURINR#Month End Rates#0#Bid%2</stp>
        <tr r="C10" s="16"/>
      </tp>
      <tp>
        <v>4.5381999999999998</v>
        <stp/>
        <stp>FWRC1#JPYINR#Month End Rates#0#Bid%8</stp>
        <tr r="H10" s="18"/>
      </tp>
      <tp>
        <v>4.5685000000000002</v>
        <stp/>
        <stp>FWRC1#JPYINR#Month End Rates#0#Bid%9</stp>
        <tr r="I10" s="18"/>
      </tp>
      <tp>
        <v>1.9887999999999999</v>
        <stp/>
        <stp>FWRC1#JPYINR#Month End Rates#0#Bid%2</stp>
        <tr r="C10" s="18"/>
      </tp>
      <tp>
        <v>4.3205999999999998</v>
        <stp/>
        <stp>FWRC1#JPYINR#Month End Rates#0#Bid%6</stp>
        <tr r="F10" s="18"/>
      </tp>
      <tp>
        <v>4.5343</v>
        <stp/>
        <stp>FWRC1#JPYINR#Month End Rates#0#Bid%7</stp>
        <tr r="G10" s="18"/>
      </tp>
      <tp>
        <v>3.5407000000000002</v>
        <stp/>
        <stp>FWRC1#JPYINR#Month End Rates#0#Bid%4</stp>
        <tr r="D10" s="18"/>
      </tp>
      <tp>
        <v>4.1959999999999997</v>
        <stp/>
        <stp>FWRC1#JPYINR#Month End Rates#0#Bid%5</stp>
        <tr r="E10" s="18"/>
      </tp>
      <tp>
        <v>3.9674</v>
        <stp/>
        <stp>FWRC1#USDINR#Month End Rates#0#Bid%9</stp>
        <tr r="I10" s="14"/>
      </tp>
      <tp>
        <v>3.944</v>
        <stp/>
        <stp>FWRC1#USDINR#Month End Rates#0#Bid%8</stp>
        <tr r="H10" s="14"/>
      </tp>
      <tp>
        <v>1.2398</v>
        <stp/>
        <stp>FWRC1#USDINR#Month End Rates#0#Bid%2</stp>
        <tr r="C10" s="14"/>
      </tp>
      <tp>
        <v>3.8256999999999999</v>
        <stp/>
        <stp>FWRC1#USDINR#Month End Rates#0#Bid%5</stp>
        <tr r="E10" s="14"/>
      </tp>
      <tp>
        <v>3.9260999999999999</v>
        <stp/>
        <stp>FWRC1#USDINR#Month End Rates#0#Bid%4</stp>
        <tr r="D10" s="14"/>
      </tp>
      <tp>
        <v>3.8712</v>
        <stp/>
        <stp>FWRC1#USDINR#Month End Rates#0#Bid%7</stp>
        <tr r="G10" s="14"/>
      </tp>
      <tp>
        <v>3.855</v>
        <stp/>
        <stp>FWRC1#USDINR#Month End Rates#0#Bid%6</stp>
        <tr r="F10" s="14"/>
      </tp>
      <tp>
        <v>104.664</v>
        <stp/>
        <stp>12#2#1#6069#SUSDJPY#Close</stp>
        <tr r="H9" s="10"/>
      </tp>
      <tp>
        <v>73.504900000000006</v>
        <stp/>
        <stp>FWRC1#JPYINR#Month End Rates#0#FwdOutrightBid15</stp>
        <tr r="O7" s="18"/>
      </tp>
      <tp>
        <v>73.205799999999996</v>
        <stp/>
        <stp>FWRC1#JPYINR#Month End Rates#0#FwdOutrightBid14</stp>
        <tr r="N7" s="18"/>
      </tp>
      <tp>
        <v>72.349100000000007</v>
        <stp/>
        <stp>FWRC1#JPYINR#Month End Rates#0#FwdOutrightBid11</stp>
        <tr r="K7" s="18"/>
      </tp>
      <tp>
        <v>72.076999999999998</v>
        <stp/>
        <stp>FWRC1#JPYINR#Month End Rates#0#FwdOutrightBid10</stp>
        <tr r="J7" s="18"/>
      </tp>
      <tp>
        <v>72.935199999999995</v>
        <stp/>
        <stp>FWRC1#JPYINR#Month End Rates#0#FwdOutrightBid13</stp>
        <tr r="M7" s="18"/>
      </tp>
      <tp>
        <v>72.650499999999994</v>
        <stp/>
        <stp>FWRC1#JPYINR#Month End Rates#0#FwdOutrightBid12</stp>
        <tr r="L7" s="18"/>
      </tp>
      <tp>
        <v>-0.47360000000000002</v>
        <stp/>
        <stp>FWRC1#USDJPY#Month Wise Rates#0#Bid%9</stp>
        <tr r="F10" s="21"/>
      </tp>
      <tp>
        <v>-0.47339999999999999</v>
        <stp/>
        <stp>FWRC1#USDJPY#Month Wise Rates#0#Bid%8</stp>
        <tr r="E10" s="21"/>
      </tp>
      <tp>
        <v>-0.51870000000000005</v>
        <stp/>
        <stp>FWRC1#USDJPY#Month Wise Rates#0#Bid%7</stp>
        <tr r="D10" s="21"/>
      </tp>
      <tp>
        <v>-0.45329999999999998</v>
        <stp/>
        <stp>FWRC1#USDJPY#Month Wise Rates#0#Bid%2</stp>
        <tr r="C10" s="21"/>
      </tp>
      <tp>
        <v>1.1407799999999999</v>
        <stp/>
        <stp>12#2#1#6031#SGBPUSD#52WkLow</stp>
        <tr r="J8" s="10"/>
      </tp>
      <tp>
        <v>20390.737499999999</v>
        <stp/>
        <stp>FWRC1#JPYINR#Month End Rates#0#Close11</stp>
        <tr r="J22" s="23"/>
      </tp>
      <tp>
        <v>17669.785</v>
        <stp/>
        <stp>FWRC1#JPYINR#Month End Rates#0#Close10</stp>
        <tr r="I22" s="23"/>
      </tp>
      <tp>
        <v>26251.587500000001</v>
        <stp/>
        <stp>FWRC1#JPYINR#Month End Rates#0#Close13</stp>
        <tr r="L22" s="23"/>
      </tp>
      <tp>
        <v>23405.182499999999</v>
        <stp/>
        <stp>FWRC1#JPYINR#Month End Rates#0#Close12</stp>
        <tr r="K22" s="23"/>
      </tp>
      <tp>
        <v>31949.075000000001</v>
        <stp/>
        <stp>FWRC1#JPYINR#Month End Rates#0#Close15</stp>
        <tr r="N22" s="23"/>
      </tp>
      <tp>
        <v>28958.377499999999</v>
        <stp/>
        <stp>FWRC1#JPYINR#Month End Rates#0#Close14</stp>
        <tr r="M22" s="23"/>
      </tp>
      <tp>
        <v>4.9048999999999996</v>
        <stp/>
        <stp>FWRC1#JPYINR#Month End Rates#0#Ask%15</stp>
        <tr r="O11" s="18"/>
      </tp>
      <tp>
        <v>4.9263000000000003</v>
        <stp/>
        <stp>FWRC1#JPYINR#Month End Rates#0#Ask%14</stp>
        <tr r="N11" s="18"/>
      </tp>
      <tp>
        <v>4.9275000000000002</v>
        <stp/>
        <stp>FWRC1#JPYINR#Month End Rates#0#Ask%13</stp>
        <tr r="M11" s="18"/>
      </tp>
      <tp>
        <v>4.9340999999999999</v>
        <stp/>
        <stp>FWRC1#JPYINR#Month End Rates#0#Ask%12</stp>
        <tr r="L11" s="18"/>
      </tp>
      <tp>
        <v>4.9169</v>
        <stp/>
        <stp>FWRC1#JPYINR#Month End Rates#0#Ask%11</stp>
        <tr r="K11" s="18"/>
      </tp>
      <tp>
        <v>4.9543999999999997</v>
        <stp/>
        <stp>FWRC1#JPYINR#Month End Rates#0#Ask%10</stp>
        <tr r="J11" s="18"/>
      </tp>
      <tp>
        <v>4.8632</v>
        <stp/>
        <stp>FWRC1#JPYINR#Month End Rates#0#Bid%15</stp>
        <tr r="O10" s="18"/>
      </tp>
      <tp>
        <v>4.8643999999999998</v>
        <stp/>
        <stp>FWRC1#JPYINR#Month End Rates#0#Bid%14</stp>
        <tr r="N10" s="18"/>
      </tp>
      <tp>
        <v>4.8550000000000004</v>
        <stp/>
        <stp>FWRC1#JPYINR#Month End Rates#0#Bid%11</stp>
        <tr r="K10" s="18"/>
      </tp>
      <tp>
        <v>4.8784999999999998</v>
        <stp/>
        <stp>FWRC1#JPYINR#Month End Rates#0#Bid%10</stp>
        <tr r="J10" s="18"/>
      </tp>
      <tp>
        <v>4.8838999999999997</v>
        <stp/>
        <stp>FWRC1#JPYINR#Month End Rates#0#Bid%13</stp>
        <tr r="M10" s="18"/>
      </tp>
      <tp>
        <v>4.8789999999999996</v>
        <stp/>
        <stp>FWRC1#JPYINR#Month End Rates#0#Bid%12</stp>
        <tr r="L10" s="18"/>
      </tp>
      <tp t="s">
        <v>24-Sep-2021</v>
        <stp/>
        <stp>FWRC1#GBPUSD#Month Wise Rates#0#S#PillarDate18</stp>
        <tr r="O2" s="20"/>
      </tp>
      <tp t="s">
        <v>24-Jun-2021</v>
        <stp/>
        <stp>FWRC1#GBPUSD#Month Wise Rates#0#S#PillarDate15</stp>
        <tr r="L2" s="20"/>
      </tp>
      <tp t="s">
        <v>24-May-2021</v>
        <stp/>
        <stp>FWRC1#GBPUSD#Month Wise Rates#0#S#PillarDate14</stp>
        <tr r="K2" s="20"/>
      </tp>
      <tp t="s">
        <v>24-Aug-2021</v>
        <stp/>
        <stp>FWRC1#GBPUSD#Month Wise Rates#0#S#PillarDate17</stp>
        <tr r="N2" s="20"/>
      </tp>
      <tp t="s">
        <v>26-Jul-2021</v>
        <stp/>
        <stp>FWRC1#GBPUSD#Month Wise Rates#0#S#PillarDate16</stp>
        <tr r="M2" s="20"/>
      </tp>
      <tp t="s">
        <v>24-Feb-2021</v>
        <stp/>
        <stp>FWRC1#GBPUSD#Month Wise Rates#0#S#PillarDate11</stp>
        <tr r="H2" s="20"/>
      </tp>
      <tp t="s">
        <v>25-Jan-2021</v>
        <stp/>
        <stp>FWRC1#GBPUSD#Month Wise Rates#0#S#PillarDate10</stp>
        <tr r="G2" s="20"/>
      </tp>
      <tp t="s">
        <v>26-Apr-2021</v>
        <stp/>
        <stp>FWRC1#GBPUSD#Month Wise Rates#0#S#PillarDate13</stp>
        <tr r="J2" s="20"/>
      </tp>
      <tp t="s">
        <v>24-Mar-2021</v>
        <stp/>
        <stp>FWRC1#GBPUSD#Month Wise Rates#0#S#PillarDate12</stp>
        <tr r="I2" s="20"/>
      </tp>
      <tp>
        <v>97.506200000000007</v>
        <stp/>
        <stp>FWRC1#GBPINR#Month End Rates#0#FwdOutrightAsk13</stp>
        <tr r="M8" s="17"/>
      </tp>
      <tp>
        <v>97.149299999999997</v>
        <stp/>
        <stp>FWRC1#GBPINR#Month End Rates#0#FwdOutrightAsk12</stp>
        <tr r="L8" s="17"/>
      </tp>
      <tp>
        <v>96.786600000000007</v>
        <stp/>
        <stp>FWRC1#GBPINR#Month End Rates#0#FwdOutrightAsk11</stp>
        <tr r="K8" s="17"/>
      </tp>
      <tp>
        <v>96.443200000000004</v>
        <stp/>
        <stp>FWRC1#GBPINR#Month End Rates#0#FwdOutrightAsk10</stp>
        <tr r="J8" s="17"/>
      </tp>
      <tp>
        <v>98.216499999999996</v>
        <stp/>
        <stp>FWRC1#GBPINR#Month End Rates#0#FwdOutrightAsk15</stp>
        <tr r="O8" s="17"/>
      </tp>
      <tp>
        <v>97.849900000000005</v>
        <stp/>
        <stp>FWRC1#GBPINR#Month End Rates#0#FwdOutrightAsk14</stp>
        <tr r="N8" s="17"/>
      </tp>
      <tp>
        <v>95.578299999999999</v>
        <stp/>
        <stp>FWRC1#GBPINR#Month End Rates#0#FwdOutrightBid8</stp>
        <tr r="H7" s="17"/>
      </tp>
      <tp>
        <v>95.890699999999995</v>
        <stp/>
        <stp>FWRC1#GBPINR#Month End Rates#0#FwdOutrightBid9</stp>
        <tr r="I7" s="17"/>
      </tp>
      <tp>
        <v>94.248099999999994</v>
        <stp/>
        <stp>FWRC1#GBPINR#Month End Rates#0#FwdOutrightBid4</stp>
        <tr r="D7" s="17"/>
      </tp>
      <tp>
        <v>94.550600000000003</v>
        <stp/>
        <stp>FWRC1#GBPINR#Month End Rates#0#FwdOutrightBid5</stp>
        <tr r="E7" s="17"/>
      </tp>
      <tp>
        <v>94.855000000000004</v>
        <stp/>
        <stp>FWRC1#GBPINR#Month End Rates#0#FwdOutrightBid6</stp>
        <tr r="F7" s="17"/>
      </tp>
      <tp>
        <v>95.2607</v>
        <stp/>
        <stp>FWRC1#GBPINR#Month End Rates#0#FwdOutrightBid7</stp>
        <tr r="G7" s="17"/>
      </tp>
      <tp>
        <v>94.164400000000001</v>
        <stp/>
        <stp>FWRC1#GBPINR#Month End Rates#0#FwdOutrightBid1</stp>
        <tr r="C7" s="17"/>
        <tr r="D2" s="6"/>
      </tp>
      <tp>
        <v>94.180999999999997</v>
        <stp/>
        <stp>FWRC1#GBPINR#Month End Rates#0#FwdOutrightBid3</stp>
        <tr r="F2" s="6"/>
      </tp>
      <tp>
        <v>0.91420000000000001</v>
        <stp/>
        <stp>12#2#1#6069#SUSDCHF#Open</stp>
        <tr r="B13" s="23"/>
      </tp>
      <tp>
        <v>1.2810900000000001</v>
        <stp/>
        <stp>12#2#1#6031#SGBPUSD#Close</stp>
        <tr r="H8" s="10"/>
      </tp>
      <tp>
        <v>89.009600000000006</v>
        <stp/>
        <stp>FWRC1#EURINR#Month End Rates#0#FwdOutrightAsk11</stp>
        <tr r="K8" s="16"/>
      </tp>
      <tp>
        <v>88.665199999999999</v>
        <stp/>
        <stp>FWRC1#EURINR#Month End Rates#0#FwdOutrightAsk10</stp>
        <tr r="J8" s="16"/>
      </tp>
      <tp>
        <v>89.794700000000006</v>
        <stp/>
        <stp>FWRC1#EURINR#Month End Rates#0#FwdOutrightAsk13</stp>
        <tr r="M8" s="16"/>
      </tp>
      <tp>
        <v>89.404200000000003</v>
        <stp/>
        <stp>FWRC1#EURINR#Month End Rates#0#FwdOutrightAsk12</stp>
        <tr r="L8" s="16"/>
      </tp>
      <tp>
        <v>90.53</v>
        <stp/>
        <stp>FWRC1#EURINR#Month End Rates#0#FwdOutrightAsk15</stp>
        <tr r="O8" s="16"/>
      </tp>
      <tp>
        <v>90.160700000000006</v>
        <stp/>
        <stp>FWRC1#EURINR#Month End Rates#0#FwdOutrightAsk14</stp>
        <tr r="N8" s="16"/>
      </tp>
      <tp>
        <v>104.753</v>
        <stp/>
        <stp>12#2#1#6069#SUSDJPY#High</stp>
        <tr r="C12" s="23"/>
        <tr r="F9" s="10"/>
      </tp>
      <tp>
        <v>191</v>
        <stp/>
        <stp>FWRC1#USDINR#Month End Rates#0#Close11</stp>
        <tr r="J19" s="23"/>
      </tp>
      <tp>
        <v>152</v>
        <stp/>
        <stp>FWRC1#USDINR#Month End Rates#0#Close10</stp>
        <tr r="I19" s="23"/>
      </tp>
      <tp>
        <v>242.5</v>
        <stp/>
        <stp>FWRC1#USDINR#Month End Rates#0#Close13</stp>
        <tr r="L19" s="23"/>
      </tp>
      <tp>
        <v>215</v>
        <stp/>
        <stp>FWRC1#USDINR#Month End Rates#0#Close12</stp>
        <tr r="K19" s="23"/>
      </tp>
      <tp>
        <v>295.5</v>
        <stp/>
        <stp>FWRC1#USDINR#Month End Rates#0#Close15</stp>
        <tr r="N19" s="23"/>
      </tp>
      <tp>
        <v>268.5</v>
        <stp/>
        <stp>FWRC1#USDINR#Month End Rates#0#Close14</stp>
        <tr r="M19" s="23"/>
      </tp>
      <tp>
        <v>39964.605000000003</v>
        <stp/>
        <stp>FWRC1#GBPINR#Month End Rates#0#AskPrice15</stp>
        <tr r="O5" s="17"/>
      </tp>
      <tp>
        <v>36298.582499999997</v>
        <stp/>
        <stp>FWRC1#GBPINR#Month End Rates#0#AskPrice14</stp>
        <tr r="N5" s="17"/>
      </tp>
      <tp>
        <v>32862.129999999997</v>
        <stp/>
        <stp>FWRC1#GBPINR#Month End Rates#0#AskPrice13</stp>
        <tr r="M5" s="17"/>
      </tp>
      <tp>
        <v>29293.3475</v>
        <stp/>
        <stp>FWRC1#GBPINR#Month End Rates#0#AskPrice12</stp>
        <tr r="L5" s="17"/>
      </tp>
      <tp>
        <v>25666.154999999999</v>
        <stp/>
        <stp>FWRC1#GBPINR#Month End Rates#0#AskPrice11</stp>
        <tr r="K5" s="17"/>
      </tp>
      <tp>
        <v>22232.37</v>
        <stp/>
        <stp>FWRC1#GBPINR#Month End Rates#0#AskPrice10</stp>
        <tr r="J5" s="17"/>
      </tp>
      <tp>
        <v>39634.922500000001</v>
        <stp/>
        <stp>FWRC1#GBPINR#Month End Rates#0#BidPrice15</stp>
        <tr r="O4" s="17"/>
      </tp>
      <tp>
        <v>36003.08</v>
        <stp/>
        <stp>FWRC1#GBPINR#Month End Rates#0#BidPrice14</stp>
        <tr r="N4" s="17"/>
      </tp>
      <tp>
        <v>25376.57</v>
        <stp/>
        <stp>FWRC1#GBPINR#Month End Rates#0#BidPrice11</stp>
        <tr r="K4" s="17"/>
      </tp>
      <tp>
        <v>21959.9575</v>
        <stp/>
        <stp>FWRC1#GBPINR#Month End Rates#0#BidPrice10</stp>
        <tr r="J4" s="17"/>
      </tp>
      <tp>
        <v>32569.517500000002</v>
        <stp/>
        <stp>FWRC1#GBPINR#Month End Rates#0#BidPrice13</stp>
        <tr r="M4" s="17"/>
      </tp>
      <tp>
        <v>29057.997500000001</v>
        <stp/>
        <stp>FWRC1#GBPINR#Month End Rates#0#BidPrice12</stp>
        <tr r="L4" s="17"/>
      </tp>
      <tp>
        <v>0</v>
        <stp/>
        <stp>35#1#1#6031#FUTCUR#N3#0#XX#Bid</stp>
        <tr r="B4" s="13"/>
      </tp>
      <tp>
        <v>0</v>
        <stp/>
        <stp>35#1#1#6069#FUTCUR#N3#0#XX#Bid</stp>
        <tr r="B2" s="13"/>
      </tp>
      <tp>
        <v>94.53</v>
        <stp/>
        <stp>35#1#1#6031#FUTCUR#N2#0#XX#Bid</stp>
        <tr r="B4" s="12"/>
      </tp>
      <tp>
        <v>73.855000000000004</v>
        <stp/>
        <stp>35#1#1#6069#FUTCUR#N2#0#XX#Bid</stp>
        <tr r="B2" s="12"/>
      </tp>
      <tp>
        <v>94.24</v>
        <stp/>
        <stp>35#1#1#6031#FUTCUR#N1#0#XX#Bid</stp>
        <tr r="B4" s="11"/>
      </tp>
      <tp>
        <v>73.63</v>
        <stp/>
        <stp>35#1#1#6069#FUTCUR#N1#0#XX#Bid</stp>
        <tr r="B2" s="11"/>
      </tp>
      <tp>
        <v>86.4</v>
        <stp/>
        <stp>35#1#1#5949#FUTCUR#N1#0#XX#Ask</stp>
        <tr r="C3" s="11"/>
      </tp>
      <tp>
        <v>70.347499999999997</v>
        <stp/>
        <stp>35#1#1#5978#FUTCUR#N1#0#XX#Ask</stp>
        <tr r="C5" s="11"/>
      </tp>
      <tp>
        <v>86.692499999999995</v>
        <stp/>
        <stp>35#1#1#5949#FUTCUR#N2#0#XX#Ask</stp>
        <tr r="C3" s="12"/>
      </tp>
      <tp>
        <v>70.5625</v>
        <stp/>
        <stp>35#1#1#5978#FUTCUR#N2#0#XX#Ask</stp>
        <tr r="C5" s="12"/>
      </tp>
      <tp>
        <v>0</v>
        <stp/>
        <stp>35#1#1#5949#FUTCUR#N3#0#XX#Ask</stp>
        <tr r="C3" s="13"/>
      </tp>
      <tp>
        <v>0</v>
        <stp/>
        <stp>35#1#1#5978#FUTCUR#N3#0#XX#Ask</stp>
        <tr r="C5" s="13"/>
      </tp>
      <tp>
        <v>1.1769400000000001</v>
        <stp/>
        <stp>12#2#1#5949#SEURUSD#Close</stp>
        <tr r="H7" s="10"/>
      </tp>
      <tp>
        <v>70.555000000000007</v>
        <stp/>
        <stp>35#1#1#5978#FUTCUR#N2#0#XX#Bid</stp>
        <tr r="B5" s="12"/>
      </tp>
      <tp>
        <v>86.685000000000002</v>
        <stp/>
        <stp>35#1#1#5949#FUTCUR#N2#0#XX#Bid</stp>
        <tr r="B3" s="12"/>
      </tp>
      <tp>
        <v>0</v>
        <stp/>
        <stp>35#1#1#5978#FUTCUR#N3#0#XX#Bid</stp>
        <tr r="B5" s="13"/>
      </tp>
      <tp>
        <v>0</v>
        <stp/>
        <stp>35#1#1#5949#FUTCUR#N3#0#XX#Bid</stp>
        <tr r="B3" s="13"/>
      </tp>
      <tp>
        <v>70.342500000000001</v>
        <stp/>
        <stp>35#1#1#5978#FUTCUR#N1#0#XX#Bid</stp>
        <tr r="B5" s="11"/>
      </tp>
      <tp>
        <v>86.392499999999998</v>
        <stp/>
        <stp>35#1#1#5949#FUTCUR#N1#0#XX#Bid</stp>
        <tr r="B3" s="11"/>
      </tp>
      <tp>
        <v>73.635000000000005</v>
        <stp/>
        <stp>35#1#1#6069#FUTCUR#N1#0#XX#Ask</stp>
        <tr r="C2" s="11"/>
      </tp>
      <tp>
        <v>94.247500000000002</v>
        <stp/>
        <stp>35#1#1#6031#FUTCUR#N1#0#XX#Ask</stp>
        <tr r="C4" s="11"/>
      </tp>
      <tp>
        <v>0</v>
        <stp/>
        <stp>35#1#1#6069#FUTCUR#N3#0#XX#Ask</stp>
        <tr r="C2" s="13"/>
      </tp>
      <tp>
        <v>0</v>
        <stp/>
        <stp>35#1#1#6031#FUTCUR#N3#0#XX#Ask</stp>
        <tr r="C4" s="13"/>
      </tp>
      <tp>
        <v>73.86</v>
        <stp/>
        <stp>35#1#1#6069#FUTCUR#N2#0#XX#Ask</stp>
        <tr r="C2" s="12"/>
      </tp>
      <tp>
        <v>94.54</v>
        <stp/>
        <stp>35#1#1#6031#FUTCUR#N2#0#XX#Ask</stp>
        <tr r="C4" s="12"/>
      </tp>
      <tp>
        <v>416.22500000000002</v>
        <stp/>
        <stp>FWRC1#EURINR#Month End Rates#0#BidPrice15</stp>
        <tr r="O4" s="16"/>
      </tp>
      <tp>
        <v>377.50749999999999</v>
        <stp/>
        <stp>FWRC1#EURINR#Month End Rates#0#BidPrice14</stp>
        <tr r="N4" s="16"/>
      </tp>
      <tp>
        <v>341.33249999999998</v>
        <stp/>
        <stp>FWRC1#EURINR#Month End Rates#0#BidPrice13</stp>
        <tr r="M4" s="16"/>
      </tp>
      <tp>
        <v>304.04750000000001</v>
        <stp/>
        <stp>FWRC1#EURINR#Month End Rates#0#BidPrice12</stp>
        <tr r="L4" s="16"/>
      </tp>
      <tp>
        <v>265.32</v>
        <stp/>
        <stp>FWRC1#EURINR#Month End Rates#0#BidPrice11</stp>
        <tr r="K4" s="16"/>
      </tp>
      <tp>
        <v>229.6275</v>
        <stp/>
        <stp>FWRC1#EURINR#Month End Rates#0#BidPrice10</stp>
        <tr r="J4" s="16"/>
      </tp>
      <tp>
        <v>419.995</v>
        <stp/>
        <stp>FWRC1#EURINR#Month End Rates#0#AskPrice15</stp>
        <tr r="O5" s="16"/>
      </tp>
      <tp>
        <v>383.07249999999999</v>
        <stp/>
        <stp>FWRC1#EURINR#Month End Rates#0#AskPrice14</stp>
        <tr r="N5" s="16"/>
      </tp>
      <tp>
        <v>267.95999999999998</v>
        <stp/>
        <stp>FWRC1#EURINR#Month End Rates#0#AskPrice11</stp>
        <tr r="K5" s="16"/>
      </tp>
      <tp>
        <v>233.52250000000001</v>
        <stp/>
        <stp>FWRC1#EURINR#Month End Rates#0#AskPrice10</stp>
        <tr r="J5" s="16"/>
      </tp>
      <tp>
        <v>346.46749999999997</v>
        <stp/>
        <stp>FWRC1#EURINR#Month End Rates#0#AskPrice13</stp>
        <tr r="M5" s="16"/>
      </tp>
      <tp>
        <v>307.42</v>
        <stp/>
        <stp>FWRC1#EURINR#Month End Rates#0#AskPrice12</stp>
        <tr r="L5" s="16"/>
      </tp>
      <tp>
        <v>101.178</v>
        <stp/>
        <stp>12#2#1#6069#SUSDJPY#52WkLow</stp>
        <tr r="J9" s="10"/>
      </tp>
      <tp>
        <v>4.0095999999999998</v>
        <stp/>
        <stp>FWRC1#USDINR#Month End Rates#0#Bid%10</stp>
        <tr r="J10" s="14"/>
      </tp>
      <tp>
        <v>4.3449999999999998</v>
        <stp/>
        <stp>FWRC1#USDINR#Month End Rates#0#Bid%11</stp>
        <tr r="K10" s="14"/>
      </tp>
      <tp>
        <v>4.2820999999999998</v>
        <stp/>
        <stp>FWRC1#USDINR#Month End Rates#0#Bid%12</stp>
        <tr r="L10" s="14"/>
      </tp>
      <tp>
        <v>4.3103999999999996</v>
        <stp/>
        <stp>FWRC1#USDINR#Month End Rates#0#Bid%13</stp>
        <tr r="M10" s="14"/>
      </tp>
      <tp>
        <v>4.3091999999999997</v>
        <stp/>
        <stp>FWRC1#USDINR#Month End Rates#0#Bid%14</stp>
        <tr r="N10" s="14"/>
      </tp>
      <tp>
        <v>4.2975000000000003</v>
        <stp/>
        <stp>FWRC1#USDINR#Month End Rates#0#Bid%15</stp>
        <tr r="O10" s="14"/>
      </tp>
      <tp>
        <v>4.3125</v>
        <stp/>
        <stp>FWRC1#USDINR#Month End Rates#0#Ask%12</stp>
        <tr r="L11" s="14"/>
      </tp>
      <tp>
        <v>4.3376999999999999</v>
        <stp/>
        <stp>FWRC1#USDINR#Month End Rates#0#Ask%13</stp>
        <tr r="M11" s="14"/>
      </tp>
      <tp>
        <v>4.0496999999999996</v>
        <stp/>
        <stp>FWRC1#USDINR#Month End Rates#0#Ask%10</stp>
        <tr r="J11" s="14"/>
      </tp>
      <tp>
        <v>4.3796999999999997</v>
        <stp/>
        <stp>FWRC1#USDINR#Month End Rates#0#Ask%11</stp>
        <tr r="K11" s="14"/>
      </tp>
      <tp>
        <v>4.3338999999999999</v>
        <stp/>
        <stp>FWRC1#USDINR#Month End Rates#0#Ask%14</stp>
        <tr r="N11" s="14"/>
      </tp>
      <tp>
        <v>4.3198999999999996</v>
        <stp/>
        <stp>FWRC1#USDINR#Month End Rates#0#Ask%15</stp>
        <tr r="O11" s="14"/>
      </tp>
      <tp t="s">
        <v>12M</v>
        <stp/>
        <stp>FWRC1#GBPUSD#Month Wise Rates#0#S#Desc.18</stp>
        <tr r="O1" s="20"/>
      </tp>
      <tp t="s">
        <v>5M</v>
        <stp/>
        <stp>FWRC1#GBPUSD#Month Wise Rates#0#S#Desc.11</stp>
        <tr r="H1" s="20"/>
      </tp>
      <tp t="s">
        <v>4M</v>
        <stp/>
        <stp>FWRC1#GBPUSD#Month Wise Rates#0#S#Desc.10</stp>
        <tr r="G1" s="20"/>
      </tp>
      <tp t="s">
        <v>7M</v>
        <stp/>
        <stp>FWRC1#GBPUSD#Month Wise Rates#0#S#Desc.13</stp>
        <tr r="J1" s="20"/>
      </tp>
      <tp t="s">
        <v>6M</v>
        <stp/>
        <stp>FWRC1#GBPUSD#Month Wise Rates#0#S#Desc.12</stp>
        <tr r="I1" s="20"/>
      </tp>
      <tp t="s">
        <v>9M</v>
        <stp/>
        <stp>FWRC1#GBPUSD#Month Wise Rates#0#S#Desc.15</stp>
        <tr r="L1" s="20"/>
      </tp>
      <tp t="s">
        <v>8M</v>
        <stp/>
        <stp>FWRC1#GBPUSD#Month Wise Rates#0#S#Desc.14</stp>
        <tr r="K1" s="20"/>
      </tp>
      <tp t="s">
        <v>11M</v>
        <stp/>
        <stp>FWRC1#GBPUSD#Month Wise Rates#0#S#Desc.17</stp>
        <tr r="N1" s="20"/>
      </tp>
      <tp t="s">
        <v>10M</v>
        <stp/>
        <stp>FWRC1#GBPUSD#Month Wise Rates#0#S#Desc.16</stp>
        <tr r="M1" s="20"/>
      </tp>
      <tp>
        <v>80.262500000000003</v>
        <stp/>
        <stp>FWRC1#CHFINR#Month Wise Rates#0#Close0</stp>
        <tr r="N23" s="23"/>
        <tr r="L23" s="23"/>
        <tr r="E23" s="23"/>
        <tr r="M23" s="23"/>
        <tr r="C23" s="23"/>
        <tr r="D23" s="23"/>
        <tr r="J23" s="23"/>
        <tr r="H23" s="23"/>
        <tr r="G23" s="23"/>
        <tr r="B23" s="23"/>
        <tr r="I23" s="23"/>
        <tr r="F23" s="23"/>
        <tr r="K23" s="23"/>
      </tp>
      <tp>
        <v>3351.3811999999998</v>
        <stp/>
        <stp>FWRC1#CHFINR#Month Wise Rates#0#Close7</stp>
        <tr r="C23" s="23"/>
      </tp>
      <tp>
        <v>9787.4480999999996</v>
        <stp/>
        <stp>FWRC1#CHFINR#Month Wise Rates#0#Close9</stp>
        <tr r="E23" s="23"/>
      </tp>
      <tp>
        <v>6325.3960999999999</v>
        <stp/>
        <stp>FWRC1#CHFINR#Month Wise Rates#0#Close8</stp>
        <tr r="D23" s="23"/>
      </tp>
      <tp>
        <v>3.8689</v>
        <stp/>
        <stp>FWRC1#USDINR#Month Wise Rates#0#Bid%9</stp>
        <tr r="F10" s="15"/>
      </tp>
      <tp>
        <v>3.8532999999999999</v>
        <stp/>
        <stp>FWRC1#USDINR#Month Wise Rates#0#Bid%8</stp>
        <tr r="E10" s="15"/>
      </tp>
      <tp>
        <v>3.8275999999999999</v>
        <stp/>
        <stp>FWRC1#USDINR#Month Wise Rates#0#Bid%7</stp>
        <tr r="D10" s="15"/>
      </tp>
      <tp t="s">
        <v/>
        <stp/>
        <stp>FWRC1#USDINR#Month Wise Rates#0#Bid%2</stp>
        <tr r="C10" s="15"/>
      </tp>
      <tp>
        <v>0.19819999999999999</v>
        <stp/>
        <stp>FWRC1#GBPUSD#Month Wise Rates#0#Ask%8</stp>
        <tr r="E11" s="20"/>
      </tp>
      <tp>
        <v>0.19109999999999999</v>
        <stp/>
        <stp>FWRC1#GBPUSD#Month Wise Rates#0#Ask%9</stp>
        <tr r="F11" s="20"/>
      </tp>
      <tp>
        <v>0.21390000000000001</v>
        <stp/>
        <stp>FWRC1#GBPUSD#Month Wise Rates#0#Ask%2</stp>
        <tr r="C11" s="20"/>
      </tp>
      <tp>
        <v>0.20499999999999999</v>
        <stp/>
        <stp>FWRC1#GBPUSD#Month Wise Rates#0#Ask%7</stp>
        <tr r="D11" s="20"/>
      </tp>
      <tp t="s">
        <v>12M</v>
        <stp/>
        <stp>FWRC1#EURUSD#Month Wise Rates#0#S#Desc.18</stp>
        <tr r="O1" s="19"/>
      </tp>
      <tp t="s">
        <v>7M</v>
        <stp/>
        <stp>FWRC1#EURUSD#Month Wise Rates#0#S#Desc.13</stp>
        <tr r="J1" s="19"/>
      </tp>
      <tp t="s">
        <v>6M</v>
        <stp/>
        <stp>FWRC1#EURUSD#Month Wise Rates#0#S#Desc.12</stp>
        <tr r="I1" s="19"/>
      </tp>
      <tp t="s">
        <v>5M</v>
        <stp/>
        <stp>FWRC1#EURUSD#Month Wise Rates#0#S#Desc.11</stp>
        <tr r="H1" s="19"/>
      </tp>
      <tp t="s">
        <v>4M</v>
        <stp/>
        <stp>FWRC1#EURUSD#Month Wise Rates#0#S#Desc.10</stp>
        <tr r="G1" s="19"/>
      </tp>
      <tp t="s">
        <v>11M</v>
        <stp/>
        <stp>FWRC1#EURUSD#Month Wise Rates#0#S#Desc.17</stp>
        <tr r="N1" s="19"/>
      </tp>
      <tp t="s">
        <v>10M</v>
        <stp/>
        <stp>FWRC1#EURUSD#Month Wise Rates#0#S#Desc.16</stp>
        <tr r="M1" s="19"/>
      </tp>
      <tp t="s">
        <v>9M</v>
        <stp/>
        <stp>FWRC1#EURUSD#Month Wise Rates#0#S#Desc.15</stp>
        <tr r="L1" s="19"/>
      </tp>
      <tp t="s">
        <v>8M</v>
        <stp/>
        <stp>FWRC1#EURUSD#Month Wise Rates#0#S#Desc.14</stp>
        <tr r="K1" s="19"/>
      </tp>
      <tp>
        <v>75.739999999999995</v>
        <stp/>
        <stp>FWRC1#USDINR#Month End Rates#0#FwdOutrightBid12</stp>
        <tr r="L7" s="14"/>
      </tp>
      <tp>
        <v>76.015000000000001</v>
        <stp/>
        <stp>FWRC1#USDINR#Month End Rates#0#FwdOutrightBid13</stp>
        <tr r="M7" s="14"/>
      </tp>
      <tp>
        <v>75.11</v>
        <stp/>
        <stp>FWRC1#USDINR#Month End Rates#0#FwdOutrightBid10</stp>
        <tr r="J7" s="14"/>
      </tp>
      <tp>
        <v>75.5</v>
        <stp/>
        <stp>FWRC1#USDINR#Month End Rates#0#FwdOutrightBid11</stp>
        <tr r="K7" s="14"/>
      </tp>
      <tp>
        <v>76.275000000000006</v>
        <stp/>
        <stp>FWRC1#USDINR#Month End Rates#0#FwdOutrightBid14</stp>
        <tr r="N7" s="14"/>
      </tp>
      <tp>
        <v>76.545000000000002</v>
        <stp/>
        <stp>FWRC1#USDINR#Month End Rates#0#FwdOutrightBid15</stp>
        <tr r="O7" s="14"/>
      </tp>
      <tp>
        <v>104.67</v>
        <stp/>
        <stp>12#2#1#6069#SUSDJPY#Open</stp>
        <tr r="B12" s="23"/>
        <tr r="E9" s="10"/>
      </tp>
      <tp>
        <v>95.6203</v>
        <stp/>
        <stp>FWRC1#GBPINR#Month End Rates#0#FwdOutrightAsk8</stp>
        <tr r="H8" s="17"/>
      </tp>
      <tp>
        <v>95.935900000000004</v>
        <stp/>
        <stp>FWRC1#GBPINR#Month End Rates#0#FwdOutrightAsk9</stp>
        <tr r="I8" s="17"/>
      </tp>
      <tp>
        <v>94.273200000000003</v>
        <stp/>
        <stp>FWRC1#GBPINR#Month End Rates#0#FwdOutrightAsk4</stp>
        <tr r="D8" s="17"/>
      </tp>
      <tp>
        <v>94.582700000000003</v>
        <stp/>
        <stp>FWRC1#GBPINR#Month End Rates#0#FwdOutrightAsk5</stp>
        <tr r="E8" s="17"/>
      </tp>
      <tp>
        <v>94.897000000000006</v>
        <stp/>
        <stp>FWRC1#GBPINR#Month End Rates#0#FwdOutrightAsk6</stp>
        <tr r="F8" s="17"/>
      </tp>
      <tp>
        <v>95.302599999999998</v>
        <stp/>
        <stp>FWRC1#GBPINR#Month End Rates#0#FwdOutrightAsk7</stp>
        <tr r="G8" s="17"/>
      </tp>
      <tp>
        <v>94.213300000000004</v>
        <stp/>
        <stp>FWRC1#GBPINR#Month End Rates#0#FwdOutrightAsk1</stp>
        <tr r="C8" s="17"/>
        <tr r="D3" s="6"/>
      </tp>
      <tp>
        <v>94.216700000000003</v>
        <stp/>
        <stp>FWRC1#GBPINR#Month End Rates#0#FwdOutrightAsk3</stp>
        <tr r="F3" s="6"/>
      </tp>
      <tp>
        <v>0.91732999999999998</v>
        <stp/>
        <stp>12#2#1#6069#SUSDCHF#High</stp>
        <tr r="C13" s="23"/>
      </tp>
      <tp>
        <v>0.78669999999999995</v>
        <stp/>
        <stp>FWRC1#EURUSD#Month Wise Rates#0#Ask%8</stp>
        <tr r="E11" s="19"/>
      </tp>
      <tp>
        <v>0.78069999999999995</v>
        <stp/>
        <stp>FWRC1#EURUSD#Month Wise Rates#0#Ask%9</stp>
        <tr r="F11" s="19"/>
      </tp>
      <tp>
        <v>0.77800000000000002</v>
        <stp/>
        <stp>FWRC1#EURUSD#Month Wise Rates#0#Ask%2</stp>
        <tr r="C11" s="19"/>
      </tp>
      <tp>
        <v>0.79549999999999998</v>
        <stp/>
        <stp>FWRC1#EURUSD#Month Wise Rates#0#Ask%7</stp>
        <tr r="D11" s="19"/>
      </tp>
      <tp>
        <v>1.3656999999999999</v>
        <stp/>
        <stp>12#2#1#6069#SUSDSGD#High</stp>
        <tr r="C16" s="23"/>
      </tp>
      <tp>
        <v>0.76939999999999997</v>
        <stp/>
        <stp>FWRC1#EURUSD#Month Wise Rates#0#Bid%9</stp>
        <tr r="F10" s="19"/>
      </tp>
      <tp>
        <v>0.76600000000000001</v>
        <stp/>
        <stp>FWRC1#EURUSD#Month Wise Rates#0#Bid%8</stp>
        <tr r="E10" s="19"/>
      </tp>
      <tp>
        <v>0.59109999999999996</v>
        <stp/>
        <stp>FWRC1#EURUSD#Month Wise Rates#0#Bid%2</stp>
        <tr r="C10" s="19"/>
      </tp>
      <tp>
        <v>0.77600000000000002</v>
        <stp/>
        <stp>FWRC1#EURUSD#Month Wise Rates#0#Bid%7</stp>
        <tr r="D10" s="19"/>
      </tp>
      <tp>
        <v>75.525000000000006</v>
        <stp/>
        <stp>FWRC1#USDINR#Month End Rates#0#FwdOutrightAsk11</stp>
        <tr r="K8" s="14"/>
      </tp>
      <tp>
        <v>75.135000000000005</v>
        <stp/>
        <stp>FWRC1#USDINR#Month End Rates#0#FwdOutrightAsk10</stp>
        <tr r="J8" s="14"/>
      </tp>
      <tp>
        <v>76.040000000000006</v>
        <stp/>
        <stp>FWRC1#USDINR#Month End Rates#0#FwdOutrightAsk13</stp>
        <tr r="M8" s="14"/>
      </tp>
      <tp>
        <v>75.765000000000001</v>
        <stp/>
        <stp>FWRC1#USDINR#Month End Rates#0#FwdOutrightAsk12</stp>
        <tr r="L8" s="14"/>
      </tp>
      <tp>
        <v>76.569999999999993</v>
        <stp/>
        <stp>FWRC1#USDINR#Month End Rates#0#FwdOutrightAsk15</stp>
        <tr r="O8" s="14"/>
      </tp>
      <tp>
        <v>76.3</v>
        <stp/>
        <stp>FWRC1#USDINR#Month End Rates#0#FwdOutrightAsk14</stp>
        <tr r="N8" s="14"/>
      </tp>
      <tp>
        <v>-3.46</v>
        <stp/>
        <stp>FWRC1#USDCAD#Month Wise Rates#0#Close9</stp>
        <tr r="E31" s="23"/>
      </tp>
      <tp>
        <v>-2.74</v>
        <stp/>
        <stp>FWRC1#USDCAD#Month Wise Rates#0#Close8</stp>
        <tr r="D31" s="23"/>
      </tp>
      <tp>
        <v>1.33283</v>
        <stp/>
        <stp>FWRC1#USDCAD#Month Wise Rates#0#Close0</stp>
        <tr r="D31" s="23"/>
        <tr r="C31" s="23"/>
        <tr r="L31" s="23"/>
        <tr r="G31" s="23"/>
        <tr r="E31" s="23"/>
        <tr r="H31" s="23"/>
        <tr r="I31" s="23"/>
        <tr r="F31" s="23"/>
        <tr r="B31" s="23"/>
        <tr r="J31" s="23"/>
        <tr r="K31" s="23"/>
        <tr r="M31" s="23"/>
        <tr r="N31" s="23"/>
      </tp>
      <tp>
        <v>-1.48</v>
        <stp/>
        <stp>FWRC1#USDCAD#Month Wise Rates#0#Close7</stp>
        <tr r="C31" s="23"/>
      </tp>
      <tp t="s">
        <v>24-Sep-2021</v>
        <stp/>
        <stp>FWRC1#EURUSD#Month Wise Rates#0#S#PillarDate18</stp>
        <tr r="O2" s="19"/>
      </tp>
      <tp t="s">
        <v>24-Jun-2021</v>
        <stp/>
        <stp>FWRC1#EURUSD#Month Wise Rates#0#S#PillarDate15</stp>
        <tr r="L2" s="19"/>
      </tp>
      <tp t="s">
        <v>24-May-2021</v>
        <stp/>
        <stp>FWRC1#EURUSD#Month Wise Rates#0#S#PillarDate14</stp>
        <tr r="K2" s="19"/>
      </tp>
      <tp t="s">
        <v>24-Aug-2021</v>
        <stp/>
        <stp>FWRC1#EURUSD#Month Wise Rates#0#S#PillarDate17</stp>
        <tr r="N2" s="19"/>
      </tp>
      <tp t="s">
        <v>26-Jul-2021</v>
        <stp/>
        <stp>FWRC1#EURUSD#Month Wise Rates#0#S#PillarDate16</stp>
        <tr r="M2" s="19"/>
      </tp>
      <tp t="s">
        <v>24-Feb-2021</v>
        <stp/>
        <stp>FWRC1#EURUSD#Month Wise Rates#0#S#PillarDate11</stp>
        <tr r="H2" s="19"/>
      </tp>
      <tp t="s">
        <v>25-Jan-2021</v>
        <stp/>
        <stp>FWRC1#EURUSD#Month Wise Rates#0#S#PillarDate10</stp>
        <tr r="G2" s="19"/>
      </tp>
      <tp t="s">
        <v>26-Apr-2021</v>
        <stp/>
        <stp>FWRC1#EURUSD#Month Wise Rates#0#S#PillarDate13</stp>
        <tr r="J2" s="19"/>
      </tp>
      <tp t="s">
        <v>24-Mar-2021</v>
        <stp/>
        <stp>FWRC1#EURUSD#Month Wise Rates#0#S#PillarDate12</stp>
        <tr r="I2" s="19"/>
      </tp>
      <tp>
        <v>87.763599999999997</v>
        <stp/>
        <stp>FWRC1#EURINR#Month End Rates#0#FwdOutrightBid8</stp>
        <tr r="H7" s="16"/>
      </tp>
      <tp>
        <v>88.093299999999999</v>
        <stp/>
        <stp>FWRC1#EURINR#Month End Rates#0#FwdOutrightBid9</stp>
        <tr r="I7" s="16"/>
      </tp>
      <tp>
        <v>86.365899999999996</v>
        <stp/>
        <stp>FWRC1#EURINR#Month End Rates#0#FwdOutrightBid4</stp>
        <tr r="D7" s="16"/>
      </tp>
      <tp>
        <v>86.6935</v>
        <stp/>
        <stp>FWRC1#EURINR#Month End Rates#0#FwdOutrightBid5</stp>
        <tr r="E7" s="16"/>
      </tp>
      <tp>
        <v>87.013400000000004</v>
        <stp/>
        <stp>FWRC1#EURINR#Month End Rates#0#FwdOutrightBid6</stp>
        <tr r="F7" s="16"/>
      </tp>
      <tp>
        <v>87.429699999999997</v>
        <stp/>
        <stp>FWRC1#EURINR#Month End Rates#0#FwdOutrightBid7</stp>
        <tr r="G7" s="16"/>
      </tp>
      <tp>
        <v>86.287199999999999</v>
        <stp/>
        <stp>FWRC1#EURINR#Month End Rates#0#FwdOutrightBid1</stp>
        <tr r="D2" s="5"/>
        <tr r="C7" s="16"/>
      </tp>
      <tp>
        <v>86.3035</v>
        <stp/>
        <stp>FWRC1#EURINR#Month End Rates#0#FwdOutrightBid3</stp>
        <tr r="F2" s="5"/>
      </tp>
      <tp>
        <v>-4.83</v>
        <stp/>
        <stp>12#1#1#6069#FUSDSGD\05M#LTP</stp>
        <tr r="G33" s="23"/>
      </tp>
      <tp>
        <v>-3.6</v>
        <stp/>
        <stp>12#1#1#6069#FUSDSGD\04M#LTP</stp>
        <tr r="F33" s="23"/>
      </tp>
      <tp>
        <v>-8.34</v>
        <stp/>
        <stp>12#1#1#6069#FUSDSGD\07M#LTP</stp>
        <tr r="I33" s="23"/>
      </tp>
      <tp>
        <v>-5.91</v>
        <stp/>
        <stp>12#1#1#6069#FUSDSGD\06M#LTP</stp>
        <tr r="H33" s="23"/>
      </tp>
      <tp>
        <v>-0.75</v>
        <stp/>
        <stp>12#1#1#6069#FUSDSGD\01M#LTP</stp>
        <tr r="C33" s="23"/>
      </tp>
      <tp>
        <v>-1.98</v>
        <stp/>
        <stp>12#1#1#6069#FUSDSGD\03M#LTP</stp>
        <tr r="E33" s="23"/>
      </tp>
      <tp>
        <v>-1.57</v>
        <stp/>
        <stp>12#1#1#6069#FUSDSGD\02M#LTP</stp>
        <tr r="D33" s="23"/>
      </tp>
      <tp>
        <v>-10.29</v>
        <stp/>
        <stp>12#1#1#6069#FUSDSGD\09M#LTP</stp>
        <tr r="K33" s="23"/>
      </tp>
      <tp>
        <v>-9.84</v>
        <stp/>
        <stp>12#1#1#6069#FUSDSGD\08M#LTP</stp>
        <tr r="J33" s="23"/>
      </tp>
      <tp>
        <v>3.9350999999999998</v>
        <stp/>
        <stp>FWRC1#USDINR#Month Wise Rates#0#Ask%8</stp>
        <tr r="E11" s="15"/>
      </tp>
      <tp>
        <v>3.9672000000000001</v>
        <stp/>
        <stp>FWRC1#USDINR#Month Wise Rates#0#Ask%9</stp>
        <tr r="F11" s="15"/>
      </tp>
      <tp>
        <v>3.9992000000000001</v>
        <stp/>
        <stp>FWRC1#USDINR#Month Wise Rates#0#Ask%7</stp>
        <tr r="D11" s="15"/>
      </tp>
      <tp t="s">
        <v/>
        <stp/>
        <stp>FWRC1#USDINR#Month Wise Rates#0#Ask%2</stp>
        <tr r="C11" s="15"/>
      </tp>
      <tp>
        <v>0.16919999999999999</v>
        <stp/>
        <stp>FWRC1#GBPUSD#Month Wise Rates#0#Bid%9</stp>
        <tr r="F10" s="20"/>
      </tp>
      <tp>
        <v>0.17480000000000001</v>
        <stp/>
        <stp>FWRC1#GBPUSD#Month Wise Rates#0#Bid%8</stp>
        <tr r="E10" s="20"/>
      </tp>
      <tp>
        <v>4.2799999999999998E-2</v>
        <stp/>
        <stp>FWRC1#GBPUSD#Month Wise Rates#0#Bid%2</stp>
        <tr r="C10" s="20"/>
      </tp>
      <tp>
        <v>0.1782</v>
        <stp/>
        <stp>FWRC1#GBPUSD#Month Wise Rates#0#Bid%7</stp>
        <tr r="D10" s="20"/>
      </tp>
      <tp t="s">
        <v>12M</v>
        <stp/>
        <stp>FWRC1#USDINR#Month Wise Rates#0#S#Desc.18</stp>
        <tr r="O1" s="15"/>
      </tp>
      <tp t="s">
        <v>9M</v>
        <stp/>
        <stp>FWRC1#USDINR#Month Wise Rates#0#S#Desc.15</stp>
        <tr r="L1" s="15"/>
      </tp>
      <tp t="s">
        <v>8M</v>
        <stp/>
        <stp>FWRC1#USDINR#Month Wise Rates#0#S#Desc.14</stp>
        <tr r="K1" s="15"/>
      </tp>
      <tp t="s">
        <v>11M</v>
        <stp/>
        <stp>FWRC1#USDINR#Month Wise Rates#0#S#Desc.17</stp>
        <tr r="N1" s="15"/>
      </tp>
      <tp t="s">
        <v>10M</v>
        <stp/>
        <stp>FWRC1#USDINR#Month Wise Rates#0#S#Desc.16</stp>
        <tr r="M1" s="15"/>
      </tp>
      <tp t="s">
        <v>5M</v>
        <stp/>
        <stp>FWRC1#USDINR#Month Wise Rates#0#S#Desc.11</stp>
        <tr r="H1" s="15"/>
      </tp>
      <tp t="s">
        <v>4M</v>
        <stp/>
        <stp>FWRC1#USDINR#Month Wise Rates#0#S#Desc.10</stp>
        <tr r="G1" s="15"/>
      </tp>
      <tp t="s">
        <v>7M</v>
        <stp/>
        <stp>FWRC1#USDINR#Month Wise Rates#0#S#Desc.13</stp>
        <tr r="J1" s="15"/>
      </tp>
      <tp t="s">
        <v>6M</v>
        <stp/>
        <stp>FWRC1#USDINR#Month Wise Rates#0#S#Desc.12</stp>
        <tr r="I1" s="15"/>
      </tp>
      <tp>
        <v>1.2824199999999999</v>
        <stp/>
        <stp>12#2#1#6031#SGBPUSD#High</stp>
        <tr r="C11" s="23"/>
        <tr r="F8" s="10"/>
      </tp>
      <tp>
        <v>-13.61</v>
        <stp/>
        <stp>12#1#1#6069#FUSDSGD\11M#LTP</stp>
        <tr r="M33" s="23"/>
      </tp>
      <tp>
        <v>-11.76</v>
        <stp/>
        <stp>12#1#1#6069#FUSDSGD\10M#LTP</stp>
        <tr r="L33" s="23"/>
      </tp>
      <tp>
        <v>-14.11</v>
        <stp/>
        <stp>12#1#1#6069#FUSDSGD\12M#LTP</stp>
        <tr r="N33" s="23"/>
      </tp>
      <tp>
        <v>-23.92</v>
        <stp/>
        <stp>FWRC1#USDCHF#Month Wise Rates#0#Close9</stp>
        <tr r="E30" s="23"/>
      </tp>
      <tp>
        <v>-16.190000000000001</v>
        <stp/>
        <stp>FWRC1#USDCHF#Month Wise Rates#0#Close8</stp>
        <tr r="D30" s="23"/>
      </tp>
      <tp>
        <v>53.912500000000001</v>
        <stp/>
        <stp>FWRC1#SGDINR#Month Wise Rates#0#Close0</stp>
        <tr r="M26" s="23"/>
        <tr r="I26" s="23"/>
        <tr r="D26" s="23"/>
        <tr r="C26" s="23"/>
        <tr r="E26" s="23"/>
        <tr r="L26" s="23"/>
        <tr r="K26" s="23"/>
        <tr r="J26" s="23"/>
        <tr r="B26" s="23"/>
        <tr r="N26" s="23"/>
        <tr r="G26" s="23"/>
        <tr r="F26" s="23"/>
        <tr r="H26" s="23"/>
      </tp>
      <tp>
        <v>1718.0427</v>
        <stp/>
        <stp>FWRC1#SGDINR#Month Wise Rates#0#Close7</stp>
        <tr r="C26" s="23"/>
      </tp>
      <tp>
        <v>0.91686000000000001</v>
        <stp/>
        <stp>FWRC1#USDCHF#Month Wise Rates#0#Close0</stp>
        <tr r="K30" s="23"/>
        <tr r="F30" s="23"/>
        <tr r="L30" s="23"/>
        <tr r="J30" s="23"/>
        <tr r="E30" s="23"/>
        <tr r="I30" s="23"/>
        <tr r="C30" s="23"/>
        <tr r="H30" s="23"/>
        <tr r="M30" s="23"/>
        <tr r="B30" s="23"/>
        <tr r="D30" s="23"/>
        <tr r="G30" s="23"/>
        <tr r="N30" s="23"/>
      </tp>
      <tp>
        <v>4922.2889999999998</v>
        <stp/>
        <stp>FWRC1#SGDINR#Month Wise Rates#0#Close9</stp>
        <tr r="E26" s="23"/>
      </tp>
      <tp>
        <v>3106.6224999999999</v>
        <stp/>
        <stp>FWRC1#SGDINR#Month Wise Rates#0#Close8</stp>
        <tr r="D26" s="23"/>
      </tp>
      <tp>
        <v>-8.56</v>
        <stp/>
        <stp>FWRC1#USDCHF#Month Wise Rates#0#Close7</stp>
        <tr r="C30" s="23"/>
      </tp>
      <tp>
        <v>28958.377499999999</v>
        <stp/>
        <stp>FWRC1#JPYINR#Month End Rates#0#BidPrice14</stp>
        <tr r="N4" s="18"/>
      </tp>
      <tp>
        <v>31949.075000000001</v>
        <stp/>
        <stp>FWRC1#JPYINR#Month End Rates#0#BidPrice15</stp>
        <tr r="O4" s="18"/>
      </tp>
      <tp>
        <v>17669.785</v>
        <stp/>
        <stp>FWRC1#JPYINR#Month End Rates#0#BidPrice10</stp>
        <tr r="J4" s="18"/>
      </tp>
      <tp>
        <v>20390.737499999999</v>
        <stp/>
        <stp>FWRC1#JPYINR#Month End Rates#0#BidPrice11</stp>
        <tr r="K4" s="18"/>
      </tp>
      <tp>
        <v>23405.182499999999</v>
        <stp/>
        <stp>FWRC1#JPYINR#Month End Rates#0#BidPrice12</stp>
        <tr r="L4" s="18"/>
      </tp>
      <tp>
        <v>26251.587500000001</v>
        <stp/>
        <stp>FWRC1#JPYINR#Month End Rates#0#BidPrice13</stp>
        <tr r="M4" s="18"/>
      </tp>
      <tp>
        <v>29322.717499999999</v>
        <stp/>
        <stp>FWRC1#JPYINR#Month End Rates#0#AskPrice14</stp>
        <tr r="N5" s="18"/>
      </tp>
      <tp>
        <v>32219.002499999999</v>
        <stp/>
        <stp>FWRC1#JPYINR#Month End Rates#0#AskPrice15</stp>
        <tr r="O5" s="18"/>
      </tp>
      <tp>
        <v>23666.1675</v>
        <stp/>
        <stp>FWRC1#JPYINR#Month End Rates#0#AskPrice12</stp>
        <tr r="L5" s="18"/>
      </tp>
      <tp>
        <v>26482.09</v>
        <stp/>
        <stp>FWRC1#JPYINR#Month End Rates#0#AskPrice13</stp>
        <tr r="M5" s="18"/>
      </tp>
      <tp>
        <v>17942.095000000001</v>
        <stp/>
        <stp>FWRC1#JPYINR#Month End Rates#0#AskPrice10</stp>
        <tr r="J5" s="18"/>
      </tp>
      <tp>
        <v>20647.557499999999</v>
        <stp/>
        <stp>FWRC1#JPYINR#Month End Rates#0#AskPrice11</stp>
        <tr r="K5" s="18"/>
      </tp>
      <tp>
        <v>74.599999999999994</v>
        <stp/>
        <stp>FWRC1#USDINR#Month End Rates#0#FwdOutrightBid8</stp>
        <tr r="H7" s="14"/>
      </tp>
      <tp>
        <v>74.83</v>
        <stp/>
        <stp>FWRC1#USDINR#Month End Rates#0#FwdOutrightBid9</stp>
        <tr r="I7" s="14"/>
      </tp>
      <tp>
        <v>73.637500000000003</v>
        <stp/>
        <stp>FWRC1#USDINR#Month End Rates#0#FwdOutrightBid4</stp>
        <tr r="D7" s="14"/>
      </tp>
      <tp>
        <v>73.86</v>
        <stp/>
        <stp>FWRC1#USDINR#Month End Rates#0#FwdOutrightBid5</stp>
        <tr r="E7" s="14"/>
      </tp>
      <tp>
        <v>74.087500000000006</v>
        <stp/>
        <stp>FWRC1#USDINR#Month End Rates#0#FwdOutrightBid6</stp>
        <tr r="F7" s="14"/>
      </tp>
      <tp>
        <v>74.355000000000004</v>
        <stp/>
        <stp>FWRC1#USDINR#Month End Rates#0#FwdOutrightBid7</stp>
        <tr r="G7" s="14"/>
      </tp>
      <tp>
        <v>73.564999999999998</v>
        <stp/>
        <stp>FWRC1#USDINR#Month End Rates#0#FwdOutrightBid1</stp>
        <tr r="C7" s="14"/>
        <tr r="D2" s="4"/>
      </tp>
      <tp>
        <v>73.577500000000001</v>
        <stp/>
        <stp>FWRC1#USDINR#Month End Rates#0#FwdOutrightBid3</stp>
        <tr r="F2" s="4"/>
      </tp>
      <tp>
        <v>55.207500000000003</v>
        <stp/>
        <stp>FWRC1#CADINR#Month Wise Rates#0#Close0</stp>
        <tr r="M24" s="23"/>
        <tr r="H24" s="23"/>
        <tr r="K24" s="23"/>
        <tr r="E24" s="23"/>
        <tr r="C24" s="23"/>
        <tr r="F24" s="23"/>
        <tr r="G24" s="23"/>
        <tr r="D24" s="23"/>
        <tr r="I24" s="23"/>
        <tr r="J24" s="23"/>
        <tr r="N24" s="23"/>
        <tr r="B24" s="23"/>
        <tr r="L24" s="23"/>
      </tp>
      <tp>
        <v>1859.5632000000001</v>
        <stp/>
        <stp>FWRC1#CADINR#Month Wise Rates#0#Close7</stp>
        <tr r="C24" s="23"/>
      </tp>
      <tp>
        <v>5405.4925000000003</v>
        <stp/>
        <stp>FWRC1#CADINR#Month Wise Rates#0#Close9</stp>
        <tr r="E24" s="23"/>
      </tp>
      <tp>
        <v>3491.4659999999999</v>
        <stp/>
        <stp>FWRC1#CADINR#Month Wise Rates#0#Close8</stp>
        <tr r="D24" s="23"/>
      </tp>
      <tp>
        <v>0.72353999999999996</v>
        <stp/>
        <stp>12#2#1#5903#SAUDUSD#High</stp>
        <tr r="C15" s="23"/>
      </tp>
      <tp>
        <v>1.1773800000000001</v>
        <stp/>
        <stp>12#2#1#5949#SEURUSD#High</stp>
        <tr r="F7" s="10"/>
        <tr r="C10" s="23"/>
      </tp>
      <tp>
        <v>1.3346</v>
        <stp/>
        <stp>12#2#1#6069#SUSDCAD#High</stp>
        <tr r="C14" s="23"/>
      </tp>
      <tp>
        <v>25376.57</v>
        <stp/>
        <stp>FWRC1#GBPINR#Month End Rates#0#Close11</stp>
        <tr r="J21" s="23"/>
      </tp>
      <tp>
        <v>21959.9575</v>
        <stp/>
        <stp>FWRC1#GBPINR#Month End Rates#0#Close10</stp>
        <tr r="I21" s="23"/>
      </tp>
      <tp>
        <v>32569.517500000002</v>
        <stp/>
        <stp>FWRC1#GBPINR#Month End Rates#0#Close13</stp>
        <tr r="L21" s="23"/>
      </tp>
      <tp>
        <v>29057.997500000001</v>
        <stp/>
        <stp>FWRC1#GBPINR#Month End Rates#0#Close12</stp>
        <tr r="K21" s="23"/>
      </tp>
      <tp>
        <v>39634.922500000001</v>
        <stp/>
        <stp>FWRC1#GBPINR#Month End Rates#0#Close15</stp>
        <tr r="N21" s="23"/>
      </tp>
      <tp>
        <v>36003.08</v>
        <stp/>
        <stp>FWRC1#GBPINR#Month End Rates#0#Close14</stp>
        <tr r="M21" s="23"/>
      </tp>
      <tp>
        <v>71.420400000000001</v>
        <stp/>
        <stp>FWRC1#JPYINR#Month End Rates#0#FwdOutrightBid8</stp>
        <tr r="H7" s="18"/>
      </tp>
      <tp>
        <v>71.674199999999999</v>
        <stp/>
        <stp>FWRC1#JPYINR#Month End Rates#0#FwdOutrightBid9</stp>
        <tr r="I7" s="18"/>
      </tp>
      <tp>
        <v>70.350899999999996</v>
        <stp/>
        <stp>FWRC1#JPYINR#Month End Rates#0#FwdOutrightBid4</stp>
        <tr r="D7" s="18"/>
      </tp>
      <tp>
        <v>70.5929</v>
        <stp/>
        <stp>FWRC1#JPYINR#Month End Rates#0#FwdOutrightBid5</stp>
        <tr r="E7" s="18"/>
      </tp>
      <tp>
        <v>70.842699999999994</v>
        <stp/>
        <stp>FWRC1#JPYINR#Month End Rates#0#FwdOutrightBid6</stp>
        <tr r="F7" s="18"/>
      </tp>
      <tp>
        <v>71.1661</v>
        <stp/>
        <stp>FWRC1#JPYINR#Month End Rates#0#FwdOutrightBid7</stp>
        <tr r="G7" s="18"/>
      </tp>
      <tp>
        <v>70.282399999999996</v>
        <stp/>
        <stp>FWRC1#JPYINR#Month End Rates#0#FwdOutrightBid1</stp>
        <tr r="C7" s="18"/>
        <tr r="D2" s="7"/>
      </tp>
      <tp>
        <v>70.297200000000004</v>
        <stp/>
        <stp>FWRC1#JPYINR#Month End Rates#0#FwdOutrightBid3</stp>
        <tr r="F2" s="7"/>
      </tp>
      <tp>
        <v>22.5</v>
        <stp/>
        <stp>FWRC1#EURUSD#Month Wise Rates#0#Close9</stp>
        <tr r="E27" s="23"/>
      </tp>
      <tp>
        <v>15.02</v>
        <stp/>
        <stp>FWRC1#EURUSD#Month Wise Rates#0#Close8</stp>
        <tr r="D27" s="23"/>
      </tp>
      <tp>
        <v>7.98</v>
        <stp/>
        <stp>FWRC1#EURUSD#Month Wise Rates#0#Close7</stp>
        <tr r="C27" s="23"/>
      </tp>
      <tp>
        <v>1.1729000000000001</v>
        <stp/>
        <stp>FWRC1#EURUSD#Month Wise Rates#0#Close0</stp>
        <tr r="H27" s="23"/>
        <tr r="K27" s="23"/>
        <tr r="C27" s="23"/>
        <tr r="L27" s="23"/>
        <tr r="F27" s="23"/>
        <tr r="N27" s="23"/>
        <tr r="D27" s="23"/>
        <tr r="G27" s="23"/>
        <tr r="B27" s="23"/>
        <tr r="E27" s="23"/>
        <tr r="J27" s="23"/>
        <tr r="M27" s="23"/>
        <tr r="I27" s="23"/>
      </tp>
      <tp>
        <v>1.81</v>
        <stp/>
        <stp>FWRC1#AUDUSD#Month Wise Rates#0#Close9</stp>
        <tr r="E32" s="23"/>
      </tp>
      <tp>
        <v>1.1200000000000001</v>
        <stp/>
        <stp>FWRC1#AUDUSD#Month Wise Rates#0#Close8</stp>
        <tr r="D32" s="23"/>
      </tp>
      <tp>
        <v>0.55000000000000004</v>
        <stp/>
        <stp>FWRC1#AUDUSD#Month Wise Rates#0#Close7</stp>
        <tr r="C32" s="23"/>
      </tp>
      <tp>
        <v>0.71858</v>
        <stp/>
        <stp>FWRC1#AUDUSD#Month Wise Rates#0#Close0</stp>
        <tr r="E32" s="23"/>
        <tr r="J32" s="23"/>
        <tr r="D32" s="23"/>
        <tr r="C32" s="23"/>
        <tr r="M32" s="23"/>
        <tr r="L32" s="23"/>
        <tr r="I32" s="23"/>
        <tr r="B32" s="23"/>
        <tr r="K32" s="23"/>
        <tr r="G32" s="23"/>
        <tr r="N32" s="23"/>
        <tr r="H32" s="23"/>
        <tr r="F32" s="23"/>
      </tp>
      <tp>
        <v>0.14313000000000001</v>
        <stp/>
        <stp>47#5#1#5629#GBP1Y.LIBOR#LTP</stp>
        <tr r="P38" s="23"/>
        <tr r="I4" s="8"/>
      </tp>
      <tp>
        <v>-0.43099999999999999</v>
        <stp/>
        <stp>47#5#1#5629#EUR1Y.LIBOR#LTP</stp>
        <tr r="P37" s="23"/>
        <tr r="I3" s="8"/>
      </tp>
      <tp>
        <v>1.2829999999999999</v>
        <stp/>
        <stp>FWRC1#GBPUSD#Month Wise Rates#0#FwdOutrightAsk18</stp>
        <tr r="O8" s="20"/>
      </tp>
      <tp>
        <v>1.2817000000000001</v>
        <stp/>
        <stp>FWRC1#GBPUSD#Month Wise Rates#0#FwdOutrightAsk12</stp>
        <tr r="I8" s="20"/>
      </tp>
      <tp>
        <v>1.2817000000000001</v>
        <stp/>
        <stp>FWRC1#GBPUSD#Month Wise Rates#0#FwdOutrightAsk13</stp>
        <tr r="J8" s="20"/>
      </tp>
      <tp>
        <v>1.2813000000000001</v>
        <stp/>
        <stp>FWRC1#GBPUSD#Month Wise Rates#0#FwdOutrightAsk10</stp>
        <tr r="G8" s="20"/>
      </tp>
      <tp>
        <v>1.2815000000000001</v>
        <stp/>
        <stp>FWRC1#GBPUSD#Month Wise Rates#0#FwdOutrightAsk11</stp>
        <tr r="H8" s="20"/>
      </tp>
      <tp>
        <v>1.2825</v>
        <stp/>
        <stp>FWRC1#GBPUSD#Month Wise Rates#0#FwdOutrightAsk16</stp>
        <tr r="M8" s="20"/>
      </tp>
      <tp>
        <v>1.2827</v>
        <stp/>
        <stp>FWRC1#GBPUSD#Month Wise Rates#0#FwdOutrightAsk17</stp>
        <tr r="N8" s="20"/>
      </tp>
      <tp>
        <v>1.2821</v>
        <stp/>
        <stp>FWRC1#GBPUSD#Month Wise Rates#0#FwdOutrightAsk14</stp>
        <tr r="K8" s="20"/>
      </tp>
      <tp>
        <v>1.2824</v>
        <stp/>
        <stp>FWRC1#GBPUSD#Month Wise Rates#0#FwdOutrightAsk15</stp>
        <tr r="L8" s="20"/>
      </tp>
      <tp>
        <v>1.1829000000000001</v>
        <stp/>
        <stp>FWRC1#EURUSD#Month Wise Rates#0#FwdOutrightAsk18</stp>
        <tr r="O8" s="19"/>
      </tp>
      <tp>
        <v>1.1805000000000001</v>
        <stp/>
        <stp>FWRC1#EURUSD#Month Wise Rates#0#FwdOutrightAsk15</stp>
        <tr r="L8" s="19"/>
      </tp>
      <tp>
        <v>1.1796</v>
        <stp/>
        <stp>FWRC1#EURUSD#Month Wise Rates#0#FwdOutrightAsk14</stp>
        <tr r="K8" s="19"/>
      </tp>
      <tp>
        <v>1.1820999999999999</v>
        <stp/>
        <stp>FWRC1#EURUSD#Month Wise Rates#0#FwdOutrightAsk17</stp>
        <tr r="N8" s="19"/>
      </tp>
      <tp>
        <v>1.1811</v>
        <stp/>
        <stp>FWRC1#EURUSD#Month Wise Rates#0#FwdOutrightAsk16</stp>
        <tr r="M8" s="19"/>
      </tp>
      <tp>
        <v>1.1772</v>
        <stp/>
        <stp>FWRC1#EURUSD#Month Wise Rates#0#FwdOutrightAsk11</stp>
        <tr r="H8" s="19"/>
      </tp>
      <tp>
        <v>1.1763999999999999</v>
        <stp/>
        <stp>FWRC1#EURUSD#Month Wise Rates#0#FwdOutrightAsk10</stp>
        <tr r="G8" s="19"/>
      </tp>
      <tp>
        <v>1.1788000000000001</v>
        <stp/>
        <stp>FWRC1#EURUSD#Month Wise Rates#0#FwdOutrightAsk13</stp>
        <tr r="J8" s="19"/>
      </tp>
      <tp>
        <v>1.1778999999999999</v>
        <stp/>
        <stp>FWRC1#EURUSD#Month Wise Rates#0#FwdOutrightAsk12</stp>
        <tr r="I8" s="19"/>
      </tp>
      <tp>
        <v>-0.13950000000000001</v>
        <stp/>
        <stp>47#5#1#5629#JPY1W.LIBOR#LTP</stp>
        <tr r="C39" s="23"/>
      </tp>
      <tp>
        <v>0.11071</v>
        <stp/>
        <stp>47#5#1#5629#JPY2W.LIBOR#LTP</stp>
        <tr r="D39" s="23"/>
      </tp>
      <tp>
        <v>0.83313000000000004</v>
        <stp/>
        <stp>47#5#1#5629#GBP11M.LIBOR#LTP</stp>
        <tr r="O38" s="23"/>
      </tp>
      <tp>
        <v>0.77937999999999996</v>
        <stp/>
        <stp>47#5#1#5629#GBP10M.LIBOR#LTP</stp>
        <tr r="N38" s="23"/>
      </tp>
      <tp t="s">
        <v>SGDINRCOMP</v>
        <stp/>
        <stp>17#3#1#6041#SGDINRCOMP#S#Descr.</stp>
        <tr r="A26" s="23"/>
        <tr r="A9" s="23"/>
      </tp>
      <tp>
        <v>9420.9483999999993</v>
        <stp/>
        <stp>FWRC1#GBPINR#Month Wise Rates#0#BidPrice9</stp>
        <tr r="G6" s="22"/>
      </tp>
      <tp>
        <v>6080.9502000000002</v>
        <stp/>
        <stp>FWRC1#GBPINR#Month Wise Rates#0#BidPrice8</stp>
        <tr r="G5" s="22"/>
      </tp>
      <tp>
        <v>94.182500000000005</v>
        <stp/>
        <stp>FWRC1#GBPINR#Month Wise Rates#0#BidPrice0</stp>
        <tr r="G3" s="22"/>
      </tp>
      <tp>
        <v>3236.2710999999999</v>
        <stp/>
        <stp>FWRC1#GBPINR#Month Wise Rates#0#BidPrice7</stp>
        <tr r="G4" s="22"/>
      </tp>
      <tp t="s">
        <v>USDINRCOMP</v>
        <stp/>
        <stp>17#1#1#6069#USDINRCOMP#S#Descr.</stp>
        <tr r="A19" s="23"/>
        <tr r="A2" s="23"/>
      </tp>
      <tp>
        <v>8.2500000000000004E-2</v>
        <stp/>
        <stp>47#5#1#5629#USDON.LIBOR#LTP</stp>
        <tr r="B36" s="23"/>
      </tp>
      <tp>
        <v>28</v>
        <stp/>
        <stp>FWRC1#USDINR#Month End Rates#0#AskPrice5</stp>
        <tr r="E5" s="14"/>
      </tp>
      <tp>
        <v>50.75</v>
        <stp/>
        <stp>FWRC1#USDINR#Month End Rates#0#AskPrice6</stp>
        <tr r="F5" s="14"/>
      </tp>
      <tp>
        <v>78.5</v>
        <stp/>
        <stp>FWRC1#USDINR#Month End Rates#0#AskPrice7</stp>
        <tr r="G5" s="14"/>
      </tp>
      <tp>
        <v>73.599999999999994</v>
        <stp/>
        <stp>FWRC1#USDINR#Month End Rates#0#AskPrice0</stp>
        <tr r="B3" s="4"/>
      </tp>
      <tp>
        <v>2.5</v>
        <stp/>
        <stp>FWRC1#USDINR#Month End Rates#0#AskPrice2</stp>
        <tr r="C3" s="4"/>
      </tp>
      <tp>
        <v>1.25</v>
        <stp/>
        <stp>FWRC1#USDINR#Month End Rates#0#AskPrice3</stp>
        <tr r="E3" s="4"/>
      </tp>
      <tp>
        <v>102.5</v>
        <stp/>
        <stp>FWRC1#USDINR#Month End Rates#0#AskPrice8</stp>
        <tr r="H5" s="14"/>
      </tp>
      <tp>
        <v>125.5</v>
        <stp/>
        <stp>FWRC1#USDINR#Month End Rates#0#AskPrice9</stp>
        <tr r="I5" s="14"/>
      </tp>
      <tp>
        <v>0.36725999999999998</v>
        <stp/>
        <stp>47#5#1#5629#USD5M.LIBOR#LTP</stp>
        <tr r="I36" s="23"/>
        <tr r="F2" s="8"/>
      </tp>
      <tp>
        <v>0.31709999999999999</v>
        <stp/>
        <stp>47#5#1#5629#USD4M.LIBOR#LTP</stp>
        <tr r="H36" s="23"/>
        <tr r="E2" s="8"/>
      </tp>
      <tp>
        <v>0.46740999999999999</v>
        <stp/>
        <stp>47#5#1#5629#USD7M.LIBOR#LTP</stp>
        <tr r="K36" s="23"/>
      </tp>
      <tp>
        <v>0.27288000000000001</v>
        <stp/>
        <stp>47#5#1#5629#USD6M.LIBOR#LTP</stp>
        <tr r="J36" s="23"/>
        <tr r="G2" s="8"/>
      </tp>
      <tp>
        <v>0.15187999999999999</v>
        <stp/>
        <stp>47#5#1#5629#USD1M.LIBOR#LTP</stp>
        <tr r="B2" s="8"/>
        <tr r="E36" s="23"/>
      </tp>
      <tp>
        <v>0.22325</v>
        <stp/>
        <stp>47#5#1#5629#USD3M.LIBOR#LTP</stp>
        <tr r="G36" s="23"/>
        <tr r="D2" s="8"/>
      </tp>
      <tp>
        <v>0.17799999999999999</v>
        <stp/>
        <stp>47#5#1#5629#USD2M.LIBOR#LTP</stp>
        <tr r="F36" s="23"/>
        <tr r="C2" s="8"/>
      </tp>
      <tp>
        <v>0.55079999999999996</v>
        <stp/>
        <stp>47#5#1#5629#USD9M.LIBOR#LTP</stp>
        <tr r="H2" s="8"/>
        <tr r="M36" s="23"/>
      </tp>
      <tp>
        <v>0</v>
        <stp/>
        <stp>47#5#1#5629#USD8M.LIBOR#LTP</stp>
        <tr r="L36" s="23"/>
      </tp>
      <tp>
        <v>3626.9274999999998</v>
        <stp/>
        <stp>FWRC1#GBPINR#Month End Rates#0#AskPrice5</stp>
        <tr r="E5" s="17"/>
      </tp>
      <tp>
        <v>531.76250000000005</v>
        <stp/>
        <stp>FWRC1#GBPINR#Month End Rates#0#AskPrice4</stp>
        <tr r="D5" s="17"/>
      </tp>
      <tp>
        <v>10826.125</v>
        <stp/>
        <stp>FWRC1#GBPINR#Month End Rates#0#AskPrice7</stp>
        <tr r="G5" s="17"/>
      </tp>
      <tp>
        <v>6770.4174999999996</v>
        <stp/>
        <stp>FWRC1#GBPINR#Month End Rates#0#AskPrice6</stp>
        <tr r="F5" s="17"/>
      </tp>
      <tp>
        <v>94.22</v>
        <stp/>
        <stp>FWRC1#GBPINR#Month End Rates#0#AskPrice0</stp>
        <tr r="B3" s="6"/>
      </tp>
      <tp>
        <v>165.48439999999999</v>
        <stp/>
        <stp>FWRC1#GBPINR#Month End Rates#0#AskPrice3</stp>
        <tr r="E3" s="6"/>
      </tp>
      <tp>
        <v>331.33769999999998</v>
        <stp/>
        <stp>FWRC1#GBPINR#Month End Rates#0#AskPrice2</stp>
        <tr r="C5" s="17"/>
        <tr r="C3" s="6"/>
      </tp>
      <tp>
        <v>17159.452499999999</v>
        <stp/>
        <stp>FWRC1#GBPINR#Month End Rates#0#AskPrice9</stp>
        <tr r="I5" s="17"/>
      </tp>
      <tp>
        <v>14003.387500000001</v>
        <stp/>
        <stp>FWRC1#GBPINR#Month End Rates#0#AskPrice8</stp>
        <tr r="H5" s="17"/>
      </tp>
      <tp>
        <v>3.2786</v>
        <stp/>
        <stp>FWRC1#EURINR#Month End Rates#0#AskPrice2</stp>
        <tr r="C5" s="16"/>
        <tr r="C3" s="5"/>
      </tp>
      <tp>
        <v>1.6504000000000001</v>
        <stp/>
        <stp>FWRC1#EURINR#Month End Rates#0#AskPrice3</stp>
        <tr r="E3" s="5"/>
      </tp>
      <tp>
        <v>86.33</v>
        <stp/>
        <stp>FWRC1#EURINR#Month End Rates#0#AskPrice0</stp>
        <tr r="B3" s="5"/>
      </tp>
      <tp>
        <v>71.707499999999996</v>
        <stp/>
        <stp>FWRC1#EURINR#Month End Rates#0#AskPrice6</stp>
        <tr r="F5" s="16"/>
      </tp>
      <tp>
        <v>113.35</v>
        <stp/>
        <stp>FWRC1#EURINR#Month End Rates#0#AskPrice7</stp>
        <tr r="G5" s="16"/>
      </tp>
      <tp>
        <v>5.5724999999999998</v>
        <stp/>
        <stp>FWRC1#EURINR#Month End Rates#0#AskPrice4</stp>
        <tr r="D5" s="16"/>
      </tp>
      <tp>
        <v>38.207500000000003</v>
        <stp/>
        <stp>FWRC1#EURINR#Month End Rates#0#AskPrice5</stp>
        <tr r="E5" s="16"/>
      </tp>
      <tp>
        <v>146.9</v>
        <stp/>
        <stp>FWRC1#EURINR#Month End Rates#0#AskPrice8</stp>
        <tr r="H5" s="16"/>
      </tp>
      <tp>
        <v>180.02500000000001</v>
        <stp/>
        <stp>FWRC1#EURINR#Month End Rates#0#AskPrice9</stp>
        <tr r="I5" s="16"/>
      </tp>
      <tp>
        <v>8762.6175000000003</v>
        <stp/>
        <stp>FWRC1#JPYINR#Month End Rates#0#AskPrice7</stp>
        <tr r="G5" s="18"/>
      </tp>
      <tp>
        <v>5459.4925000000003</v>
        <stp/>
        <stp>FWRC1#JPYINR#Month End Rates#0#AskPrice6</stp>
        <tr r="F5" s="18"/>
      </tp>
      <tp>
        <v>2896.4</v>
        <stp/>
        <stp>FWRC1#JPYINR#Month End Rates#0#AskPrice5</stp>
        <tr r="E5" s="18"/>
      </tp>
      <tp>
        <v>427.22250000000003</v>
        <stp/>
        <stp>FWRC1#JPYINR#Month End Rates#0#AskPrice4</stp>
        <tr r="D5" s="18"/>
      </tp>
      <tp>
        <v>128.14940000000001</v>
        <stp/>
        <stp>FWRC1#JPYINR#Month End Rates#0#AskPrice3</stp>
        <tr r="E3" s="7"/>
      </tp>
      <tp>
        <v>276.42779999999999</v>
        <stp/>
        <stp>FWRC1#JPYINR#Month End Rates#0#AskPrice2</stp>
        <tr r="C5" s="18"/>
        <tr r="C3" s="7"/>
      </tp>
      <tp>
        <v>70.319999999999993</v>
        <stp/>
        <stp>FWRC1#JPYINR#Month End Rates#0#AskPrice0</stp>
        <tr r="B3" s="7"/>
      </tp>
      <tp>
        <v>13854.53</v>
        <stp/>
        <stp>FWRC1#JPYINR#Month End Rates#0#AskPrice9</stp>
        <tr r="I5" s="18"/>
      </tp>
      <tp>
        <v>11308.8675</v>
        <stp/>
        <stp>FWRC1#JPYINR#Month End Rates#0#AskPrice8</stp>
        <tr r="H5" s="18"/>
      </tp>
      <tp t="s">
        <v/>
        <stp/>
        <stp>FWRC1#EURINR#Month Wise Rates#0#BidPrice9</stp>
        <tr r="E6" s="22"/>
      </tp>
      <tp>
        <v>64.322500000000005</v>
        <stp/>
        <stp>FWRC1#EURINR#Month Wise Rates#0#BidPrice8</stp>
        <tr r="E5" s="22"/>
      </tp>
      <tp>
        <v>86.3125</v>
        <stp/>
        <stp>FWRC1#EURINR#Month Wise Rates#0#BidPrice0</stp>
        <tr r="E3" s="22"/>
      </tp>
      <tp>
        <v>34.207000000000001</v>
        <stp/>
        <stp>FWRC1#EURINR#Month Wise Rates#0#BidPrice7</stp>
        <tr r="E4" s="22"/>
      </tp>
      <tp>
        <v>70.325000000000003</v>
        <stp/>
        <stp>FWRC1#JPYINR#Month Wise Rates#0#AskPrice0</stp>
        <tr r="J3" s="22"/>
      </tp>
      <tp t="s">
        <v/>
        <stp/>
        <stp>FWRC1#JPYINR#Month Wise Rates#0#AskPrice7</stp>
        <tr r="J4" s="22"/>
      </tp>
      <tp>
        <v>7718.3599000000004</v>
        <stp/>
        <stp>FWRC1#JPYINR#Month Wise Rates#0#AskPrice9</stp>
        <tr r="J6" s="22"/>
      </tp>
      <tp>
        <v>4988.7999</v>
        <stp/>
        <stp>FWRC1#JPYINR#Month Wise Rates#0#AskPrice8</stp>
        <tr r="J5" s="22"/>
      </tp>
      <tp>
        <v>0.26</v>
        <stp/>
        <stp>17#1#1#6069#USDINRCOMP#%Chg</stp>
        <tr r="D3" s="10"/>
      </tp>
      <tp>
        <v>0</v>
        <stp/>
        <stp>17#3#1#5949#EURINRCOMP#52WkHigh</stp>
        <tr r="J4" s="10"/>
        <tr r="I4" s="10"/>
      </tp>
      <tp>
        <v>-7.99</v>
        <stp/>
        <stp>FWRC1#USDJPY#Month Wise Rates#0#AskPrice8</stp>
        <tr r="P5" s="22"/>
        <tr r="E5" s="21"/>
      </tp>
      <tp>
        <v>-12.11</v>
        <stp/>
        <stp>FWRC1#USDJPY#Month Wise Rates#0#AskPrice9</stp>
        <tr r="P6" s="22"/>
        <tr r="F5" s="21"/>
      </tp>
      <tp>
        <v>-4.66</v>
        <stp/>
        <stp>FWRC1#USDJPY#Month Wise Rates#0#AskPrice7</stp>
        <tr r="P4" s="22"/>
        <tr r="D5" s="21"/>
      </tp>
      <tp>
        <v>-0.05</v>
        <stp/>
        <stp>FWRC1#USDJPY#Month Wise Rates#0#AskPrice2</stp>
        <tr r="C5" s="21"/>
      </tp>
      <tp>
        <v>104.667</v>
        <stp/>
        <stp>FWRC1#USDJPY#Month Wise Rates#0#AskPrice0</stp>
        <tr r="P3" s="22"/>
      </tp>
      <tp>
        <v>0</v>
        <stp/>
        <stp>17#3#1#5978#JPYINRCOMP#52WkHigh</stp>
        <tr r="I6" s="10"/>
      </tp>
      <tp>
        <v>-12.36</v>
        <stp/>
        <stp>FWRC1#USDJPY#Month Wise Rates#0#BidPrice9</stp>
        <tr r="O6" s="22"/>
        <tr r="F4" s="21"/>
      </tp>
      <tp>
        <v>-8.2799999999999994</v>
        <stp/>
        <stp>FWRC1#USDJPY#Month Wise Rates#0#BidPrice8</stp>
        <tr r="O5" s="22"/>
        <tr r="E4" s="21"/>
      </tp>
      <tp>
        <v>-4.76</v>
        <stp/>
        <stp>FWRC1#USDJPY#Month Wise Rates#0#BidPrice7</stp>
        <tr r="D4" s="21"/>
        <tr r="O4" s="22"/>
      </tp>
      <tp>
        <v>104.666</v>
        <stp/>
        <stp>FWRC1#USDJPY#Month Wise Rates#0#BidPrice0</stp>
        <tr r="O3" s="22"/>
      </tp>
      <tp>
        <v>-0.13</v>
        <stp/>
        <stp>FWRC1#USDJPY#Month Wise Rates#0#BidPrice2</stp>
        <tr r="C4" s="21"/>
      </tp>
      <tp>
        <v>76.5</v>
        <stp/>
        <stp>FWRC1#USDINR#Month End Rates#0#BidPrice7</stp>
        <tr r="G4" s="14"/>
      </tp>
      <tp>
        <v>49.75</v>
        <stp/>
        <stp>FWRC1#USDINR#Month End Rates#0#BidPrice6</stp>
        <tr r="F4" s="14"/>
      </tp>
      <tp>
        <v>27</v>
        <stp/>
        <stp>FWRC1#USDINR#Month End Rates#0#BidPrice5</stp>
        <tr r="E4" s="14"/>
      </tp>
      <tp>
        <v>4.75</v>
        <stp/>
        <stp>FWRC1#USDINR#Month End Rates#0#BidPrice4</stp>
        <tr r="D5" s="14"/>
        <tr r="D4" s="14"/>
      </tp>
      <tp>
        <v>0.25</v>
        <stp/>
        <stp>FWRC1#USDINR#Month End Rates#0#BidPrice3</stp>
        <tr r="E2" s="4"/>
      </tp>
      <tp>
        <v>0.5</v>
        <stp/>
        <stp>FWRC1#USDINR#Month End Rates#0#BidPrice2</stp>
        <tr r="C4" s="14"/>
        <tr r="C5" s="14"/>
        <tr r="C2" s="4"/>
      </tp>
      <tp>
        <v>73.59</v>
        <stp/>
        <stp>FWRC1#USDINR#Month End Rates#0#BidPrice0</stp>
        <tr r="B2" s="4"/>
      </tp>
      <tp>
        <v>124</v>
        <stp/>
        <stp>FWRC1#USDINR#Month End Rates#0#BidPrice9</stp>
        <tr r="I4" s="14"/>
      </tp>
      <tp>
        <v>101</v>
        <stp/>
        <stp>FWRC1#USDINR#Month End Rates#0#BidPrice8</stp>
        <tr r="H4" s="14"/>
      </tp>
      <tp>
        <v>6575.0375000000004</v>
        <stp/>
        <stp>FWRC1#GBPINR#Month End Rates#0#BidPrice6</stp>
        <tr r="F4" s="17"/>
      </tp>
      <tp>
        <v>10632.225</v>
        <stp/>
        <stp>FWRC1#GBPINR#Month End Rates#0#BidPrice7</stp>
        <tr r="G4" s="17"/>
      </tp>
      <tp>
        <v>505.66750000000002</v>
        <stp/>
        <stp>FWRC1#GBPINR#Month End Rates#0#BidPrice4</stp>
        <tr r="D4" s="17"/>
      </tp>
      <tp>
        <v>3530.875</v>
        <stp/>
        <stp>FWRC1#GBPINR#Month End Rates#0#BidPrice5</stp>
        <tr r="E4" s="17"/>
      </tp>
      <tp>
        <v>67.292199999999994</v>
        <stp/>
        <stp>FWRC1#GBPINR#Month End Rates#0#BidPrice2</stp>
        <tr r="C4" s="17"/>
        <tr r="C2" s="6"/>
      </tp>
      <tp>
        <v>33.0931</v>
        <stp/>
        <stp>FWRC1#GBPINR#Month End Rates#0#BidPrice3</stp>
        <tr r="E2" s="6"/>
      </tp>
      <tp>
        <v>94.197500000000005</v>
        <stp/>
        <stp>FWRC1#GBPINR#Month End Rates#0#BidPrice0</stp>
        <tr r="B2" s="6"/>
      </tp>
      <tp>
        <v>13807.545</v>
        <stp/>
        <stp>FWRC1#GBPINR#Month End Rates#0#BidPrice8</stp>
        <tr r="H4" s="17"/>
      </tp>
      <tp>
        <v>16931.842499999999</v>
        <stp/>
        <stp>FWRC1#GBPINR#Month End Rates#0#BidPrice9</stp>
        <tr r="I4" s="17"/>
      </tp>
      <tp>
        <v>86.3125</v>
        <stp/>
        <stp>FWRC1#EURINR#Month End Rates#0#BidPrice0</stp>
        <tr r="B2" s="5"/>
      </tp>
      <tp>
        <v>0.43309999999999998</v>
        <stp/>
        <stp>FWRC1#EURINR#Month End Rates#0#BidPrice3</stp>
        <tr r="E2" s="5"/>
      </tp>
      <tp>
        <v>0.88819999999999999</v>
        <stp/>
        <stp>FWRC1#EURINR#Month End Rates#0#BidPrice2</stp>
        <tr r="C2" s="5"/>
        <tr r="C4" s="16"/>
      </tp>
      <tp>
        <v>37.35</v>
        <stp/>
        <stp>FWRC1#EURINR#Month End Rates#0#BidPrice5</stp>
        <tr r="E4" s="16"/>
      </tp>
      <tp>
        <v>5.3425000000000002</v>
        <stp/>
        <stp>FWRC1#EURINR#Month End Rates#0#BidPrice4</stp>
        <tr r="D4" s="16"/>
      </tp>
      <tp>
        <v>111.7225</v>
        <stp/>
        <stp>FWRC1#EURINR#Month End Rates#0#BidPrice7</stp>
        <tr r="G4" s="16"/>
      </tp>
      <tp>
        <v>70.09</v>
        <stp/>
        <stp>FWRC1#EURINR#Month End Rates#0#BidPrice6</stp>
        <tr r="F4" s="16"/>
      </tp>
      <tp>
        <v>178.08</v>
        <stp/>
        <stp>FWRC1#EURINR#Month End Rates#0#BidPrice9</stp>
        <tr r="I4" s="16"/>
      </tp>
      <tp>
        <v>145.10499999999999</v>
        <stp/>
        <stp>FWRC1#EURINR#Month End Rates#0#BidPrice8</stp>
        <tr r="H4" s="16"/>
      </tp>
      <tp>
        <v>409.28500000000003</v>
        <stp/>
        <stp>FWRC1#JPYINR#Month End Rates#0#BidPrice4</stp>
        <tr r="D4" s="18"/>
      </tp>
      <tp>
        <v>2829.3474999999999</v>
        <stp/>
        <stp>FWRC1#JPYINR#Month End Rates#0#BidPrice5</stp>
        <tr r="E4" s="18"/>
      </tp>
      <tp>
        <v>5327.34</v>
        <stp/>
        <stp>FWRC1#JPYINR#Month End Rates#0#BidPrice6</stp>
        <tr r="F4" s="18"/>
      </tp>
      <tp>
        <v>8560.8875000000007</v>
        <stp/>
        <stp>FWRC1#JPYINR#Month End Rates#0#BidPrice7</stp>
        <tr r="G4" s="18"/>
      </tp>
      <tp>
        <v>70.31</v>
        <stp/>
        <stp>FWRC1#JPYINR#Month End Rates#0#BidPrice0</stp>
        <tr r="B2" s="7"/>
      </tp>
      <tp>
        <v>76.6327</v>
        <stp/>
        <stp>FWRC1#JPYINR#Month End Rates#0#BidPrice2</stp>
        <tr r="C4" s="18"/>
        <tr r="C2" s="7"/>
      </tp>
      <tp>
        <v>27.239699999999999</v>
        <stp/>
        <stp>FWRC1#JPYINR#Month End Rates#0#BidPrice3</stp>
        <tr r="E2" s="7"/>
      </tp>
      <tp>
        <v>11103.7225</v>
        <stp/>
        <stp>FWRC1#JPYINR#Month End Rates#0#BidPrice8</stp>
        <tr r="H4" s="18"/>
      </tp>
      <tp>
        <v>13642.272499999999</v>
        <stp/>
        <stp>FWRC1#JPYINR#Month End Rates#0#BidPrice9</stp>
        <tr r="I4" s="18"/>
      </tp>
      <tp>
        <v>65.801000000000002</v>
        <stp/>
        <stp>FWRC1#EURINR#Month Wise Rates#0#AskPrice8</stp>
        <tr r="F5" s="22"/>
      </tp>
      <tp t="s">
        <v/>
        <stp/>
        <stp>FWRC1#EURINR#Month Wise Rates#0#AskPrice9</stp>
        <tr r="F6" s="22"/>
      </tp>
      <tp>
        <v>86.33</v>
        <stp/>
        <stp>FWRC1#EURINR#Month Wise Rates#0#AskPrice0</stp>
        <tr r="F3" s="22"/>
      </tp>
      <tp>
        <v>35.681600000000003</v>
        <stp/>
        <stp>FWRC1#EURINR#Month Wise Rates#0#AskPrice7</stp>
        <tr r="F4" s="22"/>
      </tp>
      <tp>
        <v>70.307500000000005</v>
        <stp/>
        <stp>FWRC1#JPYINR#Month Wise Rates#0#BidPrice0</stp>
        <tr r="I3" s="22"/>
      </tp>
      <tp t="s">
        <v/>
        <stp/>
        <stp>FWRC1#JPYINR#Month Wise Rates#0#BidPrice7</stp>
        <tr r="I4" s="22"/>
      </tp>
      <tp>
        <v>4871.4105</v>
        <stp/>
        <stp>FWRC1#JPYINR#Month Wise Rates#0#BidPrice8</stp>
        <tr r="I5" s="22"/>
      </tp>
      <tp>
        <v>7531.3468000000003</v>
        <stp/>
        <stp>FWRC1#JPYINR#Month Wise Rates#0#BidPrice9</stp>
        <tr r="I6" s="22"/>
      </tp>
      <tp>
        <v>6246.3732</v>
        <stp/>
        <stp>FWRC1#GBPINR#Month Wise Rates#0#AskPrice8</stp>
        <tr r="H5" s="22"/>
      </tp>
      <tp>
        <v>9700.8945999999996</v>
        <stp/>
        <stp>FWRC1#GBPINR#Month Wise Rates#0#AskPrice9</stp>
        <tr r="H6" s="22"/>
      </tp>
      <tp>
        <v>94.21</v>
        <stp/>
        <stp>FWRC1#GBPINR#Month Wise Rates#0#AskPrice0</stp>
        <tr r="H3" s="22"/>
      </tp>
      <tp>
        <v>3403.2766000000001</v>
        <stp/>
        <stp>FWRC1#GBPINR#Month Wise Rates#0#AskPrice7</stp>
        <tr r="H4" s="22"/>
      </tp>
      <tp>
        <v>1.2827</v>
        <stp/>
        <stp>FWRC1#GBPUSD#Month Wise Rates#0#FwdOutrightBid18</stp>
        <tr r="O7" s="20"/>
      </tp>
      <tp>
        <v>1.2813000000000001</v>
        <stp/>
        <stp>FWRC1#GBPUSD#Month Wise Rates#0#FwdOutrightBid11</stp>
        <tr r="H7" s="20"/>
      </tp>
      <tp>
        <v>1.2811999999999999</v>
        <stp/>
        <stp>FWRC1#GBPUSD#Month Wise Rates#0#FwdOutrightBid10</stp>
        <tr r="G7" s="20"/>
      </tp>
      <tp>
        <v>1.2815000000000001</v>
        <stp/>
        <stp>FWRC1#GBPUSD#Month Wise Rates#0#FwdOutrightBid13</stp>
        <tr r="J7" s="20"/>
      </tp>
      <tp>
        <v>1.2815000000000001</v>
        <stp/>
        <stp>FWRC1#GBPUSD#Month Wise Rates#0#FwdOutrightBid12</stp>
        <tr r="I7" s="20"/>
      </tp>
      <tp>
        <v>1.2821</v>
        <stp/>
        <stp>FWRC1#GBPUSD#Month Wise Rates#0#FwdOutrightBid15</stp>
        <tr r="L7" s="20"/>
      </tp>
      <tp>
        <v>1.2818000000000001</v>
        <stp/>
        <stp>FWRC1#GBPUSD#Month Wise Rates#0#FwdOutrightBid14</stp>
        <tr r="K7" s="20"/>
      </tp>
      <tp>
        <v>1.2825</v>
        <stp/>
        <stp>FWRC1#GBPUSD#Month Wise Rates#0#FwdOutrightBid17</stp>
        <tr r="N7" s="20"/>
      </tp>
      <tp>
        <v>1.2822</v>
        <stp/>
        <stp>FWRC1#GBPUSD#Month Wise Rates#0#FwdOutrightBid16</stp>
        <tr r="M7" s="20"/>
      </tp>
      <tp>
        <v>1.1827000000000001</v>
        <stp/>
        <stp>FWRC1#EURUSD#Month Wise Rates#0#FwdOutrightBid18</stp>
        <tr r="O7" s="19"/>
      </tp>
      <tp>
        <v>1.1811</v>
        <stp/>
        <stp>FWRC1#EURUSD#Month Wise Rates#0#FwdOutrightBid16</stp>
        <tr r="M7" s="19"/>
      </tp>
      <tp>
        <v>1.1818</v>
        <stp/>
        <stp>FWRC1#EURUSD#Month Wise Rates#0#FwdOutrightBid17</stp>
        <tr r="N7" s="19"/>
      </tp>
      <tp>
        <v>1.1794</v>
        <stp/>
        <stp>FWRC1#EURUSD#Month Wise Rates#0#FwdOutrightBid14</stp>
        <tr r="K7" s="19"/>
      </tp>
      <tp>
        <v>1.1801999999999999</v>
        <stp/>
        <stp>FWRC1#EURUSD#Month Wise Rates#0#FwdOutrightBid15</stp>
        <tr r="L7" s="19"/>
      </tp>
      <tp>
        <v>1.1778</v>
        <stp/>
        <stp>FWRC1#EURUSD#Month Wise Rates#0#FwdOutrightBid12</stp>
        <tr r="I7" s="19"/>
      </tp>
      <tp>
        <v>1.1786000000000001</v>
        <stp/>
        <stp>FWRC1#EURUSD#Month Wise Rates#0#FwdOutrightBid13</stp>
        <tr r="J7" s="19"/>
      </tp>
      <tp>
        <v>1.1762999999999999</v>
        <stp/>
        <stp>FWRC1#EURUSD#Month Wise Rates#0#FwdOutrightBid10</stp>
        <tr r="G7" s="19"/>
      </tp>
      <tp>
        <v>1.1771</v>
        <stp/>
        <stp>FWRC1#EURUSD#Month Wise Rates#0#FwdOutrightBid11</stp>
        <tr r="H7" s="19"/>
      </tp>
      <tp>
        <v>0</v>
        <stp/>
        <stp>47#5#1#5629#EUR1W.LIBOR#LTP</stp>
        <tr r="C37" s="23"/>
      </tp>
      <tp>
        <v>0</v>
        <stp/>
        <stp>47#5#1#5629#EUR2W.LIBOR#LTP</stp>
        <tr r="D37" s="23"/>
      </tp>
      <tp>
        <v>0</v>
        <stp/>
        <stp>17#3#1#6031#GBPINRCOMP#52WkHigh</stp>
        <tr r="I5" s="10"/>
      </tp>
      <tp>
        <v>0</v>
        <stp/>
        <stp>47#5#1#5629#JPY1Y.LIBOR#LTP</stp>
        <tr r="I5" s="8"/>
        <tr r="P39" s="23"/>
      </tp>
      <tp>
        <v>0</v>
        <stp/>
        <stp>47#5#1#5629#GBP1W.LIBOR#LTP</stp>
        <tr r="D38" s="23"/>
        <tr r="C38" s="23"/>
      </tp>
      <tp>
        <v>76.747500000000002</v>
        <stp/>
        <stp>FWRC1#USDINR#Month Wise Rates#0#FwdOutrightBid18</stp>
        <tr r="O7" s="15"/>
      </tp>
      <tp>
        <v>76.240300000000005</v>
        <stp/>
        <stp>FWRC1#USDINR#Month Wise Rates#0#FwdOutrightBid16</stp>
        <tr r="M7" s="15"/>
      </tp>
      <tp>
        <v>76.485900000000001</v>
        <stp/>
        <stp>FWRC1#USDINR#Month Wise Rates#0#FwdOutrightBid17</stp>
        <tr r="N7" s="15"/>
      </tp>
      <tp>
        <v>75.6858</v>
        <stp/>
        <stp>FWRC1#USDINR#Month Wise Rates#0#FwdOutrightBid14</stp>
        <tr r="K7" s="15"/>
      </tp>
      <tp>
        <v>75.959999999999994</v>
        <stp/>
        <stp>FWRC1#USDINR#Month Wise Rates#0#FwdOutrightBid15</stp>
        <tr r="L7" s="15"/>
      </tp>
      <tp>
        <v>75.050600000000003</v>
        <stp/>
        <stp>FWRC1#USDINR#Month Wise Rates#0#FwdOutrightBid12</stp>
        <tr r="I7" s="15"/>
      </tp>
      <tp>
        <v>75.447999999999993</v>
        <stp/>
        <stp>FWRC1#USDINR#Month Wise Rates#0#FwdOutrightBid13</stp>
        <tr r="J7" s="15"/>
      </tp>
      <tp>
        <v>74.566199999999995</v>
        <stp/>
        <stp>FWRC1#USDINR#Month Wise Rates#0#FwdOutrightBid10</stp>
        <tr r="G7" s="15"/>
      </tp>
      <tp>
        <v>74.813599999999994</v>
        <stp/>
        <stp>FWRC1#USDINR#Month Wise Rates#0#FwdOutrightBid11</stp>
        <tr r="H7" s="15"/>
      </tp>
      <tp>
        <v>-0.3</v>
        <stp/>
        <stp>17#3#1#5978#JPYINRCOMP#%Chg</stp>
        <tr r="D6" s="10"/>
      </tp>
      <tp>
        <v>0</v>
        <stp/>
        <stp>47#5#1#5629#JPY10M.LIBOR#LTP</stp>
        <tr r="N39" s="23"/>
      </tp>
      <tp>
        <v>0</v>
        <stp/>
        <stp>47#5#1#5629#JPY11M.LIBOR#LTP</stp>
        <tr r="O39" s="23"/>
      </tp>
      <tp>
        <v>0</v>
        <stp/>
        <stp>47#5#1#5629#USD1Y.LIBOR#LTP</stp>
        <tr r="P36" s="23"/>
        <tr r="I2" s="8"/>
      </tp>
      <tp>
        <v>0</v>
        <stp/>
        <stp>47#5#1#5629#USD11M.LIBOR#LTP</stp>
        <tr r="O36" s="23"/>
      </tp>
      <tp>
        <v>0</v>
        <stp/>
        <stp>47#5#1#5629#USD10M.LIBOR#LTP</stp>
        <tr r="N36" s="23"/>
      </tp>
      <tp>
        <v>104.2114</v>
        <stp/>
        <stp>FWRC1#USDJPY#Month Wise Rates#0#FwdOutrightBid15</stp>
        <tr r="L7" s="21"/>
      </tp>
      <tp>
        <v>104.2649</v>
        <stp/>
        <stp>FWRC1#USDJPY#Month Wise Rates#0#FwdOutrightBid14</stp>
        <tr r="K7" s="21"/>
      </tp>
      <tp>
        <v>104.113</v>
        <stp/>
        <stp>FWRC1#USDJPY#Month Wise Rates#0#FwdOutrightBid17</stp>
        <tr r="N7" s="21"/>
      </tp>
      <tp>
        <v>104.1669</v>
        <stp/>
        <stp>FWRC1#USDJPY#Month Wise Rates#0#FwdOutrightBid16</stp>
        <tr r="M7" s="21"/>
      </tp>
      <tp>
        <v>104.4006</v>
        <stp/>
        <stp>FWRC1#USDJPY#Month Wise Rates#0#FwdOutrightBid11</stp>
        <tr r="H7" s="21"/>
      </tp>
      <tp>
        <v>104.4371</v>
        <stp/>
        <stp>FWRC1#USDJPY#Month Wise Rates#0#FwdOutrightBid10</stp>
        <tr r="G7" s="21"/>
      </tp>
      <tp>
        <v>104.29349999999999</v>
        <stp/>
        <stp>FWRC1#USDJPY#Month Wise Rates#0#FwdOutrightBid13</stp>
        <tr r="J7" s="21"/>
      </tp>
      <tp>
        <v>104.3593</v>
        <stp/>
        <stp>FWRC1#USDJPY#Month Wise Rates#0#FwdOutrightBid12</stp>
        <tr r="I7" s="21"/>
      </tp>
      <tp>
        <v>104.0776</v>
        <stp/>
        <stp>FWRC1#USDJPY#Month Wise Rates#0#FwdOutrightBid18</stp>
        <tr r="O7" s="21"/>
      </tp>
      <tp t="s">
        <v>JPYINRCOMP</v>
        <stp/>
        <stp>17#3#1#5978#JPYINRCOMP#S#Descr.</stp>
        <tr r="A5" s="23"/>
        <tr r="A22" s="23"/>
      </tp>
      <tp t="s">
        <v>CHFINRCOMP</v>
        <stp/>
        <stp>17#3#1#6056#CHFINRCOMP#S#Descr.</stp>
        <tr r="A23" s="23"/>
        <tr r="A6" s="23"/>
      </tp>
      <tp>
        <v>0</v>
        <stp/>
        <stp>47#5#1#5629#EUR11M.LIBOR#LTP</stp>
        <tr r="O37" s="23"/>
      </tp>
      <tp>
        <v>0</v>
        <stp/>
        <stp>47#5#1#5629#EUR10M.LIBOR#LTP</stp>
        <tr r="N37" s="23"/>
      </tp>
      <tp>
        <v>0</v>
        <stp/>
        <stp>47#5#1#5629#GBP5M.LIBOR#LTP</stp>
        <tr r="F4" s="8"/>
        <tr r="I38" s="23"/>
      </tp>
      <tp>
        <v>0</v>
        <stp/>
        <stp>47#5#1#5629#GBP4M.LIBOR#LTP</stp>
        <tr r="E4" s="8"/>
        <tr r="H38" s="23"/>
      </tp>
      <tp>
        <v>0</v>
        <stp/>
        <stp>47#5#1#5629#GBP7M.LIBOR#LTP</stp>
        <tr r="K38" s="23"/>
      </tp>
      <tp>
        <v>0</v>
        <stp/>
        <stp>47#5#1#5629#GBP6M.LIBOR#LTP</stp>
        <tr r="G4" s="8"/>
        <tr r="J38" s="23"/>
      </tp>
      <tp>
        <v>0</v>
        <stp/>
        <stp>47#5#1#5629#GBP1M.LIBOR#LTP</stp>
        <tr r="E38" s="23"/>
        <tr r="B4" s="8"/>
      </tp>
      <tp>
        <v>0</v>
        <stp/>
        <stp>47#5#1#5629#GBP3M.LIBOR#LTP</stp>
        <tr r="G38" s="23"/>
        <tr r="D4" s="8"/>
      </tp>
      <tp>
        <v>0</v>
        <stp/>
        <stp>47#5#1#5629#GBP2M.LIBOR#LTP</stp>
        <tr r="C4" s="8"/>
        <tr r="F38" s="23"/>
      </tp>
      <tp>
        <v>0</v>
        <stp/>
        <stp>47#5#1#5629#GBP9M.LIBOR#LTP</stp>
        <tr r="M38" s="23"/>
        <tr r="H4" s="8"/>
      </tp>
      <tp>
        <v>0</v>
        <stp/>
        <stp>47#5#1#5629#GBP8M.LIBOR#LTP</stp>
        <tr r="L38" s="23"/>
      </tp>
      <tp>
        <v>-0.08</v>
        <stp/>
        <stp>17#3#1#6031#GBPINRCOMP#%Chg</stp>
        <tr r="D5" s="10"/>
      </tp>
      <tp>
        <v>15.42</v>
        <stp/>
        <stp>FWRC1#EURUSD#Month Wise Rates#0#AskPrice8</stp>
        <tr r="L5" s="22"/>
        <tr r="E5" s="19"/>
      </tp>
      <tp>
        <v>22.83</v>
        <stp/>
        <stp>FWRC1#EURUSD#Month Wise Rates#0#AskPrice9</stp>
        <tr r="F5" s="19"/>
        <tr r="L6" s="22"/>
      </tp>
      <tp>
        <v>1.1729000000000001</v>
        <stp/>
        <stp>FWRC1#EURUSD#Month Wise Rates#0#AskPrice0</stp>
        <tr r="L3" s="22"/>
      </tp>
      <tp>
        <v>0.25</v>
        <stp/>
        <stp>FWRC1#EURUSD#Month Wise Rates#0#AskPrice2</stp>
        <tr r="C5" s="19"/>
      </tp>
      <tp>
        <v>8.18</v>
        <stp/>
        <stp>FWRC1#EURUSD#Month Wise Rates#0#AskPrice7</stp>
        <tr r="L4" s="22"/>
        <tr r="D5" s="19"/>
      </tp>
      <tp>
        <v>0</v>
        <stp/>
        <stp>47#5#1#5629#EURON.LIBOR#LTP</stp>
        <tr r="B37" s="23"/>
      </tp>
      <tp>
        <v>0</v>
        <stp/>
        <stp>47#5#1#5629#EUR5M.LIBOR#LTP</stp>
        <tr r="I37" s="23"/>
        <tr r="F3" s="8"/>
      </tp>
      <tp>
        <v>0</v>
        <stp/>
        <stp>47#5#1#5629#EUR4M.LIBOR#LTP</stp>
        <tr r="H37" s="23"/>
        <tr r="E3" s="8"/>
      </tp>
      <tp>
        <v>0</v>
        <stp/>
        <stp>47#5#1#5629#EUR7M.LIBOR#LTP</stp>
        <tr r="K37" s="23"/>
      </tp>
      <tp>
        <v>0</v>
        <stp/>
        <stp>47#5#1#5629#EUR6M.LIBOR#LTP</stp>
        <tr r="G3" s="8"/>
        <tr r="J37" s="23"/>
      </tp>
      <tp>
        <v>0</v>
        <stp/>
        <stp>47#5#1#5629#EUR1M.LIBOR#LTP</stp>
        <tr r="B3" s="8"/>
        <tr r="E37" s="23"/>
      </tp>
      <tp>
        <v>0</v>
        <stp/>
        <stp>47#5#1#5629#EUR3M.LIBOR#LTP</stp>
        <tr r="G37" s="23"/>
        <tr r="D3" s="8"/>
      </tp>
      <tp>
        <v>0</v>
        <stp/>
        <stp>47#5#1#5629#EUR2M.LIBOR#LTP</stp>
        <tr r="F37" s="23"/>
        <tr r="C3" s="8"/>
      </tp>
      <tp>
        <v>0</v>
        <stp/>
        <stp>47#5#1#5629#EUR9M.LIBOR#LTP</stp>
        <tr r="H3" s="8"/>
        <tr r="M37" s="23"/>
      </tp>
      <tp>
        <v>0</v>
        <stp/>
        <stp>47#5#1#5629#EUR8M.LIBOR#LTP</stp>
        <tr r="L37" s="23"/>
      </tp>
      <tp>
        <v>4.24</v>
        <stp/>
        <stp>FWRC1#GBPUSD#Month Wise Rates#0#AskPrice8</stp>
        <tr r="N5" s="22"/>
        <tr r="E5" s="20"/>
      </tp>
      <tp>
        <v>6.1</v>
        <stp/>
        <stp>FWRC1#GBPUSD#Month Wise Rates#0#AskPrice9</stp>
        <tr r="N6" s="22"/>
        <tr r="F5" s="20"/>
      </tp>
      <tp>
        <v>7.4999999999999997E-2</v>
        <stp/>
        <stp>FWRC1#GBPUSD#Month Wise Rates#0#AskPrice2</stp>
        <tr r="C5" s="20"/>
      </tp>
      <tp>
        <v>1.2799700000000001</v>
        <stp/>
        <stp>FWRC1#GBPUSD#Month Wise Rates#0#AskPrice0</stp>
        <tr r="N3" s="22"/>
      </tp>
      <tp>
        <v>2.2999999999999998</v>
        <stp/>
        <stp>FWRC1#GBPUSD#Month Wise Rates#0#AskPrice7</stp>
        <tr r="N4" s="22"/>
        <tr r="D5" s="20"/>
      </tp>
      <tp>
        <v>70.992599999999996</v>
        <stp/>
        <stp>FWRC1#USDINR#Month Wise Rates#0#BidPrice9</stp>
        <tr r="C6" s="22"/>
        <tr r="F4" s="15"/>
      </tp>
      <tp>
        <v>47.396599999999999</v>
        <stp/>
        <stp>FWRC1#USDINR#Month Wise Rates#0#BidPrice8</stp>
        <tr r="E4" s="15"/>
        <tr r="C5" s="22"/>
      </tp>
      <tp>
        <v>24.6983</v>
        <stp/>
        <stp>FWRC1#USDINR#Month Wise Rates#0#BidPrice7</stp>
        <tr r="D4" s="15"/>
        <tr r="C4" s="22"/>
      </tp>
      <tp>
        <v>73.59</v>
        <stp/>
        <stp>FWRC1#USDINR#Month Wise Rates#0#BidPrice0</stp>
        <tr r="C3" s="22"/>
      </tp>
      <tp t="s">
        <v/>
        <stp/>
        <stp>FWRC1#USDINR#Month Wise Rates#0#BidPrice2</stp>
        <tr r="C4" s="15"/>
      </tp>
      <tp t="s">
        <v>GBPINRCOMP</v>
        <stp/>
        <stp>17#3#1#6031#GBPINRCOMP#S#Descr.</stp>
        <tr r="A21" s="23"/>
        <tr r="A4" s="23"/>
      </tp>
      <tp>
        <v>0</v>
        <stp/>
        <stp>47#5#1#5629#GBPON.LIBOR#LTP</stp>
        <tr r="B38" s="23"/>
      </tp>
      <tp t="s">
        <v>AUDINRCOMP</v>
        <stp/>
        <stp>17#3#1#5903#AUDINRCOMP#S#Descr.</stp>
        <tr r="A8" s="23"/>
        <tr r="A25" s="23"/>
      </tp>
      <tp>
        <v>0</v>
        <stp/>
        <stp>47#5#1#5629#JPY5M.LIBOR#LTP</stp>
        <tr r="I39" s="23"/>
        <tr r="F5" s="8"/>
      </tp>
      <tp>
        <v>0</v>
        <stp/>
        <stp>47#5#1#5629#JPY7M.LIBOR#LTP</stp>
        <tr r="K39" s="23"/>
      </tp>
      <tp>
        <v>0</v>
        <stp/>
        <stp>47#5#1#5629#JPY6M.LIBOR#LTP</stp>
        <tr r="G5" s="8"/>
        <tr r="J39" s="23"/>
      </tp>
      <tp>
        <v>0</v>
        <stp/>
        <stp>47#5#1#5629#JPY1M.LIBOR#LTP</stp>
        <tr r="B5" s="8"/>
        <tr r="E39" s="23"/>
      </tp>
      <tp>
        <v>0</v>
        <stp/>
        <stp>47#5#1#5629#JPY3M.LIBOR#LTP</stp>
        <tr r="G39" s="23"/>
        <tr r="D5" s="8"/>
      </tp>
      <tp>
        <v>0</v>
        <stp/>
        <stp>47#5#1#5629#JPY2M.LIBOR#LTP</stp>
        <tr r="F39" s="23"/>
        <tr r="C5" s="8"/>
        <tr r="H39" s="23"/>
        <tr r="E5" s="8"/>
      </tp>
      <tp>
        <v>0</v>
        <stp/>
        <stp>47#5#1#5629#JPY9M.LIBOR#LTP</stp>
        <tr r="H5" s="8"/>
        <tr r="M39" s="23"/>
      </tp>
      <tp>
        <v>0</v>
        <stp/>
        <stp>47#5#1#5629#JPY8M.LIBOR#LTP</stp>
        <tr r="L39" s="23"/>
      </tp>
      <tp>
        <v>5.4</v>
        <stp/>
        <stp>FWRC1#GBPUSD#Month Wise Rates#0#BidPrice9</stp>
        <tr r="F4" s="20"/>
        <tr r="M6" s="22"/>
      </tp>
      <tp>
        <v>3.74</v>
        <stp/>
        <stp>FWRC1#GBPUSD#Month Wise Rates#0#BidPrice8</stp>
        <tr r="E4" s="20"/>
        <tr r="M5" s="22"/>
      </tp>
      <tp>
        <v>1.27976</v>
        <stp/>
        <stp>FWRC1#GBPUSD#Month Wise Rates#0#BidPrice0</stp>
        <tr r="M3" s="22"/>
      </tp>
      <tp>
        <v>1.4999999999999999E-2</v>
        <stp/>
        <stp>FWRC1#GBPUSD#Month Wise Rates#0#BidPrice2</stp>
        <tr r="C4" s="20"/>
      </tp>
      <tp>
        <v>2</v>
        <stp/>
        <stp>FWRC1#GBPUSD#Month Wise Rates#0#BidPrice7</stp>
        <tr r="D4" s="20"/>
        <tr r="M4" s="22"/>
      </tp>
      <tp>
        <v>48.396599999999999</v>
        <stp/>
        <stp>FWRC1#USDINR#Month Wise Rates#0#AskPrice8</stp>
        <tr r="D5" s="22"/>
        <tr r="E5" s="15"/>
      </tp>
      <tp>
        <v>72.786799999999999</v>
        <stp/>
        <stp>FWRC1#USDINR#Month Wise Rates#0#AskPrice9</stp>
        <tr r="D6" s="22"/>
        <tr r="F5" s="15"/>
      </tp>
      <tp>
        <v>25.8017</v>
        <stp/>
        <stp>FWRC1#USDINR#Month Wise Rates#0#AskPrice7</stp>
        <tr r="D4" s="22"/>
        <tr r="D5" s="15"/>
      </tp>
      <tp t="s">
        <v/>
        <stp/>
        <stp>FWRC1#USDINR#Month Wise Rates#0#AskPrice2</stp>
        <tr r="C5" s="15"/>
      </tp>
      <tp>
        <v>73.599999999999994</v>
        <stp/>
        <stp>FWRC1#USDINR#Month Wise Rates#0#AskPrice0</stp>
        <tr r="D3" s="22"/>
      </tp>
      <tp>
        <v>0</v>
        <stp/>
        <stp>47#5#1#5629#JPYSN.LIBOR#LTP</stp>
        <tr r="B39" s="23"/>
      </tp>
      <tp t="s">
        <v>CADINRCOMP</v>
        <stp/>
        <stp>17#3#1#5921#CADINRCOMP#S#Descr.</stp>
        <tr r="A7" s="23"/>
        <tr r="A24" s="23"/>
      </tp>
      <tp>
        <v>22.5</v>
        <stp/>
        <stp>FWRC1#EURUSD#Month Wise Rates#0#BidPrice9</stp>
        <tr r="K6" s="22"/>
        <tr r="F4" s="19"/>
      </tp>
      <tp>
        <v>15.02</v>
        <stp/>
        <stp>FWRC1#EURUSD#Month Wise Rates#0#BidPrice8</stp>
        <tr r="E4" s="19"/>
        <tr r="K5" s="22"/>
      </tp>
      <tp>
        <v>0.19</v>
        <stp/>
        <stp>FWRC1#EURUSD#Month Wise Rates#0#BidPrice2</stp>
        <tr r="C4" s="19"/>
      </tp>
      <tp>
        <v>1.1729000000000001</v>
        <stp/>
        <stp>FWRC1#EURUSD#Month Wise Rates#0#BidPrice0</stp>
        <tr r="K3" s="22"/>
      </tp>
      <tp>
        <v>7.98</v>
        <stp/>
        <stp>FWRC1#EURUSD#Month Wise Rates#0#BidPrice7</stp>
        <tr r="D4" s="19"/>
        <tr r="K4" s="22"/>
      </tp>
      <tp>
        <v>104.18389999999999</v>
        <stp/>
        <stp>FWRC1#USDJPY#Month Wise Rates#0#FwdOutrightAsk16</stp>
        <tr r="M8" s="21"/>
      </tp>
      <tp>
        <v>104.149</v>
        <stp/>
        <stp>FWRC1#USDJPY#Month Wise Rates#0#FwdOutrightAsk17</stp>
        <tr r="N8" s="21"/>
      </tp>
      <tp>
        <v>104.2899</v>
        <stp/>
        <stp>FWRC1#USDJPY#Month Wise Rates#0#FwdOutrightAsk14</stp>
        <tr r="K8" s="21"/>
      </tp>
      <tp>
        <v>104.2334</v>
        <stp/>
        <stp>FWRC1#USDJPY#Month Wise Rates#0#FwdOutrightAsk15</stp>
        <tr r="L8" s="21"/>
      </tp>
      <tp>
        <v>104.3793</v>
        <stp/>
        <stp>FWRC1#USDJPY#Month Wise Rates#0#FwdOutrightAsk12</stp>
        <tr r="I8" s="21"/>
      </tp>
      <tp>
        <v>104.3241</v>
        <stp/>
        <stp>FWRC1#USDJPY#Month Wise Rates#0#FwdOutrightAsk13</stp>
        <tr r="J8" s="21"/>
      </tp>
      <tp>
        <v>104.49209999999999</v>
        <stp/>
        <stp>FWRC1#USDJPY#Month Wise Rates#0#FwdOutrightAsk10</stp>
        <tr r="G8" s="21"/>
      </tp>
      <tp>
        <v>104.4166</v>
        <stp/>
        <stp>FWRC1#USDJPY#Month Wise Rates#0#FwdOutrightAsk11</stp>
        <tr r="H8" s="21"/>
      </tp>
      <tp>
        <v>104.13760000000001</v>
        <stp/>
        <stp>FWRC1#USDJPY#Month Wise Rates#0#FwdOutrightAsk18</stp>
        <tr r="O8" s="21"/>
      </tp>
      <tp>
        <v>0</v>
        <stp/>
        <stp>47#5#1#5629#USD1W.LIBOR#LTP</stp>
        <tr r="C36" s="23"/>
      </tp>
      <tp>
        <v>0</v>
        <stp/>
        <stp>47#5#1#5629#USD2W.LIBOR#LTP</stp>
        <tr r="D36" s="23"/>
      </tp>
      <tp t="s">
        <v>EURINRCOMP</v>
        <stp/>
        <stp>17#3#1#5949#EURINRCOMP#S#Descr.</stp>
        <tr r="A3" s="23"/>
        <tr r="A20" s="23"/>
      </tp>
      <tp>
        <v>76.905000000000001</v>
        <stp/>
        <stp>17#1#1#6069#USDINRCOMP#52WkHigh</stp>
        <tr r="I3" s="10"/>
      </tp>
      <tp>
        <v>76.772499999999994</v>
        <stp/>
        <stp>FWRC1#USDINR#Month Wise Rates#0#FwdOutrightAsk18</stp>
        <tr r="O8" s="15"/>
      </tp>
      <tp>
        <v>75.984999999999999</v>
        <stp/>
        <stp>FWRC1#USDINR#Month Wise Rates#0#FwdOutrightAsk15</stp>
        <tr r="L8" s="15"/>
      </tp>
      <tp>
        <v>75.710800000000006</v>
        <stp/>
        <stp>FWRC1#USDINR#Month Wise Rates#0#FwdOutrightAsk14</stp>
        <tr r="K8" s="15"/>
      </tp>
      <tp>
        <v>76.510900000000007</v>
        <stp/>
        <stp>FWRC1#USDINR#Month Wise Rates#0#FwdOutrightAsk17</stp>
        <tr r="N8" s="15"/>
      </tp>
      <tp>
        <v>76.265299999999996</v>
        <stp/>
        <stp>FWRC1#USDINR#Month Wise Rates#0#FwdOutrightAsk16</stp>
        <tr r="M8" s="15"/>
      </tp>
      <tp>
        <v>74.8386</v>
        <stp/>
        <stp>FWRC1#USDINR#Month Wise Rates#0#FwdOutrightAsk11</stp>
        <tr r="H8" s="15"/>
      </tp>
      <tp>
        <v>74.591899999999995</v>
        <stp/>
        <stp>FWRC1#USDINR#Month Wise Rates#0#FwdOutrightAsk10</stp>
        <tr r="G8" s="15"/>
      </tp>
      <tp>
        <v>75.472999999999999</v>
        <stp/>
        <stp>FWRC1#USDINR#Month Wise Rates#0#FwdOutrightAsk13</stp>
        <tr r="J8" s="15"/>
      </tp>
      <tp>
        <v>75.075599999999994</v>
        <stp/>
        <stp>FWRC1#USDINR#Month Wise Rates#0#FwdOutrightAsk12</stp>
        <tr r="I8" s="15"/>
      </tp>
      <tp>
        <v>-0.35</v>
        <stp/>
        <stp>17#3#1#5949#EURINRCOMP#%Chg</stp>
        <tr r="D4" s="10"/>
      </tp>
      <tp t="s">
        <v/>
        <stp/>
        <stp>FWRC1#USDINR#Month Wise Rates#0#FwdOutrightBid2</stp>
        <tr r="C7" s="15"/>
      </tp>
      <tp>
        <v>73.837000000000003</v>
        <stp/>
        <stp>FWRC1#USDINR#Month Wise Rates#0#FwdOutrightBid7</stp>
        <tr r="D7" s="15"/>
      </tp>
      <tp>
        <v>74.299899999999994</v>
        <stp/>
        <stp>FWRC1#USDINR#Month Wise Rates#0#FwdOutrightBid9</stp>
        <tr r="F7" s="15"/>
      </tp>
      <tp>
        <v>74.063999999999993</v>
        <stp/>
        <stp>FWRC1#USDINR#Month Wise Rates#0#FwdOutrightBid8</stp>
        <tr r="E7" s="15"/>
      </tp>
      <tp>
        <v>104.5384</v>
        <stp/>
        <stp>FWRC1#USDJPY#Month Wise Rates#0#FwdOutrightBid9</stp>
        <tr r="F7" s="21"/>
      </tp>
      <tp>
        <v>104.5792</v>
        <stp/>
        <stp>FWRC1#USDJPY#Month Wise Rates#0#FwdOutrightBid8</stp>
        <tr r="E7" s="21"/>
      </tp>
      <tp>
        <v>104.6144</v>
        <stp/>
        <stp>FWRC1#USDJPY#Month Wise Rates#0#FwdOutrightBid7</stp>
        <tr r="D7" s="21"/>
      </tp>
      <tp>
        <v>104.66249999999999</v>
        <stp/>
        <stp>FWRC1#USDJPY#Month Wise Rates#0#FwdOutrightBid2</stp>
        <tr r="C7" s="21"/>
      </tp>
      <tp>
        <v>16.14</v>
        <stp/>
        <stp>FWRC1#GBPUSD#Month Wise Rates#0#BidPrice13</stp>
        <tr r="J4" s="20"/>
        <tr r="M10" s="22"/>
      </tp>
      <tp>
        <v>14.36</v>
        <stp/>
        <stp>FWRC1#GBPUSD#Month Wise Rates#0#BidPrice12</stp>
        <tr r="M9" s="22"/>
        <tr r="I4" s="20"/>
      </tp>
      <tp>
        <v>13</v>
        <stp/>
        <stp>FWRC1#GBPUSD#Month Wise Rates#0#BidPrice11</stp>
        <tr r="H4" s="20"/>
        <tr r="M8" s="22"/>
      </tp>
      <tp>
        <v>11.4</v>
        <stp/>
        <stp>FWRC1#GBPUSD#Month Wise Rates#0#BidPrice10</stp>
        <tr r="M7" s="22"/>
        <tr r="G4" s="20"/>
      </tp>
      <tp>
        <v>24.1</v>
        <stp/>
        <stp>FWRC1#GBPUSD#Month Wise Rates#0#BidPrice17</stp>
        <tr r="M14" s="22"/>
        <tr r="N4" s="20"/>
      </tp>
      <tp>
        <v>21.94</v>
        <stp/>
        <stp>FWRC1#GBPUSD#Month Wise Rates#0#BidPrice16</stp>
        <tr r="M4" s="20"/>
        <tr r="M13" s="22"/>
      </tp>
      <tp>
        <v>20.12</v>
        <stp/>
        <stp>FWRC1#GBPUSD#Month Wise Rates#0#BidPrice15</stp>
        <tr r="L4" s="20"/>
        <tr r="M12" s="22"/>
      </tp>
      <tp>
        <v>17.73</v>
        <stp/>
        <stp>FWRC1#GBPUSD#Month Wise Rates#0#BidPrice14</stp>
        <tr r="M11" s="22"/>
        <tr r="K4" s="20"/>
      </tp>
      <tp>
        <v>26.1</v>
        <stp/>
        <stp>FWRC1#GBPUSD#Month Wise Rates#0#BidPrice18</stp>
        <tr r="M15" s="22"/>
        <tr r="O4" s="20"/>
      </tp>
      <tp>
        <v>28.1</v>
        <stp/>
        <stp>FWRC1#GBPUSD#Month Wise Rates#0#AskPrice18</stp>
        <tr r="O5" s="20"/>
        <tr r="N15" s="22"/>
      </tp>
      <tp>
        <v>13.5</v>
        <stp/>
        <stp>FWRC1#GBPUSD#Month Wise Rates#0#AskPrice11</stp>
        <tr r="H5" s="20"/>
        <tr r="N8" s="22"/>
      </tp>
      <tp>
        <v>11.9</v>
        <stp/>
        <stp>FWRC1#GBPUSD#Month Wise Rates#0#AskPrice10</stp>
        <tr r="G5" s="20"/>
        <tr r="N7" s="22"/>
      </tp>
      <tp>
        <v>17.649999999999999</v>
        <stp/>
        <stp>FWRC1#GBPUSD#Month Wise Rates#0#AskPrice13</stp>
        <tr r="J5" s="20"/>
        <tr r="N10" s="22"/>
      </tp>
      <tp>
        <v>15.24</v>
        <stp/>
        <stp>FWRC1#GBPUSD#Month Wise Rates#0#AskPrice12</stp>
        <tr r="N9" s="22"/>
        <tr r="I5" s="20"/>
      </tp>
      <tp>
        <v>22.27</v>
        <stp/>
        <stp>FWRC1#GBPUSD#Month Wise Rates#0#AskPrice15</stp>
        <tr r="N12" s="22"/>
        <tr r="L5" s="20"/>
      </tp>
      <tp>
        <v>19.420000000000002</v>
        <stp/>
        <stp>FWRC1#GBPUSD#Month Wise Rates#0#AskPrice14</stp>
        <tr r="N11" s="22"/>
        <tr r="K5" s="20"/>
      </tp>
      <tp>
        <v>25.7</v>
        <stp/>
        <stp>FWRC1#GBPUSD#Month Wise Rates#0#AskPrice17</stp>
        <tr r="N14" s="22"/>
        <tr r="N5" s="20"/>
      </tp>
      <tp>
        <v>23.85</v>
        <stp/>
        <stp>FWRC1#GBPUSD#Month Wise Rates#0#AskPrice16</stp>
        <tr r="N13" s="22"/>
        <tr r="M5" s="20"/>
      </tp>
      <tp>
        <v>337.0729</v>
        <stp/>
        <stp>FWRC1#EURINR#Month Wise Rates#0#AskPrice15</stp>
        <tr r="F12" s="22"/>
      </tp>
      <tp>
        <v>298.29239999999999</v>
        <stp/>
        <stp>FWRC1#EURINR#Month Wise Rates#0#AskPrice14</stp>
        <tr r="F11" s="22"/>
      </tp>
      <tp>
        <v>411.3227</v>
        <stp/>
        <stp>FWRC1#EURINR#Month Wise Rates#0#AskPrice17</stp>
        <tr r="F14" s="22"/>
      </tp>
      <tp>
        <v>378.74529999999999</v>
        <stp/>
        <stp>FWRC1#EURINR#Month Wise Rates#0#AskPrice16</stp>
        <tr r="F13" s="22"/>
      </tp>
      <tp t="s">
        <v/>
        <stp/>
        <stp>FWRC1#EURINR#Month Wise Rates#0#AskPrice11</stp>
        <tr r="F8" s="22"/>
      </tp>
      <tp>
        <v>142.4785</v>
        <stp/>
        <stp>FWRC1#EURINR#Month Wise Rates#0#AskPrice10</stp>
        <tr r="F7" s="22"/>
      </tp>
      <tp>
        <v>265.89580000000001</v>
        <stp/>
        <stp>FWRC1#EURINR#Month Wise Rates#0#AskPrice13</stp>
        <tr r="F10" s="22"/>
      </tp>
      <tp t="s">
        <v/>
        <stp/>
        <stp>FWRC1#EURINR#Month Wise Rates#0#AskPrice12</stp>
        <tr r="F9" s="22"/>
      </tp>
      <tp>
        <v>449.57990000000001</v>
        <stp/>
        <stp>FWRC1#EURINR#Month Wise Rates#0#AskPrice18</stp>
        <tr r="F15" s="22"/>
      </tp>
      <tp>
        <v>445.56290000000001</v>
        <stp/>
        <stp>FWRC1#EURINR#Month Wise Rates#0#BidPrice18</stp>
        <tr r="E15" s="22"/>
      </tp>
      <tp>
        <v>407.62220000000002</v>
        <stp/>
        <stp>FWRC1#EURINR#Month Wise Rates#0#BidPrice17</stp>
        <tr r="E14" s="22"/>
      </tp>
      <tp>
        <v>373.1465</v>
        <stp/>
        <stp>FWRC1#EURINR#Month Wise Rates#0#BidPrice16</stp>
        <tr r="E13" s="22"/>
      </tp>
      <tp>
        <v>333.39049999999997</v>
        <stp/>
        <stp>FWRC1#EURINR#Month Wise Rates#0#BidPrice15</stp>
        <tr r="E12" s="22"/>
      </tp>
      <tp>
        <v>294.84660000000002</v>
        <stp/>
        <stp>FWRC1#EURINR#Month Wise Rates#0#BidPrice14</stp>
        <tr r="E11" s="22"/>
      </tp>
      <tp>
        <v>261.47629999999998</v>
        <stp/>
        <stp>FWRC1#EURINR#Month Wise Rates#0#BidPrice13</stp>
        <tr r="E10" s="22"/>
      </tp>
      <tp t="s">
        <v/>
        <stp/>
        <stp>FWRC1#EURINR#Month Wise Rates#0#BidPrice12</stp>
        <tr r="E9" s="22"/>
      </tp>
      <tp t="s">
        <v/>
        <stp/>
        <stp>FWRC1#EURINR#Month Wise Rates#0#BidPrice11</stp>
        <tr r="E8" s="22"/>
      </tp>
      <tp>
        <v>140.25389999999999</v>
        <stp/>
        <stp>FWRC1#EURINR#Month Wise Rates#0#BidPrice10</stp>
        <tr r="E7" s="22"/>
      </tp>
      <tp>
        <v>80.337500000000006</v>
        <stp/>
        <stp>17#3#1#6056#CHFINRCOMP#Open</stp>
        <tr r="B6" s="23"/>
      </tp>
      <tp>
        <v>70.295000000000002</v>
        <stp/>
        <stp>17#3#1#5978#JPYINRCOMP#Open</stp>
        <tr r="B5" s="23"/>
        <tr r="E6" s="10"/>
      </tp>
      <tp t="s">
        <v>JAN-2021</v>
        <stp/>
        <stp>FWRC1#JPYINR#Month End Rates#0#S#Desc.8</stp>
        <tr r="H1" s="18"/>
      </tp>
      <tp t="s">
        <v>FEB-2021</v>
        <stp/>
        <stp>FWRC1#JPYINR#Month End Rates#0#S#Desc.9</stp>
        <tr r="I1" s="18"/>
      </tp>
      <tp t="s">
        <v>SEP-2020</v>
        <stp/>
        <stp>FWRC1#JPYINR#Month End Rates#0#S#Desc.4</stp>
        <tr r="D1" s="18"/>
      </tp>
      <tp t="s">
        <v>OCT-2020</v>
        <stp/>
        <stp>FWRC1#JPYINR#Month End Rates#0#S#Desc.5</stp>
        <tr r="E1" s="18"/>
      </tp>
      <tp t="s">
        <v>NOV-2020</v>
        <stp/>
        <stp>FWRC1#JPYINR#Month End Rates#0#S#Desc.6</stp>
        <tr r="F1" s="18"/>
      </tp>
      <tp t="s">
        <v>DEC-2020</v>
        <stp/>
        <stp>FWRC1#JPYINR#Month End Rates#0#S#Desc.7</stp>
        <tr r="G1" s="18"/>
      </tp>
      <tp t="s">
        <v>CASH/SPOT</v>
        <stp/>
        <stp>FWRC1#JPYINR#Month End Rates#0#S#Desc.2</stp>
        <tr r="C1" s="18"/>
      </tp>
      <tp>
        <v>27</v>
        <stp/>
        <stp>FWRC1#USDINR#Month End Rates#0#Close5</stp>
        <tr r="D19" s="23"/>
      </tp>
      <tp>
        <v>4.75</v>
        <stp/>
        <stp>FWRC1#USDINR#Month End Rates#0#Close4</stp>
        <tr r="C19" s="23"/>
      </tp>
      <tp>
        <v>76.5</v>
        <stp/>
        <stp>FWRC1#USDINR#Month End Rates#0#Close7</stp>
        <tr r="F19" s="23"/>
      </tp>
      <tp>
        <v>49.75</v>
        <stp/>
        <stp>FWRC1#USDINR#Month End Rates#0#Close6</stp>
        <tr r="E19" s="23"/>
      </tp>
      <tp>
        <v>73.59</v>
        <stp/>
        <stp>FWRC1#USDINR#Month End Rates#0#Close0</stp>
        <tr r="B19" s="23"/>
        <tr r="K19" s="23"/>
        <tr r="D19" s="23"/>
        <tr r="J19" s="23"/>
        <tr r="I19" s="23"/>
        <tr r="E19" s="23"/>
        <tr r="H19" s="23"/>
        <tr r="C19" s="23"/>
        <tr r="G19" s="23"/>
        <tr r="F19" s="23"/>
        <tr r="N19" s="23"/>
        <tr r="M19" s="23"/>
        <tr r="L19" s="23"/>
      </tp>
      <tp>
        <v>124</v>
        <stp/>
        <stp>FWRC1#USDINR#Month End Rates#0#Close9</stp>
        <tr r="H19" s="23"/>
      </tp>
      <tp>
        <v>101</v>
        <stp/>
        <stp>FWRC1#USDINR#Month End Rates#0#Close8</stp>
        <tr r="G19" s="23"/>
      </tp>
      <tp>
        <v>315.75</v>
        <stp/>
        <stp>FWRC1#USDINR#Month Wise Rates#0#BidPrice18</stp>
        <tr r="C15" s="22"/>
        <tr r="O4" s="15"/>
      </tp>
      <tp>
        <v>289.59379999999999</v>
        <stp/>
        <stp>FWRC1#USDINR#Month Wise Rates#0#BidPrice17</stp>
        <tr r="N4" s="15"/>
        <tr r="C14" s="22"/>
      </tp>
      <tp>
        <v>265.0333</v>
        <stp/>
        <stp>FWRC1#USDINR#Month Wise Rates#0#BidPrice16</stp>
        <tr r="M4" s="15"/>
        <tr r="C13" s="22"/>
      </tp>
      <tp>
        <v>237</v>
        <stp/>
        <stp>FWRC1#USDINR#Month Wise Rates#0#BidPrice15</stp>
        <tr r="L4" s="15"/>
        <tr r="C12" s="22"/>
      </tp>
      <tp>
        <v>209.5806</v>
        <stp/>
        <stp>FWRC1#USDINR#Month Wise Rates#0#BidPrice14</stp>
        <tr r="C11" s="22"/>
        <tr r="K4" s="15"/>
      </tp>
      <tp>
        <v>185.8</v>
        <stp/>
        <stp>FWRC1#USDINR#Month Wise Rates#0#BidPrice13</stp>
        <tr r="J4" s="15"/>
        <tr r="C10" s="22"/>
      </tp>
      <tp>
        <v>146.06059999999999</v>
        <stp/>
        <stp>FWRC1#USDINR#Month Wise Rates#0#BidPrice12</stp>
        <tr r="I4" s="15"/>
        <tr r="C9" s="22"/>
      </tp>
      <tp>
        <v>122.3571</v>
        <stp/>
        <stp>FWRC1#USDINR#Month Wise Rates#0#BidPrice11</stp>
        <tr r="C8" s="22"/>
        <tr r="H4" s="15"/>
      </tp>
      <tp>
        <v>97.620699999999999</v>
        <stp/>
        <stp>FWRC1#USDINR#Month Wise Rates#0#BidPrice10</stp>
        <tr r="G4" s="15"/>
        <tr r="C7" s="22"/>
      </tp>
      <tp>
        <v>238.5</v>
        <stp/>
        <stp>FWRC1#USDINR#Month Wise Rates#0#AskPrice15</stp>
        <tr r="D12" s="22"/>
        <tr r="L5" s="15"/>
      </tp>
      <tp>
        <v>211.0806</v>
        <stp/>
        <stp>FWRC1#USDINR#Month Wise Rates#0#AskPrice14</stp>
        <tr r="D11" s="22"/>
        <tr r="K5" s="15"/>
      </tp>
      <tp>
        <v>291.09379999999999</v>
        <stp/>
        <stp>FWRC1#USDINR#Month Wise Rates#0#AskPrice17</stp>
        <tr r="N5" s="15"/>
        <tr r="D14" s="22"/>
      </tp>
      <tp>
        <v>266.5333</v>
        <stp/>
        <stp>FWRC1#USDINR#Month Wise Rates#0#AskPrice16</stp>
        <tr r="M5" s="15"/>
        <tr r="D13" s="22"/>
      </tp>
      <tp>
        <v>123.8571</v>
        <stp/>
        <stp>FWRC1#USDINR#Month Wise Rates#0#AskPrice11</stp>
        <tr r="D8" s="22"/>
        <tr r="H5" s="15"/>
      </tp>
      <tp>
        <v>99.189700000000002</v>
        <stp/>
        <stp>FWRC1#USDINR#Month Wise Rates#0#AskPrice10</stp>
        <tr r="G5" s="15"/>
        <tr r="D7" s="22"/>
      </tp>
      <tp>
        <v>187.3</v>
        <stp/>
        <stp>FWRC1#USDINR#Month Wise Rates#0#AskPrice13</stp>
        <tr r="D10" s="22"/>
        <tr r="J5" s="15"/>
      </tp>
      <tp>
        <v>147.56059999999999</v>
        <stp/>
        <stp>FWRC1#USDINR#Month Wise Rates#0#AskPrice12</stp>
        <tr r="I5" s="15"/>
        <tr r="D9" s="22"/>
      </tp>
      <tp>
        <v>317.25</v>
        <stp/>
        <stp>FWRC1#USDINR#Month Wise Rates#0#AskPrice18</stp>
        <tr r="O5" s="15"/>
        <tr r="D15" s="22"/>
      </tp>
      <tp>
        <v>34206.7117</v>
        <stp/>
        <stp>FWRC1#JPYINR#Month Wise Rates#0#BidPrice18</stp>
        <tr r="I15" s="22"/>
      </tp>
      <tp>
        <v>31240.266599999999</v>
        <stp/>
        <stp>FWRC1#JPYINR#Month Wise Rates#0#BidPrice17</stp>
        <tr r="I14" s="22"/>
      </tp>
      <tp>
        <v>28705.0026</v>
        <stp/>
        <stp>FWRC1#JPYINR#Month Wise Rates#0#BidPrice16</stp>
        <tr r="I13" s="22"/>
      </tp>
      <tp>
        <v>25583.998599999999</v>
        <stp/>
        <stp>FWRC1#JPYINR#Month Wise Rates#0#BidPrice15</stp>
        <tr r="I12" s="22"/>
      </tp>
      <tp>
        <v>22638.402099999999</v>
        <stp/>
        <stp>FWRC1#JPYINR#Month Wise Rates#0#BidPrice14</stp>
        <tr r="I11" s="22"/>
      </tp>
      <tp>
        <v>20104.8593</v>
        <stp/>
        <stp>FWRC1#JPYINR#Month Wise Rates#0#BidPrice13</stp>
        <tr r="I10" s="22"/>
      </tp>
      <tp>
        <v>15918.105299999999</v>
        <stp/>
        <stp>FWRC1#JPYINR#Month Wise Rates#0#BidPrice12</stp>
        <tr r="I9" s="22"/>
      </tp>
      <tp>
        <v>13388.477699999999</v>
        <stp/>
        <stp>FWRC1#JPYINR#Month Wise Rates#0#BidPrice11</stp>
        <tr r="I8" s="22"/>
      </tp>
      <tp>
        <v>10736.3573</v>
        <stp/>
        <stp>FWRC1#JPYINR#Month Wise Rates#0#BidPrice10</stp>
        <tr r="I7" s="22"/>
      </tp>
      <tp>
        <v>25870.826799999999</v>
        <stp/>
        <stp>FWRC1#JPYINR#Month Wise Rates#0#AskPrice15</stp>
        <tr r="J12" s="22"/>
      </tp>
      <tp>
        <v>22924.1872</v>
        <stp/>
        <stp>FWRC1#JPYINR#Month Wise Rates#0#AskPrice14</stp>
        <tr r="J11" s="22"/>
      </tp>
      <tp>
        <v>31632.564999999999</v>
        <stp/>
        <stp>FWRC1#JPYINR#Month Wise Rates#0#AskPrice17</stp>
        <tr r="J14" s="22"/>
      </tp>
      <tp>
        <v>28955.700799999999</v>
        <stp/>
        <stp>FWRC1#JPYINR#Month Wise Rates#0#AskPrice16</stp>
        <tr r="J13" s="22"/>
      </tp>
      <tp>
        <v>13636.0119</v>
        <stp/>
        <stp>FWRC1#JPYINR#Month Wise Rates#0#AskPrice11</stp>
        <tr r="J8" s="22"/>
      </tp>
      <tp>
        <v>10993.9426</v>
        <stp/>
        <stp>FWRC1#JPYINR#Month Wise Rates#0#AskPrice10</stp>
        <tr r="J7" s="22"/>
      </tp>
      <tp>
        <v>20388.256000000001</v>
        <stp/>
        <stp>FWRC1#JPYINR#Month Wise Rates#0#AskPrice13</stp>
        <tr r="J10" s="22"/>
      </tp>
      <tp>
        <v>16165.9018</v>
        <stp/>
        <stp>FWRC1#JPYINR#Month Wise Rates#0#AskPrice12</stp>
        <tr r="J9" s="22"/>
      </tp>
      <tp>
        <v>34494.104500000001</v>
        <stp/>
        <stp>FWRC1#JPYINR#Month Wise Rates#0#AskPrice18</stp>
        <tr r="J15" s="22"/>
      </tp>
      <tp>
        <v>94.192499999999995</v>
        <stp/>
        <stp>17#3#1#6031#GBPINRCOMP#Open</stp>
        <tr r="B4" s="23"/>
        <tr r="E5" s="10"/>
      </tp>
      <tp>
        <v>53.047499999999999</v>
        <stp/>
        <stp>17#3#1#5903#AUDINRCOMP#Open</stp>
        <tr r="B8" s="23"/>
      </tp>
      <tp>
        <v>0.8357</v>
        <stp/>
        <stp>FWRC1#EURUSD#Month Wise Rates#0#Bid%18</stp>
        <tr r="O10" s="19"/>
      </tp>
      <tp>
        <v>0.8397</v>
        <stp/>
        <stp>FWRC1#EURUSD#Month Wise Rates#0#Bid%12</stp>
        <tr r="I10" s="19"/>
      </tp>
      <tp>
        <v>0.83520000000000005</v>
        <stp/>
        <stp>FWRC1#EURUSD#Month Wise Rates#0#Bid%13</stp>
        <tr r="J10" s="19"/>
      </tp>
      <tp>
        <v>0.87290000000000001</v>
        <stp/>
        <stp>FWRC1#EURUSD#Month Wise Rates#0#Bid%10</stp>
        <tr r="G10" s="19"/>
      </tp>
      <tp>
        <v>0.85199999999999998</v>
        <stp/>
        <stp>FWRC1#EURUSD#Month Wise Rates#0#Bid%11</stp>
        <tr r="H10" s="19"/>
      </tp>
      <tp>
        <v>0.83479999999999999</v>
        <stp/>
        <stp>FWRC1#EURUSD#Month Wise Rates#0#Bid%16</stp>
        <tr r="M10" s="19"/>
      </tp>
      <tp>
        <v>0.83560000000000001</v>
        <stp/>
        <stp>FWRC1#EURUSD#Month Wise Rates#0#Bid%17</stp>
        <tr r="N10" s="19"/>
      </tp>
      <tp>
        <v>0.83330000000000004</v>
        <stp/>
        <stp>FWRC1#EURUSD#Month Wise Rates#0#Bid%14</stp>
        <tr r="K10" s="19"/>
      </tp>
      <tp>
        <v>0.83109999999999995</v>
        <stp/>
        <stp>FWRC1#EURUSD#Month Wise Rates#0#Bid%15</stp>
        <tr r="L10" s="19"/>
      </tp>
      <tp>
        <v>0.87919999999999998</v>
        <stp/>
        <stp>FWRC1#EURUSD#Month Wise Rates#0#Ask%10</stp>
        <tr r="G11" s="19"/>
      </tp>
      <tp>
        <v>0.86040000000000005</v>
        <stp/>
        <stp>FWRC1#EURUSD#Month Wise Rates#0#Ask%11</stp>
        <tr r="H11" s="19"/>
      </tp>
      <tp>
        <v>0.85019999999999996</v>
        <stp/>
        <stp>FWRC1#EURUSD#Month Wise Rates#0#Ask%12</stp>
        <tr r="I11" s="19"/>
      </tp>
      <tp>
        <v>0.85140000000000005</v>
        <stp/>
        <stp>FWRC1#EURUSD#Month Wise Rates#0#Ask%13</stp>
        <tr r="J11" s="19"/>
      </tp>
      <tp>
        <v>0.86160000000000003</v>
        <stp/>
        <stp>FWRC1#EURUSD#Month Wise Rates#0#Ask%14</stp>
        <tr r="K11" s="19"/>
      </tp>
      <tp>
        <v>0.85960000000000003</v>
        <stp/>
        <stp>FWRC1#EURUSD#Month Wise Rates#0#Ask%15</stp>
        <tr r="L11" s="19"/>
      </tp>
      <tp>
        <v>0.84050000000000002</v>
        <stp/>
        <stp>FWRC1#EURUSD#Month Wise Rates#0#Ask%16</stp>
        <tr r="M11" s="19"/>
      </tp>
      <tp>
        <v>0.84689999999999999</v>
        <stp/>
        <stp>FWRC1#EURUSD#Month Wise Rates#0#Ask%17</stp>
        <tr r="N11" s="19"/>
      </tp>
      <tp>
        <v>0.84640000000000004</v>
        <stp/>
        <stp>FWRC1#EURUSD#Month Wise Rates#0#Ask%18</stp>
        <tr r="O11" s="19"/>
      </tp>
      <tp>
        <v>55.225000000000001</v>
        <stp/>
        <stp>17#3#1#5921#CADINRCOMP#Open</stp>
        <tr r="B7" s="23"/>
      </tp>
      <tp>
        <v>53.952500000000001</v>
        <stp/>
        <stp>17#3#1#6041#SGDINRCOMP#High</stp>
        <tr r="C9" s="23"/>
      </tp>
      <tp>
        <v>94.26</v>
        <stp/>
        <stp>17#3#1#6031#GBPINRCOMP#Close</stp>
        <tr r="H5" s="10"/>
      </tp>
      <tp>
        <v>1.1748000000000001</v>
        <stp/>
        <stp>FWRC1#EURUSD#Month Wise Rates#0#FwdOutrightAsk8</stp>
        <tr r="E8" s="19"/>
      </tp>
      <tp>
        <v>1.1752</v>
        <stp/>
        <stp>FWRC1#EURUSD#Month Wise Rates#0#FwdOutrightAsk9</stp>
        <tr r="F8" s="19"/>
      </tp>
      <tp>
        <v>1.1737</v>
        <stp/>
        <stp>FWRC1#EURUSD#Month Wise Rates#0#FwdOutrightAsk7</stp>
        <tr r="D8" s="19"/>
      </tp>
      <tp>
        <v>1.1733</v>
        <stp/>
        <stp>FWRC1#EURUSD#Month Wise Rates#0#FwdOutrightAsk2</stp>
        <tr r="C8" s="19"/>
      </tp>
      <tp>
        <v>73.62</v>
        <stp/>
        <stp>17#1#1#6069#USDINRCOMP#High</stp>
        <tr r="C2" s="23"/>
        <tr r="F3" s="10"/>
      </tp>
      <tp>
        <v>86.462500000000006</v>
        <stp/>
        <stp>17#3#1#5949#EURINRCOMP#Open</stp>
        <tr r="E4" s="10"/>
        <tr r="B3" s="23"/>
      </tp>
      <tp>
        <v>57.44</v>
        <stp/>
        <stp>FWRC1#EURUSD#Month Wise Rates#0#Close13</stp>
        <tr r="I27" s="23"/>
      </tp>
      <tp>
        <v>48.84</v>
        <stp/>
        <stp>FWRC1#EURUSD#Month Wise Rates#0#Close12</stp>
        <tr r="H27" s="23"/>
      </tp>
      <tp>
        <v>41.89</v>
        <stp/>
        <stp>FWRC1#EURUSD#Month Wise Rates#0#Close11</stp>
        <tr r="G27" s="23"/>
      </tp>
      <tp>
        <v>34.5</v>
        <stp/>
        <stp>FWRC1#EURUSD#Month Wise Rates#0#Close10</stp>
        <tr r="F27" s="23"/>
      </tp>
      <tp>
        <v>89.69</v>
        <stp/>
        <stp>FWRC1#EURUSD#Month Wise Rates#0#Close17</stp>
        <tr r="M27" s="23"/>
      </tp>
      <tp>
        <v>81.819999999999993</v>
        <stp/>
        <stp>FWRC1#EURUSD#Month Wise Rates#0#Close16</stp>
        <tr r="L27" s="23"/>
      </tp>
      <tp>
        <v>72.91</v>
        <stp/>
        <stp>FWRC1#EURUSD#Month Wise Rates#0#Close15</stp>
        <tr r="K27" s="23"/>
      </tp>
      <tp>
        <v>64.8</v>
        <stp/>
        <stp>FWRC1#EURUSD#Month Wise Rates#0#Close14</stp>
        <tr r="J27" s="23"/>
      </tp>
      <tp>
        <v>98.02</v>
        <stp/>
        <stp>FWRC1#EURUSD#Month Wise Rates#0#Close18</stp>
        <tr r="N27" s="23"/>
      </tp>
      <tp t="s">
        <v>CASH/SPOT</v>
        <stp/>
        <stp>FWRC1#GBPINR#Month End Rates#0#S#Desc.2</stp>
        <tr r="C1" s="17"/>
      </tp>
      <tp t="s">
        <v>OCT-2020</v>
        <stp/>
        <stp>FWRC1#GBPINR#Month End Rates#0#S#Desc.5</stp>
        <tr r="E1" s="17"/>
      </tp>
      <tp t="s">
        <v>SEP-2020</v>
        <stp/>
        <stp>FWRC1#GBPINR#Month End Rates#0#S#Desc.4</stp>
        <tr r="D1" s="17"/>
      </tp>
      <tp t="s">
        <v>DEC-2020</v>
        <stp/>
        <stp>FWRC1#GBPINR#Month End Rates#0#S#Desc.7</stp>
        <tr r="G1" s="17"/>
      </tp>
      <tp t="s">
        <v>NOV-2020</v>
        <stp/>
        <stp>FWRC1#GBPINR#Month End Rates#0#S#Desc.6</stp>
        <tr r="F1" s="17"/>
      </tp>
      <tp t="s">
        <v>FEB-2021</v>
        <stp/>
        <stp>FWRC1#GBPINR#Month End Rates#0#S#Desc.9</stp>
        <tr r="I1" s="17"/>
      </tp>
      <tp t="s">
        <v>JAN-2021</v>
        <stp/>
        <stp>FWRC1#GBPINR#Month End Rates#0#S#Desc.8</stp>
        <tr r="H1" s="17"/>
      </tp>
      <tp>
        <v>1.2806</v>
        <stp/>
        <stp>FWRC1#GBPUSD#Month Wise Rates#0#FwdOutrightAsk8</stp>
        <tr r="E8" s="20"/>
      </tp>
      <tp>
        <v>1.2807999999999999</v>
        <stp/>
        <stp>FWRC1#GBPUSD#Month Wise Rates#0#FwdOutrightAsk9</stp>
        <tr r="F8" s="20"/>
      </tp>
      <tp>
        <v>1.2804</v>
        <stp/>
        <stp>FWRC1#GBPUSD#Month Wise Rates#0#FwdOutrightAsk7</stp>
        <tr r="D8" s="20"/>
      </tp>
      <tp>
        <v>1.2801</v>
        <stp/>
        <stp>FWRC1#GBPUSD#Month Wise Rates#0#FwdOutrightAsk2</stp>
        <tr r="C8" s="20"/>
      </tp>
      <tp>
        <v>-59.24</v>
        <stp/>
        <stp>FWRC1#USDJPY#Month Wise Rates#0#BidPrice18</stp>
        <tr r="O4" s="21"/>
        <tr r="O15" s="22"/>
      </tp>
      <tp>
        <v>-39.71</v>
        <stp/>
        <stp>FWRC1#USDJPY#Month Wise Rates#0#BidPrice14</stp>
        <tr r="K4" s="21"/>
        <tr r="O11" s="22"/>
      </tp>
      <tp>
        <v>-45.36</v>
        <stp/>
        <stp>FWRC1#USDJPY#Month Wise Rates#0#BidPrice15</stp>
        <tr r="O12" s="22"/>
        <tr r="L4" s="21"/>
      </tp>
      <tp>
        <v>-49.81</v>
        <stp/>
        <stp>FWRC1#USDJPY#Month Wise Rates#0#BidPrice16</stp>
        <tr r="M4" s="21"/>
        <tr r="O13" s="22"/>
      </tp>
      <tp>
        <v>-55.3</v>
        <stp/>
        <stp>FWRC1#USDJPY#Month Wise Rates#0#BidPrice17</stp>
        <tr r="O14" s="22"/>
        <tr r="N4" s="21"/>
      </tp>
      <tp>
        <v>-22.29</v>
        <stp/>
        <stp>FWRC1#USDJPY#Month Wise Rates#0#BidPrice10</stp>
        <tr r="G4" s="21"/>
        <tr r="O7" s="22"/>
      </tp>
      <tp>
        <v>-26.14</v>
        <stp/>
        <stp>FWRC1#USDJPY#Month Wise Rates#0#BidPrice11</stp>
        <tr r="O8" s="22"/>
        <tr r="H4" s="21"/>
      </tp>
      <tp>
        <v>-30.27</v>
        <stp/>
        <stp>FWRC1#USDJPY#Month Wise Rates#0#BidPrice12</stp>
        <tr r="O9" s="22"/>
        <tr r="I4" s="21"/>
      </tp>
      <tp>
        <v>-36.549999999999997</v>
        <stp/>
        <stp>FWRC1#USDJPY#Month Wise Rates#0#BidPrice13</stp>
        <tr r="J4" s="21"/>
        <tr r="O10" s="22"/>
      </tp>
      <tp>
        <v>-48.31</v>
        <stp/>
        <stp>FWRC1#USDJPY#Month Wise Rates#0#AskPrice16</stp>
        <tr r="M5" s="21"/>
        <tr r="P13" s="22"/>
      </tp>
      <tp>
        <v>-51.8</v>
        <stp/>
        <stp>FWRC1#USDJPY#Month Wise Rates#0#AskPrice17</stp>
        <tr r="N5" s="21"/>
        <tr r="P14" s="22"/>
      </tp>
      <tp>
        <v>-37.71</v>
        <stp/>
        <stp>FWRC1#USDJPY#Month Wise Rates#0#AskPrice14</stp>
        <tr r="K5" s="21"/>
        <tr r="P11" s="22"/>
      </tp>
      <tp>
        <v>-43.36</v>
        <stp/>
        <stp>FWRC1#USDJPY#Month Wise Rates#0#AskPrice15</stp>
        <tr r="P12" s="22"/>
        <tr r="L5" s="21"/>
      </tp>
      <tp>
        <v>-28.77</v>
        <stp/>
        <stp>FWRC1#USDJPY#Month Wise Rates#0#AskPrice12</stp>
        <tr r="P9" s="22"/>
        <tr r="I5" s="21"/>
      </tp>
      <tp>
        <v>-34.19</v>
        <stp/>
        <stp>FWRC1#USDJPY#Month Wise Rates#0#AskPrice13</stp>
        <tr r="J5" s="21"/>
        <tr r="P10" s="22"/>
      </tp>
      <tp>
        <v>-20.79</v>
        <stp/>
        <stp>FWRC1#USDJPY#Month Wise Rates#0#AskPrice10</stp>
        <tr r="G5" s="21"/>
        <tr r="P7" s="22"/>
      </tp>
      <tp>
        <v>-24.64</v>
        <stp/>
        <stp>FWRC1#USDJPY#Month Wise Rates#0#AskPrice11</stp>
        <tr r="P8" s="22"/>
        <tr r="H5" s="21"/>
      </tp>
      <tp>
        <v>-57.24</v>
        <stp/>
        <stp>FWRC1#USDJPY#Month Wise Rates#0#AskPrice18</stp>
        <tr r="P15" s="22"/>
        <tr r="O5" s="21"/>
      </tp>
      <tp>
        <v>13</v>
        <stp/>
        <stp>FWRC1#GBPUSD#Month Wise Rates#0#Close11</stp>
        <tr r="G28" s="23"/>
      </tp>
      <tp>
        <v>11.4</v>
        <stp/>
        <stp>FWRC1#GBPUSD#Month Wise Rates#0#Close10</stp>
        <tr r="F28" s="23"/>
      </tp>
      <tp>
        <v>16.14</v>
        <stp/>
        <stp>FWRC1#GBPUSD#Month Wise Rates#0#Close13</stp>
        <tr r="I28" s="23"/>
      </tp>
      <tp>
        <v>14.36</v>
        <stp/>
        <stp>FWRC1#GBPUSD#Month Wise Rates#0#Close12</stp>
        <tr r="H28" s="23"/>
      </tp>
      <tp>
        <v>20.12</v>
        <stp/>
        <stp>FWRC1#GBPUSD#Month Wise Rates#0#Close15</stp>
        <tr r="K28" s="23"/>
      </tp>
      <tp>
        <v>17.73</v>
        <stp/>
        <stp>FWRC1#GBPUSD#Month Wise Rates#0#Close14</stp>
        <tr r="J28" s="23"/>
      </tp>
      <tp>
        <v>24.1</v>
        <stp/>
        <stp>FWRC1#GBPUSD#Month Wise Rates#0#Close17</stp>
        <tr r="M28" s="23"/>
      </tp>
      <tp>
        <v>21.94</v>
        <stp/>
        <stp>FWRC1#GBPUSD#Month Wise Rates#0#Close16</stp>
        <tr r="L28" s="23"/>
      </tp>
      <tp>
        <v>26.1</v>
        <stp/>
        <stp>FWRC1#GBPUSD#Month Wise Rates#0#Close18</stp>
        <tr r="N28" s="23"/>
      </tp>
      <tp t="s">
        <v>31-Aug-2021</v>
        <stp/>
        <stp>FWRC1#USDINR#Month End Rates#0#S#MonthEndDate15</stp>
        <tr r="O2" s="14"/>
      </tp>
      <tp t="s">
        <v>30-Jul-2021</v>
        <stp/>
        <stp>FWRC1#USDINR#Month End Rates#0#S#MonthEndDate14</stp>
        <tr r="N2" s="14"/>
      </tp>
      <tp t="s">
        <v>30-Apr-2021</v>
        <stp/>
        <stp>FWRC1#USDINR#Month End Rates#0#S#MonthEndDate11</stp>
        <tr r="K2" s="14"/>
      </tp>
      <tp t="s">
        <v>31-Mar-2021</v>
        <stp/>
        <stp>FWRC1#USDINR#Month End Rates#0#S#MonthEndDate10</stp>
        <tr r="J2" s="14"/>
      </tp>
      <tp t="s">
        <v>30-Jun-2021</v>
        <stp/>
        <stp>FWRC1#USDINR#Month End Rates#0#S#MonthEndDate13</stp>
        <tr r="M2" s="14"/>
      </tp>
      <tp t="s">
        <v>31-May-2021</v>
        <stp/>
        <stp>FWRC1#USDINR#Month End Rates#0#S#MonthEndDate12</stp>
        <tr r="L2" s="14"/>
      </tp>
      <tp t="s">
        <v>CASH/SPOT</v>
        <stp/>
        <stp>FWRC1#EURINR#Month End Rates#0#S#Desc.2</stp>
        <tr r="C1" s="16"/>
      </tp>
      <tp t="s">
        <v>DEC-2020</v>
        <stp/>
        <stp>FWRC1#EURINR#Month End Rates#0#S#Desc.7</stp>
        <tr r="G1" s="16"/>
      </tp>
      <tp t="s">
        <v>NOV-2020</v>
        <stp/>
        <stp>FWRC1#EURINR#Month End Rates#0#S#Desc.6</stp>
        <tr r="F1" s="16"/>
      </tp>
      <tp t="s">
        <v>OCT-2020</v>
        <stp/>
        <stp>FWRC1#EURINR#Month End Rates#0#S#Desc.5</stp>
        <tr r="E1" s="16"/>
      </tp>
      <tp t="s">
        <v>SEP-2020</v>
        <stp/>
        <stp>FWRC1#EURINR#Month End Rates#0#S#Desc.4</stp>
        <tr r="D1" s="16"/>
      </tp>
      <tp t="s">
        <v>FEB-2021</v>
        <stp/>
        <stp>FWRC1#EURINR#Month End Rates#0#S#Desc.9</stp>
        <tr r="I1" s="16"/>
      </tp>
      <tp t="s">
        <v>JAN-2021</v>
        <stp/>
        <stp>FWRC1#EURINR#Month End Rates#0#S#Desc.8</stp>
        <tr r="H1" s="16"/>
      </tp>
      <tp>
        <v>53.082500000000003</v>
        <stp/>
        <stp>17#3#1#5903#AUDINRCOMP#High</stp>
        <tr r="C8" s="23"/>
      </tp>
      <tp>
        <v>-0.54690000000000005</v>
        <stp/>
        <stp>FWRC1#USDJPY#Month Wise Rates#0#Ask%18</stp>
        <tr r="O11" s="21"/>
      </tp>
      <tp>
        <v>-0.54079999999999995</v>
        <stp/>
        <stp>FWRC1#USDJPY#Month Wise Rates#0#Ask%17</stp>
        <tr r="N11" s="21"/>
      </tp>
      <tp>
        <v>-0.5524</v>
        <stp/>
        <stp>FWRC1#USDJPY#Month Wise Rates#0#Ask%16</stp>
        <tr r="M11" s="21"/>
      </tp>
      <tp>
        <v>-0.55389999999999995</v>
        <stp/>
        <stp>FWRC1#USDJPY#Month Wise Rates#0#Ask%15</stp>
        <tr r="L11" s="21"/>
      </tp>
      <tp>
        <v>-0.54339999999999999</v>
        <stp/>
        <stp>FWRC1#USDJPY#Month Wise Rates#0#Ask%14</stp>
        <tr r="K11" s="21"/>
      </tp>
      <tp>
        <v>-0.55720000000000003</v>
        <stp/>
        <stp>FWRC1#USDJPY#Month Wise Rates#0#Ask%13</stp>
        <tr r="J11" s="21"/>
      </tp>
      <tp>
        <v>-0.55430000000000001</v>
        <stp/>
        <stp>FWRC1#USDJPY#Month Wise Rates#0#Ask%12</stp>
        <tr r="I11" s="21"/>
      </tp>
      <tp>
        <v>-0.56159999999999999</v>
        <stp/>
        <stp>FWRC1#USDJPY#Month Wise Rates#0#Ask%11</stp>
        <tr r="H11" s="21"/>
      </tp>
      <tp>
        <v>-0.58950000000000002</v>
        <stp/>
        <stp>FWRC1#USDJPY#Month Wise Rates#0#Ask%10</stp>
        <tr r="G11" s="21"/>
      </tp>
      <tp>
        <v>-0.57940000000000003</v>
        <stp/>
        <stp>FWRC1#USDJPY#Month Wise Rates#0#Bid%15</stp>
        <tr r="L10" s="21"/>
      </tp>
      <tp>
        <v>-0.57220000000000004</v>
        <stp/>
        <stp>FWRC1#USDJPY#Month Wise Rates#0#Bid%14</stp>
        <tr r="K10" s="21"/>
      </tp>
      <tp>
        <v>-0.57740000000000002</v>
        <stp/>
        <stp>FWRC1#USDJPY#Month Wise Rates#0#Bid%17</stp>
        <tr r="N10" s="21"/>
      </tp>
      <tp>
        <v>-0.56950000000000001</v>
        <stp/>
        <stp>FWRC1#USDJPY#Month Wise Rates#0#Bid%16</stp>
        <tr r="M10" s="21"/>
      </tp>
      <tp>
        <v>-0.5958</v>
        <stp/>
        <stp>FWRC1#USDJPY#Month Wise Rates#0#Bid%11</stp>
        <tr r="H10" s="21"/>
      </tp>
      <tp>
        <v>-0.63180000000000003</v>
        <stp/>
        <stp>FWRC1#USDJPY#Month Wise Rates#0#Bid%10</stp>
        <tr r="G10" s="21"/>
      </tp>
      <tp>
        <v>-0.59560000000000002</v>
        <stp/>
        <stp>FWRC1#USDJPY#Month Wise Rates#0#Bid%13</stp>
        <tr r="J10" s="21"/>
      </tp>
      <tp>
        <v>-0.58320000000000005</v>
        <stp/>
        <stp>FWRC1#USDJPY#Month Wise Rates#0#Bid%12</stp>
        <tr r="I10" s="21"/>
      </tp>
      <tp>
        <v>-0.56579999999999997</v>
        <stp/>
        <stp>FWRC1#USDJPY#Month Wise Rates#0#Bid%18</stp>
        <tr r="O10" s="21"/>
      </tp>
      <tp>
        <v>53.93</v>
        <stp/>
        <stp>17#3#1#6041#SGDINRCOMP#Open</stp>
        <tr r="B9" s="23"/>
      </tp>
      <tp>
        <v>55.252499999999998</v>
        <stp/>
        <stp>17#3#1#5921#CADINRCOMP#High</stp>
        <tr r="C7" s="23"/>
      </tp>
      <tp>
        <v>42424.477500000001</v>
        <stp/>
        <stp>FWRC1#GBPINR#Month Wise Rates#0#BidPrice18</stp>
        <tr r="G15" s="22"/>
      </tp>
      <tp>
        <v>38915.951000000001</v>
        <stp/>
        <stp>FWRC1#GBPINR#Month Wise Rates#0#BidPrice17</stp>
        <tr r="G14" s="22"/>
      </tp>
      <tp>
        <v>35604.6682</v>
        <stp/>
        <stp>FWRC1#GBPINR#Month Wise Rates#0#BidPrice16</stp>
        <tr r="G13" s="22"/>
      </tp>
      <tp>
        <v>31858.767</v>
        <stp/>
        <stp>FWRC1#GBPINR#Month Wise Rates#0#BidPrice15</stp>
        <tr r="G12" s="22"/>
      </tp>
      <tp>
        <v>28170.321899999999</v>
        <stp/>
        <stp>FWRC1#GBPINR#Month Wise Rates#0#BidPrice14</stp>
        <tr r="G11" s="22"/>
      </tp>
      <tp>
        <v>24996.972099999999</v>
        <stp/>
        <stp>FWRC1#GBPINR#Month Wise Rates#0#BidPrice13</stp>
        <tr r="G10" s="22"/>
      </tp>
      <tp>
        <v>19772.0229</v>
        <stp/>
        <stp>FWRC1#GBPINR#Month Wise Rates#0#BidPrice12</stp>
        <tr r="G9" s="22"/>
      </tp>
      <tp>
        <v>16634.285199999998</v>
        <stp/>
        <stp>FWRC1#GBPINR#Month Wise Rates#0#BidPrice11</stp>
        <tr r="G8" s="22"/>
      </tp>
      <tp>
        <v>13344.528200000001</v>
        <stp/>
        <stp>FWRC1#GBPINR#Month Wise Rates#0#BidPrice10</stp>
        <tr r="G7" s="22"/>
      </tp>
      <tp>
        <v>32116.802</v>
        <stp/>
        <stp>FWRC1#GBPINR#Month Wise Rates#0#AskPrice15</stp>
        <tr r="H12" s="22"/>
      </tp>
      <tp>
        <v>28491.786899999999</v>
        <stp/>
        <stp>FWRC1#GBPINR#Month Wise Rates#0#AskPrice14</stp>
        <tr r="H11" s="22"/>
      </tp>
      <tp>
        <v>39235.361400000002</v>
        <stp/>
        <stp>FWRC1#GBPINR#Month Wise Rates#0#AskPrice17</stp>
        <tr r="H14" s="22"/>
      </tp>
      <tp>
        <v>35924.5504</v>
        <stp/>
        <stp>FWRC1#GBPINR#Month Wise Rates#0#AskPrice16</stp>
        <tr r="H13" s="22"/>
      </tp>
      <tp>
        <v>16870.222399999999</v>
        <stp/>
        <stp>FWRC1#GBPINR#Month Wise Rates#0#AskPrice11</stp>
        <tr r="H8" s="22"/>
      </tp>
      <tp>
        <v>13587.8928</v>
        <stp/>
        <stp>FWRC1#GBPINR#Month Wise Rates#0#AskPrice10</stp>
        <tr r="H7" s="22"/>
      </tp>
      <tp>
        <v>25307.060399999998</v>
        <stp/>
        <stp>FWRC1#GBPINR#Month Wise Rates#0#AskPrice13</stp>
        <tr r="H10" s="22"/>
      </tp>
      <tp>
        <v>20037.8115</v>
        <stp/>
        <stp>FWRC1#GBPINR#Month Wise Rates#0#AskPrice12</stp>
        <tr r="H9" s="22"/>
      </tp>
      <tp>
        <v>42777.362699999998</v>
        <stp/>
        <stp>FWRC1#GBPINR#Month Wise Rates#0#AskPrice18</stp>
        <tr r="H15" s="22"/>
      </tp>
      <tp>
        <v>1.2804</v>
        <stp/>
        <stp>FWRC1#GBPUSD#Month Wise Rates#0#FwdOutrightBid8</stp>
        <tr r="E7" s="20"/>
      </tp>
      <tp>
        <v>1.2806</v>
        <stp/>
        <stp>FWRC1#GBPUSD#Month Wise Rates#0#FwdOutrightBid9</stp>
        <tr r="F7" s="20"/>
      </tp>
      <tp>
        <v>1.2802</v>
        <stp/>
        <stp>FWRC1#GBPUSD#Month Wise Rates#0#FwdOutrightBid7</stp>
        <tr r="D7" s="20"/>
      </tp>
      <tp>
        <v>1.28</v>
        <stp/>
        <stp>FWRC1#GBPUSD#Month Wise Rates#0#FwdOutrightBid2</stp>
        <tr r="C7" s="20"/>
      </tp>
      <tp>
        <v>86.3125</v>
        <stp/>
        <stp>FWRC1#EURINR#Month End Rates#0#Close0</stp>
        <tr r="E20" s="23"/>
        <tr r="I20" s="23"/>
        <tr r="H20" s="23"/>
        <tr r="M20" s="23"/>
        <tr r="K20" s="23"/>
        <tr r="J20" s="23"/>
        <tr r="N20" s="23"/>
        <tr r="G20" s="23"/>
        <tr r="L20" s="23"/>
        <tr r="F20" s="23"/>
        <tr r="B20" s="23"/>
        <tr r="C20" s="23"/>
        <tr r="D20" s="23"/>
      </tp>
      <tp>
        <v>111.7225</v>
        <stp/>
        <stp>FWRC1#EURINR#Month End Rates#0#Close7</stp>
        <tr r="F20" s="23"/>
      </tp>
      <tp>
        <v>70.09</v>
        <stp/>
        <stp>FWRC1#EURINR#Month End Rates#0#Close6</stp>
        <tr r="E20" s="23"/>
      </tp>
      <tp>
        <v>37.35</v>
        <stp/>
        <stp>FWRC1#EURINR#Month End Rates#0#Close5</stp>
        <tr r="D20" s="23"/>
      </tp>
      <tp>
        <v>5.3425000000000002</v>
        <stp/>
        <stp>FWRC1#EURINR#Month End Rates#0#Close4</stp>
        <tr r="C20" s="23"/>
      </tp>
      <tp>
        <v>178.08</v>
        <stp/>
        <stp>FWRC1#EURINR#Month End Rates#0#Close9</stp>
        <tr r="H20" s="23"/>
      </tp>
      <tp>
        <v>145.10499999999999</v>
        <stp/>
        <stp>FWRC1#EURINR#Month End Rates#0#Close8</stp>
        <tr r="G20" s="23"/>
      </tp>
      <tp>
        <v>99.27</v>
        <stp/>
        <stp>FWRC1#EURUSD#Month Wise Rates#0#AskPrice18</stp>
        <tr r="O5" s="19"/>
        <tr r="L15" s="22"/>
      </tp>
      <tp>
        <v>42.3</v>
        <stp/>
        <stp>FWRC1#EURUSD#Month Wise Rates#0#AskPrice11</stp>
        <tr r="L8" s="22"/>
        <tr r="H5" s="19"/>
      </tp>
      <tp>
        <v>34.75</v>
        <stp/>
        <stp>FWRC1#EURUSD#Month Wise Rates#0#AskPrice10</stp>
        <tr r="L7" s="22"/>
        <tr r="G5" s="19"/>
      </tp>
      <tp>
        <v>58.55</v>
        <stp/>
        <stp>FWRC1#EURUSD#Month Wise Rates#0#AskPrice13</stp>
        <tr r="J5" s="19"/>
        <tr r="L10" s="22"/>
      </tp>
      <tp>
        <v>49.45</v>
        <stp/>
        <stp>FWRC1#EURUSD#Month Wise Rates#0#AskPrice12</stp>
        <tr r="L9" s="22"/>
        <tr r="I5" s="19"/>
      </tp>
      <tp>
        <v>75.41</v>
        <stp/>
        <stp>FWRC1#EURUSD#Month Wise Rates#0#AskPrice15</stp>
        <tr r="L5" s="19"/>
        <tr r="L12" s="22"/>
      </tp>
      <tp>
        <v>67</v>
        <stp/>
        <stp>FWRC1#EURUSD#Month Wise Rates#0#AskPrice14</stp>
        <tr r="L11" s="22"/>
        <tr r="K5" s="19"/>
      </tp>
      <tp>
        <v>90.9</v>
        <stp/>
        <stp>FWRC1#EURUSD#Month Wise Rates#0#AskPrice17</stp>
        <tr r="N5" s="19"/>
        <tr r="L14" s="22"/>
      </tp>
      <tp>
        <v>82.38</v>
        <stp/>
        <stp>FWRC1#EURUSD#Month Wise Rates#0#AskPrice16</stp>
        <tr r="M5" s="19"/>
        <tr r="L13" s="22"/>
      </tp>
      <tp>
        <v>57.44</v>
        <stp/>
        <stp>FWRC1#EURUSD#Month Wise Rates#0#BidPrice13</stp>
        <tr r="K10" s="22"/>
        <tr r="J4" s="19"/>
      </tp>
      <tp>
        <v>48.84</v>
        <stp/>
        <stp>FWRC1#EURUSD#Month Wise Rates#0#BidPrice12</stp>
        <tr r="I4" s="19"/>
        <tr r="K9" s="22"/>
      </tp>
      <tp>
        <v>41.89</v>
        <stp/>
        <stp>FWRC1#EURUSD#Month Wise Rates#0#BidPrice11</stp>
        <tr r="H4" s="19"/>
        <tr r="K8" s="22"/>
      </tp>
      <tp>
        <v>34.5</v>
        <stp/>
        <stp>FWRC1#EURUSD#Month Wise Rates#0#BidPrice10</stp>
        <tr r="G4" s="19"/>
        <tr r="K7" s="22"/>
      </tp>
      <tp>
        <v>89.69</v>
        <stp/>
        <stp>FWRC1#EURUSD#Month Wise Rates#0#BidPrice17</stp>
        <tr r="N4" s="19"/>
        <tr r="K14" s="22"/>
      </tp>
      <tp>
        <v>81.819999999999993</v>
        <stp/>
        <stp>FWRC1#EURUSD#Month Wise Rates#0#BidPrice16</stp>
        <tr r="K13" s="22"/>
        <tr r="M4" s="19"/>
      </tp>
      <tp>
        <v>72.91</v>
        <stp/>
        <stp>FWRC1#EURUSD#Month Wise Rates#0#BidPrice15</stp>
        <tr r="K12" s="22"/>
        <tr r="L4" s="19"/>
      </tp>
      <tp>
        <v>64.8</v>
        <stp/>
        <stp>FWRC1#EURUSD#Month Wise Rates#0#BidPrice14</stp>
        <tr r="K4" s="19"/>
        <tr r="K11" s="22"/>
      </tp>
      <tp>
        <v>98.02</v>
        <stp/>
        <stp>FWRC1#EURUSD#Month Wise Rates#0#BidPrice18</stp>
        <tr r="K15" s="22"/>
        <tr r="O4" s="19"/>
      </tp>
      <tp>
        <v>73.484999999999999</v>
        <stp/>
        <stp>17#1#1#6069#USDINRCOMP#Open</stp>
        <tr r="E3" s="10"/>
        <tr r="B2" s="23"/>
      </tp>
      <tp>
        <v>86.495000000000005</v>
        <stp/>
        <stp>17#3#1#5949#EURINRCOMP#High</stp>
        <tr r="C3" s="23"/>
        <tr r="F4" s="10"/>
      </tp>
      <tp>
        <v>1.1744000000000001</v>
        <stp/>
        <stp>FWRC1#EURUSD#Month Wise Rates#0#FwdOutrightBid8</stp>
        <tr r="E7" s="19"/>
      </tp>
      <tp>
        <v>1.1751</v>
        <stp/>
        <stp>FWRC1#EURUSD#Month Wise Rates#0#FwdOutrightBid9</stp>
        <tr r="F7" s="19"/>
      </tp>
      <tp>
        <v>1.1737</v>
        <stp/>
        <stp>FWRC1#EURUSD#Month Wise Rates#0#FwdOutrightBid7</stp>
        <tr r="D7" s="19"/>
      </tp>
      <tp>
        <v>1.1729000000000001</v>
        <stp/>
        <stp>FWRC1#EURUSD#Month Wise Rates#0#FwdOutrightBid2</stp>
        <tr r="C7" s="19"/>
      </tp>
      <tp>
        <v>94.197500000000005</v>
        <stp/>
        <stp>FWRC1#GBPINR#Month End Rates#0#Close0</stp>
        <tr r="L21" s="23"/>
        <tr r="K21" s="23"/>
        <tr r="I21" s="23"/>
        <tr r="B21" s="23"/>
        <tr r="F21" s="23"/>
        <tr r="E21" s="23"/>
        <tr r="N21" s="23"/>
        <tr r="G21" s="23"/>
        <tr r="J21" s="23"/>
        <tr r="M21" s="23"/>
        <tr r="H21" s="23"/>
        <tr r="D21" s="23"/>
        <tr r="C21" s="23"/>
      </tp>
      <tp>
        <v>3530.875</v>
        <stp/>
        <stp>FWRC1#GBPINR#Month End Rates#0#Close5</stp>
        <tr r="D21" s="23"/>
      </tp>
      <tp>
        <v>505.66750000000002</v>
        <stp/>
        <stp>FWRC1#GBPINR#Month End Rates#0#Close4</stp>
        <tr r="C21" s="23"/>
      </tp>
      <tp>
        <v>10632.225</v>
        <stp/>
        <stp>FWRC1#GBPINR#Month End Rates#0#Close7</stp>
        <tr r="F21" s="23"/>
      </tp>
      <tp>
        <v>6575.0375000000004</v>
        <stp/>
        <stp>FWRC1#GBPINR#Month End Rates#0#Close6</stp>
        <tr r="E21" s="23"/>
      </tp>
      <tp>
        <v>16931.842499999999</v>
        <stp/>
        <stp>FWRC1#GBPINR#Month End Rates#0#Close9</stp>
        <tr r="H21" s="23"/>
      </tp>
      <tp>
        <v>13807.545</v>
        <stp/>
        <stp>FWRC1#GBPINR#Month End Rates#0#Close8</stp>
        <tr r="G21" s="23"/>
      </tp>
      <tp t="s">
        <v>31-May-2021</v>
        <stp/>
        <stp>FWRC1#JPYINR#Month End Rates#0#S#PillarDate12</stp>
        <tr r="L2" s="18"/>
      </tp>
      <tp t="s">
        <v>30-Jun-2021</v>
        <stp/>
        <stp>FWRC1#JPYINR#Month End Rates#0#S#PillarDate13</stp>
        <tr r="M2" s="18"/>
      </tp>
      <tp t="s">
        <v>31-Mar-2021</v>
        <stp/>
        <stp>FWRC1#JPYINR#Month End Rates#0#S#PillarDate10</stp>
        <tr r="J2" s="18"/>
      </tp>
      <tp t="s">
        <v>30-Apr-2021</v>
        <stp/>
        <stp>FWRC1#JPYINR#Month End Rates#0#S#PillarDate11</stp>
        <tr r="K2" s="18"/>
      </tp>
      <tp t="s">
        <v>30-Jul-2021</v>
        <stp/>
        <stp>FWRC1#JPYINR#Month End Rates#0#S#PillarDate14</stp>
        <tr r="N2" s="18"/>
      </tp>
      <tp t="s">
        <v>31-Aug-2021</v>
        <stp/>
        <stp>FWRC1#JPYINR#Month End Rates#0#S#PillarDate15</stp>
        <tr r="O2" s="18"/>
      </tp>
      <tp>
        <v>73.400000000000006</v>
        <stp/>
        <stp>17#1#1#6069#USDINRCOMP#Close</stp>
        <tr r="H3" s="10"/>
      </tp>
      <tp>
        <v>43443.192000000003</v>
        <stp/>
        <stp>FWRC1#CHFINR#Month Wise Rates#0#Close18</stp>
        <tr r="N23" s="23"/>
      </tp>
      <tp>
        <v>13831.2852</v>
        <stp/>
        <stp>FWRC1#CHFINR#Month Wise Rates#0#Close10</stp>
        <tr r="F23" s="23"/>
      </tp>
      <tp>
        <v>17246.472399999999</v>
        <stp/>
        <stp>FWRC1#CHFINR#Month Wise Rates#0#Close11</stp>
        <tr r="G23" s="23"/>
      </tp>
      <tp>
        <v>20498.7081</v>
        <stp/>
        <stp>FWRC1#CHFINR#Month Wise Rates#0#Close12</stp>
        <tr r="H23" s="23"/>
      </tp>
      <tp>
        <v>25500.480800000001</v>
        <stp/>
        <stp>FWRC1#CHFINR#Month Wise Rates#0#Close13</stp>
        <tr r="I23" s="23"/>
      </tp>
      <tp>
        <v>28794.169300000001</v>
        <stp/>
        <stp>FWRC1#CHFINR#Month Wise Rates#0#Close14</stp>
        <tr r="J23" s="23"/>
      </tp>
      <tp>
        <v>32770.707000000002</v>
        <stp/>
        <stp>FWRC1#CHFINR#Month Wise Rates#0#Close15</stp>
        <tr r="K23" s="23"/>
      </tp>
      <tp>
        <v>35964.771099999998</v>
        <stp/>
        <stp>FWRC1#CHFINR#Month Wise Rates#0#Close16</stp>
        <tr r="L23" s="23"/>
      </tp>
      <tp>
        <v>39261.138400000003</v>
        <stp/>
        <stp>FWRC1#CHFINR#Month Wise Rates#0#Close17</stp>
        <tr r="M23" s="23"/>
      </tp>
      <tp t="s">
        <v>31-Aug-2021</v>
        <stp/>
        <stp>FWRC1#EURINR#Month End Rates#0#S#MonthEndDate15</stp>
        <tr r="O2" s="16"/>
      </tp>
      <tp t="s">
        <v>30-Jul-2021</v>
        <stp/>
        <stp>FWRC1#EURINR#Month End Rates#0#S#MonthEndDate14</stp>
        <tr r="N2" s="16"/>
      </tp>
      <tp t="s">
        <v>30-Apr-2021</v>
        <stp/>
        <stp>FWRC1#EURINR#Month End Rates#0#S#MonthEndDate11</stp>
        <tr r="K2" s="16"/>
      </tp>
      <tp t="s">
        <v>31-Mar-2021</v>
        <stp/>
        <stp>FWRC1#EURINR#Month End Rates#0#S#MonthEndDate10</stp>
        <tr r="J2" s="16"/>
      </tp>
      <tp t="s">
        <v>30-Jun-2021</v>
        <stp/>
        <stp>FWRC1#EURINR#Month End Rates#0#S#MonthEndDate13</stp>
        <tr r="M2" s="16"/>
      </tp>
      <tp t="s">
        <v>31-May-2021</v>
        <stp/>
        <stp>FWRC1#EURINR#Month End Rates#0#S#MonthEndDate12</stp>
        <tr r="L2" s="16"/>
      </tp>
      <tp t="s">
        <v>CASH/SPOT</v>
        <stp/>
        <stp>FWRC1#USDINR#Month End Rates#0#S#Desc.2</stp>
        <tr r="C1" s="14"/>
      </tp>
      <tp t="s">
        <v>DEC-2020</v>
        <stp/>
        <stp>FWRC1#USDINR#Month End Rates#0#S#Desc.7</stp>
        <tr r="G1" s="14"/>
      </tp>
      <tp t="s">
        <v>NOV-2020</v>
        <stp/>
        <stp>FWRC1#USDINR#Month End Rates#0#S#Desc.6</stp>
        <tr r="F1" s="14"/>
      </tp>
      <tp t="s">
        <v>OCT-2020</v>
        <stp/>
        <stp>FWRC1#USDINR#Month End Rates#0#S#Desc.5</stp>
        <tr r="E1" s="14"/>
      </tp>
      <tp t="s">
        <v>SEP-2020</v>
        <stp/>
        <stp>FWRC1#USDINR#Month End Rates#0#S#Desc.4</stp>
        <tr r="D1" s="14"/>
      </tp>
      <tp t="s">
        <v>FEB-2021</v>
        <stp/>
        <stp>FWRC1#USDINR#Month End Rates#0#S#Desc.9</stp>
        <tr r="I1" s="14"/>
      </tp>
      <tp t="s">
        <v>JAN-2021</v>
        <stp/>
        <stp>FWRC1#USDINR#Month End Rates#0#S#Desc.8</stp>
        <tr r="H1" s="14"/>
      </tp>
      <tp>
        <v>4.3109999999999999</v>
        <stp/>
        <stp>FWRC1#USDINR#Month Wise Rates#0#Ask%18</stp>
        <tr r="O11" s="15"/>
      </tp>
      <tp>
        <v>4.3262</v>
        <stp/>
        <stp>FWRC1#USDINR#Month Wise Rates#0#Ask%14</stp>
        <tr r="K11" s="15"/>
      </tp>
      <tp>
        <v>4.3331</v>
        <stp/>
        <stp>FWRC1#USDINR#Month Wise Rates#0#Ask%15</stp>
        <tr r="L11" s="15"/>
      </tp>
      <tp>
        <v>4.3343999999999996</v>
        <stp/>
        <stp>FWRC1#USDINR#Month Wise Rates#0#Ask%16</stp>
        <tr r="M11" s="15"/>
      </tp>
      <tp>
        <v>4.3228</v>
        <stp/>
        <stp>FWRC1#USDINR#Month Wise Rates#0#Ask%17</stp>
        <tr r="N11" s="15"/>
      </tp>
      <tp>
        <v>3.9998</v>
        <stp/>
        <stp>FWRC1#USDINR#Month Wise Rates#0#Ask%10</stp>
        <tr r="G11" s="15"/>
      </tp>
      <tp>
        <v>4.0152000000000001</v>
        <stp/>
        <stp>FWRC1#USDINR#Month Wise Rates#0#Ask%11</stp>
        <tr r="H11" s="15"/>
      </tp>
      <tp>
        <v>4.0435999999999996</v>
        <stp/>
        <stp>FWRC1#USDINR#Month Wise Rates#0#Ask%12</stp>
        <tr r="I11" s="15"/>
      </tp>
      <tp>
        <v>4.3411</v>
        <stp/>
        <stp>FWRC1#USDINR#Month Wise Rates#0#Ask%13</stp>
        <tr r="J11" s="15"/>
      </tp>
      <tp>
        <v>4.3094000000000001</v>
        <stp/>
        <stp>FWRC1#USDINR#Month Wise Rates#0#Bid%16</stp>
        <tr r="M10" s="15"/>
      </tp>
      <tp>
        <v>4.2999000000000001</v>
        <stp/>
        <stp>FWRC1#USDINR#Month Wise Rates#0#Bid%17</stp>
        <tr r="N10" s="15"/>
      </tp>
      <tp>
        <v>4.2949000000000002</v>
        <stp/>
        <stp>FWRC1#USDINR#Month Wise Rates#0#Bid%14</stp>
        <tr r="K10" s="15"/>
      </tp>
      <tp>
        <v>4.3052999999999999</v>
        <stp/>
        <stp>FWRC1#USDINR#Month Wise Rates#0#Bid%15</stp>
        <tr r="L10" s="15"/>
      </tp>
      <tp>
        <v>4.0019</v>
        <stp/>
        <stp>FWRC1#USDINR#Month Wise Rates#0#Bid%12</stp>
        <tr r="I10" s="15"/>
      </tp>
      <tp>
        <v>4.3056999999999999</v>
        <stp/>
        <stp>FWRC1#USDINR#Month Wise Rates#0#Bid%13</stp>
        <tr r="J10" s="15"/>
      </tp>
      <tp>
        <v>3.9359999999999999</v>
        <stp/>
        <stp>FWRC1#USDINR#Month Wise Rates#0#Bid%10</stp>
        <tr r="G10" s="15"/>
      </tp>
      <tp>
        <v>3.9660000000000002</v>
        <stp/>
        <stp>FWRC1#USDINR#Month Wise Rates#0#Bid%11</stp>
        <tr r="H10" s="15"/>
      </tp>
      <tp>
        <v>4.2900999999999998</v>
        <stp/>
        <stp>FWRC1#USDINR#Month Wise Rates#0#Bid%18</stp>
        <tr r="O10" s="15"/>
      </tp>
      <tp>
        <v>70.52</v>
        <stp/>
        <stp>17#3#1#5978#JPYINRCOMP#Close</stp>
        <tr r="H6" s="10"/>
      </tp>
      <tp>
        <v>11103.7225</v>
        <stp/>
        <stp>FWRC1#JPYINR#Month End Rates#0#Close8</stp>
        <tr r="G22" s="23"/>
      </tp>
      <tp>
        <v>13642.272499999999</v>
        <stp/>
        <stp>FWRC1#JPYINR#Month End Rates#0#Close9</stp>
        <tr r="H22" s="23"/>
      </tp>
      <tp>
        <v>70.31</v>
        <stp/>
        <stp>FWRC1#JPYINR#Month End Rates#0#Close0</stp>
        <tr r="E22" s="23"/>
        <tr r="L22" s="23"/>
        <tr r="N22" s="23"/>
        <tr r="K22" s="23"/>
        <tr r="M22" s="23"/>
        <tr r="I22" s="23"/>
        <tr r="B22" s="23"/>
        <tr r="D22" s="23"/>
        <tr r="G22" s="23"/>
        <tr r="J22" s="23"/>
        <tr r="F22" s="23"/>
        <tr r="C22" s="23"/>
        <tr r="H22" s="23"/>
      </tp>
      <tp>
        <v>409.28500000000003</v>
        <stp/>
        <stp>FWRC1#JPYINR#Month End Rates#0#Close4</stp>
        <tr r="C22" s="23"/>
      </tp>
      <tp>
        <v>2829.3474999999999</v>
        <stp/>
        <stp>FWRC1#JPYINR#Month End Rates#0#Close5</stp>
        <tr r="D22" s="23"/>
      </tp>
      <tp>
        <v>5327.34</v>
        <stp/>
        <stp>FWRC1#JPYINR#Month End Rates#0#Close6</stp>
        <tr r="E22" s="23"/>
      </tp>
      <tp>
        <v>8560.8875000000007</v>
        <stp/>
        <stp>FWRC1#JPYINR#Month End Rates#0#Close7</stp>
        <tr r="F22" s="23"/>
      </tp>
      <tp t="s">
        <v>30-Jun-2021</v>
        <stp/>
        <stp>FWRC1#GBPINR#Month End Rates#0#S#PillarDate13</stp>
        <tr r="M2" s="17"/>
      </tp>
      <tp t="s">
        <v>31-May-2021</v>
        <stp/>
        <stp>FWRC1#GBPINR#Month End Rates#0#S#PillarDate12</stp>
        <tr r="L2" s="17"/>
      </tp>
      <tp t="s">
        <v>30-Apr-2021</v>
        <stp/>
        <stp>FWRC1#GBPINR#Month End Rates#0#S#PillarDate11</stp>
        <tr r="K2" s="17"/>
      </tp>
      <tp t="s">
        <v>31-Mar-2021</v>
        <stp/>
        <stp>FWRC1#GBPINR#Month End Rates#0#S#PillarDate10</stp>
        <tr r="J2" s="17"/>
      </tp>
      <tp t="s">
        <v>31-Aug-2021</v>
        <stp/>
        <stp>FWRC1#GBPINR#Month End Rates#0#S#PillarDate15</stp>
        <tr r="O2" s="17"/>
      </tp>
      <tp t="s">
        <v>30-Jul-2021</v>
        <stp/>
        <stp>FWRC1#GBPINR#Month End Rates#0#S#PillarDate14</stp>
        <tr r="N2" s="17"/>
      </tp>
      <tp>
        <v>104.5509</v>
        <stp/>
        <stp>FWRC1#USDJPY#Month Wise Rates#0#FwdOutrightAsk9</stp>
        <tr r="F8" s="21"/>
      </tp>
      <tp>
        <v>104.58710000000001</v>
        <stp/>
        <stp>FWRC1#USDJPY#Month Wise Rates#0#FwdOutrightAsk8</stp>
        <tr r="E8" s="21"/>
      </tp>
      <tp>
        <v>104.6204</v>
        <stp/>
        <stp>FWRC1#USDJPY#Month Wise Rates#0#FwdOutrightAsk7</stp>
        <tr r="D8" s="21"/>
      </tp>
      <tp>
        <v>104.6683</v>
        <stp/>
        <stp>FWRC1#USDJPY#Month Wise Rates#0#FwdOutrightAsk2</stp>
        <tr r="C8" s="21"/>
      </tp>
      <tp t="s">
        <v/>
        <stp/>
        <stp>FWRC1#USDINR#Month Wise Rates#0#FwdOutrightAsk2</stp>
        <tr r="C8" s="15"/>
      </tp>
      <tp>
        <v>73.858000000000004</v>
        <stp/>
        <stp>FWRC1#USDINR#Month Wise Rates#0#FwdOutrightAsk7</stp>
        <tr r="D8" s="15"/>
      </tp>
      <tp>
        <v>74.3279</v>
        <stp/>
        <stp>FWRC1#USDINR#Month Wise Rates#0#FwdOutrightAsk9</stp>
        <tr r="F8" s="15"/>
      </tp>
      <tp>
        <v>74.084000000000003</v>
        <stp/>
        <stp>FWRC1#USDINR#Month Wise Rates#0#FwdOutrightAsk8</stp>
        <tr r="E8" s="15"/>
      </tp>
      <tp>
        <v>80.367500000000007</v>
        <stp/>
        <stp>17#3#1#6056#CHFINRCOMP#High</stp>
        <tr r="C6" s="23"/>
      </tp>
      <tp>
        <v>70.332499999999996</v>
        <stp/>
        <stp>17#3#1#5978#JPYINRCOMP#High</stp>
        <tr r="F6" s="10"/>
        <tr r="C5" s="23"/>
      </tp>
      <tp>
        <v>-22.29</v>
        <stp/>
        <stp>FWRC1#USDJPY#Month Wise Rates#0#Close10</stp>
        <tr r="F29" s="23"/>
      </tp>
      <tp>
        <v>-26.14</v>
        <stp/>
        <stp>FWRC1#USDJPY#Month Wise Rates#0#Close11</stp>
        <tr r="G29" s="23"/>
      </tp>
      <tp>
        <v>-30.27</v>
        <stp/>
        <stp>FWRC1#USDJPY#Month Wise Rates#0#Close12</stp>
        <tr r="H29" s="23"/>
      </tp>
      <tp>
        <v>-36.549999999999997</v>
        <stp/>
        <stp>FWRC1#USDJPY#Month Wise Rates#0#Close13</stp>
        <tr r="I29" s="23"/>
      </tp>
      <tp>
        <v>-39.71</v>
        <stp/>
        <stp>FWRC1#USDJPY#Month Wise Rates#0#Close14</stp>
        <tr r="J29" s="23"/>
      </tp>
      <tp>
        <v>-45.36</v>
        <stp/>
        <stp>FWRC1#USDJPY#Month Wise Rates#0#Close15</stp>
        <tr r="K29" s="23"/>
      </tp>
      <tp>
        <v>-49.81</v>
        <stp/>
        <stp>FWRC1#USDJPY#Month Wise Rates#0#Close16</stp>
        <tr r="L29" s="23"/>
      </tp>
      <tp>
        <v>-55.3</v>
        <stp/>
        <stp>FWRC1#USDJPY#Month Wise Rates#0#Close17</stp>
        <tr r="M29" s="23"/>
      </tp>
      <tp>
        <v>-59.24</v>
        <stp/>
        <stp>FWRC1#USDJPY#Month Wise Rates#0#Close18</stp>
        <tr r="N29" s="23"/>
      </tp>
      <tp>
        <v>23344.841499999999</v>
        <stp/>
        <stp>FWRC1#SGDINR#Month Wise Rates#0#Close18</stp>
        <tr r="N26" s="23"/>
      </tp>
      <tp>
        <v>7199.1968999999999</v>
        <stp/>
        <stp>FWRC1#SGDINR#Month Wise Rates#0#Close10</stp>
        <tr r="F26" s="23"/>
      </tp>
      <tp>
        <v>8997.8804999999993</v>
        <stp/>
        <stp>FWRC1#SGDINR#Month Wise Rates#0#Close11</stp>
        <tr r="G26" s="23"/>
      </tp>
      <tp>
        <v>10857.95</v>
        <stp/>
        <stp>FWRC1#SGDINR#Month Wise Rates#0#Close12</stp>
        <tr r="H26" s="23"/>
      </tp>
      <tp>
        <v>13812.8572</v>
        <stp/>
        <stp>FWRC1#SGDINR#Month Wise Rates#0#Close13</stp>
        <tr r="I26" s="23"/>
      </tp>
      <tp>
        <v>15585.8714</v>
        <stp/>
        <stp>FWRC1#SGDINR#Month Wise Rates#0#Close14</stp>
        <tr r="J26" s="23"/>
      </tp>
      <tp>
        <v>17600.122200000002</v>
        <stp/>
        <stp>FWRC1#SGDINR#Month Wise Rates#0#Close15</stp>
        <tr r="K26" s="23"/>
      </tp>
      <tp>
        <v>19721.606299999999</v>
        <stp/>
        <stp>FWRC1#SGDINR#Month Wise Rates#0#Close16</stp>
        <tr r="L26" s="23"/>
      </tp>
      <tp>
        <v>21570.935399999998</v>
        <stp/>
        <stp>FWRC1#SGDINR#Month Wise Rates#0#Close17</stp>
        <tr r="M26" s="23"/>
      </tp>
      <tp>
        <v>23832.4061</v>
        <stp/>
        <stp>FWRC1#CADINR#Month Wise Rates#0#Close18</stp>
        <tr r="N24" s="23"/>
      </tp>
      <tp>
        <v>23006.130700000002</v>
        <stp/>
        <stp>FWRC1#AUDINR#Month Wise Rates#0#Close18</stp>
        <tr r="N25" s="23"/>
      </tp>
      <tp>
        <v>10760.7781</v>
        <stp/>
        <stp>FWRC1#AUDINR#Month Wise Rates#0#Close12</stp>
        <tr r="H25" s="23"/>
      </tp>
      <tp>
        <v>7617.5553</v>
        <stp/>
        <stp>FWRC1#CADINR#Month Wise Rates#0#Close10</stp>
        <tr r="F24" s="23"/>
      </tp>
      <tp>
        <v>13648.155000000001</v>
        <stp/>
        <stp>FWRC1#AUDINR#Month Wise Rates#0#Close13</stp>
        <tr r="I25" s="23"/>
      </tp>
      <tp>
        <v>9468.8269999999993</v>
        <stp/>
        <stp>FWRC1#CADINR#Month Wise Rates#0#Close11</stp>
        <tr r="G24" s="23"/>
      </tp>
      <tp>
        <v>7213.3896000000004</v>
        <stp/>
        <stp>FWRC1#AUDINR#Month Wise Rates#0#Close10</stp>
        <tr r="F25" s="23"/>
      </tp>
      <tp>
        <v>11223.6597</v>
        <stp/>
        <stp>FWRC1#CADINR#Month Wise Rates#0#Close12</stp>
        <tr r="H24" s="23"/>
      </tp>
      <tp>
        <v>9030.2855999999992</v>
        <stp/>
        <stp>FWRC1#AUDINR#Month Wise Rates#0#Close11</stp>
        <tr r="G25" s="23"/>
      </tp>
      <tp>
        <v>14262.4267</v>
        <stp/>
        <stp>FWRC1#CADINR#Month Wise Rates#0#Close13</stp>
        <tr r="I24" s="23"/>
      </tp>
      <tp>
        <v>19372.396700000001</v>
        <stp/>
        <stp>FWRC1#AUDINR#Month Wise Rates#0#Close16</stp>
        <tr r="L25" s="23"/>
      </tp>
      <tp>
        <v>15871.9017</v>
        <stp/>
        <stp>FWRC1#CADINR#Month Wise Rates#0#Close14</stp>
        <tr r="J24" s="23"/>
      </tp>
      <tp>
        <v>21135.313099999999</v>
        <stp/>
        <stp>FWRC1#AUDINR#Month Wise Rates#0#Close17</stp>
        <tr r="M25" s="23"/>
      </tp>
      <tp>
        <v>18038.911499999998</v>
        <stp/>
        <stp>FWRC1#CADINR#Month Wise Rates#0#Close15</stp>
        <tr r="K24" s="23"/>
      </tp>
      <tp>
        <v>15344.6332</v>
        <stp/>
        <stp>FWRC1#AUDINR#Month Wise Rates#0#Close14</stp>
        <tr r="J25" s="23"/>
      </tp>
      <tp>
        <v>20073.314399999999</v>
        <stp/>
        <stp>FWRC1#CADINR#Month Wise Rates#0#Close16</stp>
        <tr r="L24" s="23"/>
      </tp>
      <tp>
        <v>17340.3174</v>
        <stp/>
        <stp>FWRC1#AUDINR#Month Wise Rates#0#Close15</stp>
        <tr r="K25" s="23"/>
      </tp>
      <tp>
        <v>21922.875</v>
        <stp/>
        <stp>FWRC1#CADINR#Month Wise Rates#0#Close17</stp>
        <tr r="M24" s="23"/>
      </tp>
      <tp>
        <v>-8.8800000000000008</v>
        <stp/>
        <stp>FWRC1#USDCAD#Month Wise Rates#0#Close11</stp>
        <tr r="G31" s="23"/>
      </tp>
      <tp>
        <v>-102.9</v>
        <stp/>
        <stp>FWRC1#USDCHF#Month Wise Rates#0#Close18</stp>
        <tr r="N30" s="23"/>
      </tp>
      <tp>
        <v>-8.52</v>
        <stp/>
        <stp>FWRC1#USDCAD#Month Wise Rates#0#Close10</stp>
        <tr r="F31" s="23"/>
      </tp>
      <tp>
        <v>-9.84</v>
        <stp/>
        <stp>FWRC1#USDCAD#Month Wise Rates#0#Close13</stp>
        <tr r="I31" s="23"/>
      </tp>
      <tp>
        <v>-9.32</v>
        <stp/>
        <stp>FWRC1#USDCAD#Month Wise Rates#0#Close12</stp>
        <tr r="H31" s="23"/>
      </tp>
      <tp>
        <v>-8.07</v>
        <stp/>
        <stp>FWRC1#USDCAD#Month Wise Rates#0#Close15</stp>
        <tr r="K31" s="23"/>
      </tp>
      <tp>
        <v>-8.24</v>
        <stp/>
        <stp>FWRC1#USDCAD#Month Wise Rates#0#Close14</stp>
        <tr r="J31" s="23"/>
      </tp>
      <tp>
        <v>-7.6</v>
        <stp/>
        <stp>FWRC1#USDCAD#Month Wise Rates#0#Close17</stp>
        <tr r="M31" s="23"/>
      </tp>
      <tp>
        <v>-7.75</v>
        <stp/>
        <stp>FWRC1#USDCAD#Month Wise Rates#0#Close16</stp>
        <tr r="L31" s="23"/>
      </tp>
      <tp>
        <v>-36.840000000000003</v>
        <stp/>
        <stp>FWRC1#USDCHF#Month Wise Rates#0#Close10</stp>
        <tr r="F30" s="23"/>
      </tp>
      <tp>
        <v>-5.87</v>
        <stp/>
        <stp>FWRC1#USDCAD#Month Wise Rates#0#Close18</stp>
        <tr r="N31" s="23"/>
      </tp>
      <tp>
        <v>-44.86</v>
        <stp/>
        <stp>FWRC1#USDCHF#Month Wise Rates#0#Close11</stp>
        <tr r="G30" s="23"/>
      </tp>
      <tp>
        <v>-52.29</v>
        <stp/>
        <stp>FWRC1#USDCHF#Month Wise Rates#0#Close12</stp>
        <tr r="H30" s="23"/>
      </tp>
      <tp>
        <v>-61.05</v>
        <stp/>
        <stp>FWRC1#USDCHF#Month Wise Rates#0#Close13</stp>
        <tr r="I30" s="23"/>
      </tp>
      <tp>
        <v>-69.459999999999994</v>
        <stp/>
        <stp>FWRC1#USDCHF#Month Wise Rates#0#Close14</stp>
        <tr r="J30" s="23"/>
      </tp>
      <tp>
        <v>-76.7</v>
        <stp/>
        <stp>FWRC1#USDCHF#Month Wise Rates#0#Close15</stp>
        <tr r="K30" s="23"/>
      </tp>
      <tp>
        <v>-86.74</v>
        <stp/>
        <stp>FWRC1#USDCHF#Month Wise Rates#0#Close16</stp>
        <tr r="L30" s="23"/>
      </tp>
      <tp>
        <v>-93.16</v>
        <stp/>
        <stp>FWRC1#USDCHF#Month Wise Rates#0#Close17</stp>
        <tr r="M30" s="23"/>
      </tp>
      <tp>
        <v>4.33</v>
        <stp/>
        <stp>FWRC1#AUDUSD#Month Wise Rates#0#Close17</stp>
        <tr r="M32" s="23"/>
      </tp>
      <tp>
        <v>4.28</v>
        <stp/>
        <stp>FWRC1#AUDUSD#Month Wise Rates#0#Close16</stp>
        <tr r="L32" s="23"/>
      </tp>
      <tp>
        <v>4.1399999999999997</v>
        <stp/>
        <stp>FWRC1#AUDUSD#Month Wise Rates#0#Close15</stp>
        <tr r="K32" s="23"/>
      </tp>
      <tp>
        <v>3.81</v>
        <stp/>
        <stp>FWRC1#AUDUSD#Month Wise Rates#0#Close14</stp>
        <tr r="J32" s="23"/>
      </tp>
      <tp>
        <v>3.98</v>
        <stp/>
        <stp>FWRC1#AUDUSD#Month Wise Rates#0#Close13</stp>
        <tr r="I32" s="23"/>
      </tp>
      <tp>
        <v>3.57</v>
        <stp/>
        <stp>FWRC1#AUDUSD#Month Wise Rates#0#Close12</stp>
        <tr r="H32" s="23"/>
      </tp>
      <tp>
        <v>3.21</v>
        <stp/>
        <stp>FWRC1#AUDUSD#Month Wise Rates#0#Close11</stp>
        <tr r="G32" s="23"/>
      </tp>
      <tp>
        <v>2.66</v>
        <stp/>
        <stp>FWRC1#AUDUSD#Month Wise Rates#0#Close10</stp>
        <tr r="F32" s="23"/>
      </tp>
      <tp>
        <v>4.13</v>
        <stp/>
        <stp>FWRC1#AUDUSD#Month Wise Rates#0#Close18</stp>
        <tr r="N32" s="23"/>
      </tp>
      <tp>
        <v>86.614999999999995</v>
        <stp/>
        <stp>17#3#1#5949#EURINRCOMP#Close</stp>
        <tr r="H4" s="10"/>
      </tp>
      <tp>
        <v>0.27589999999999998</v>
        <stp/>
        <stp>FWRC1#GBPUSD#Month Wise Rates#0#Ask%10</stp>
        <tr r="G11" s="20"/>
      </tp>
      <tp>
        <v>0.25159999999999999</v>
        <stp/>
        <stp>FWRC1#GBPUSD#Month Wise Rates#0#Ask%11</stp>
        <tr r="H11" s="20"/>
      </tp>
      <tp>
        <v>0.24010000000000001</v>
        <stp/>
        <stp>FWRC1#GBPUSD#Month Wise Rates#0#Ask%12</stp>
        <tr r="I11" s="20"/>
      </tp>
      <tp>
        <v>0.23519999999999999</v>
        <stp/>
        <stp>FWRC1#GBPUSD#Month Wise Rates#0#Ask%13</stp>
        <tr r="J11" s="20"/>
      </tp>
      <tp>
        <v>0.2288</v>
        <stp/>
        <stp>FWRC1#GBPUSD#Month Wise Rates#0#Ask%14</stp>
        <tr r="K11" s="20"/>
      </tp>
      <tp>
        <v>0.2326</v>
        <stp/>
        <stp>FWRC1#GBPUSD#Month Wise Rates#0#Ask%15</stp>
        <tr r="L11" s="20"/>
      </tp>
      <tp>
        <v>0.223</v>
        <stp/>
        <stp>FWRC1#GBPUSD#Month Wise Rates#0#Ask%16</stp>
        <tr r="M11" s="20"/>
      </tp>
      <tp>
        <v>0.21940000000000001</v>
        <stp/>
        <stp>FWRC1#GBPUSD#Month Wise Rates#0#Ask%17</stp>
        <tr r="N11" s="20"/>
      </tp>
      <tp>
        <v>0.2195</v>
        <stp/>
        <stp>FWRC1#GBPUSD#Month Wise Rates#0#Ask%18</stp>
        <tr r="O11" s="20"/>
      </tp>
      <tp>
        <v>0.2039</v>
        <stp/>
        <stp>FWRC1#GBPUSD#Month Wise Rates#0#Bid%18</stp>
        <tr r="O10" s="20"/>
      </tp>
      <tp>
        <v>0.22620000000000001</v>
        <stp/>
        <stp>FWRC1#GBPUSD#Month Wise Rates#0#Bid%12</stp>
        <tr r="I10" s="20"/>
      </tp>
      <tp>
        <v>0.21510000000000001</v>
        <stp/>
        <stp>FWRC1#GBPUSD#Month Wise Rates#0#Bid%13</stp>
        <tr r="J10" s="20"/>
      </tp>
      <tp>
        <v>0.26429999999999998</v>
        <stp/>
        <stp>FWRC1#GBPUSD#Month Wise Rates#0#Bid%10</stp>
        <tr r="G10" s="20"/>
      </tp>
      <tp>
        <v>0.24229999999999999</v>
        <stp/>
        <stp>FWRC1#GBPUSD#Month Wise Rates#0#Bid%11</stp>
        <tr r="H10" s="20"/>
      </tp>
      <tp>
        <v>0.2051</v>
        <stp/>
        <stp>FWRC1#GBPUSD#Month Wise Rates#0#Bid%16</stp>
        <tr r="M10" s="20"/>
      </tp>
      <tp>
        <v>0.20569999999999999</v>
        <stp/>
        <stp>FWRC1#GBPUSD#Month Wise Rates#0#Bid%17</stp>
        <tr r="N10" s="20"/>
      </tp>
      <tp>
        <v>0.2089</v>
        <stp/>
        <stp>FWRC1#GBPUSD#Month Wise Rates#0#Bid%14</stp>
        <tr r="K10" s="20"/>
      </tp>
      <tp>
        <v>0.21010000000000001</v>
        <stp/>
        <stp>FWRC1#GBPUSD#Month Wise Rates#0#Bid%15</stp>
        <tr r="L10" s="20"/>
      </tp>
      <tp>
        <v>94.227500000000006</v>
        <stp/>
        <stp>17#3#1#6031#GBPINRCOMP#High</stp>
        <tr r="C4" s="23"/>
        <tr r="F5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tabSelected="1" workbookViewId="0">
      <selection activeCell="F14" sqref="F14"/>
    </sheetView>
  </sheetViews>
  <sheetFormatPr defaultColWidth="8.85546875" defaultRowHeight="15" x14ac:dyDescent="0.25"/>
  <cols>
    <col min="1" max="1" width="12" bestFit="1" customWidth="1"/>
    <col min="4" max="4" width="9.5703125" bestFit="1" customWidth="1"/>
    <col min="8" max="8" width="8.7109375" bestFit="1" customWidth="1"/>
  </cols>
  <sheetData>
    <row r="1" spans="1:7" x14ac:dyDescent="0.25">
      <c r="A1" s="107" t="s">
        <v>13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</row>
    <row r="2" spans="1:7" x14ac:dyDescent="0.25">
      <c r="A2" s="107" t="s">
        <v>51</v>
      </c>
      <c r="B2" s="105">
        <f t="array" ref="B2">RTD("tickerplantrtdserver",,"FWRC1#USDINR#Month End Rates#0#BidPrice0")</f>
        <v>73.59</v>
      </c>
      <c r="C2" s="106">
        <f t="array" ref="C2">RTD("tickerplantrtdserver",,"FWRC1#USDINR#Month End Rates#0#BidPrice2")</f>
        <v>0.5</v>
      </c>
      <c r="D2" s="105">
        <f t="array" ref="D2">RTD("tickerplantrtdserver",,"FWRC1#USDINR#Month End Rates#0#FwdOutrightBid1")</f>
        <v>73.564999999999998</v>
      </c>
      <c r="E2" s="106">
        <f t="array" ref="E2">RTD("tickerplantrtdserver",,"FWRC1#USDINR#Month End Rates#0#BidPrice3")</f>
        <v>0.25</v>
      </c>
      <c r="F2" s="105">
        <f t="array" ref="F2">RTD("tickerplantrtdserver",,"FWRC1#USDINR#Month End Rates#0#FwdOutrightBid3")</f>
        <v>73.577500000000001</v>
      </c>
    </row>
    <row r="3" spans="1:7" ht="15.75" customHeight="1" x14ac:dyDescent="0.25">
      <c r="A3" s="107" t="s">
        <v>52</v>
      </c>
      <c r="B3" s="105">
        <f t="array" ref="B3">RTD("tickerplantrtdserver",,"FWRC1#USDINR#Month End Rates#0#AskPrice0")</f>
        <v>73.599999999999994</v>
      </c>
      <c r="C3" s="106">
        <f t="array" ref="C3">RTD("tickerplantrtdserver",,"FWRC1#USDINR#Month End Rates#0#AskPrice2")</f>
        <v>2.5</v>
      </c>
      <c r="D3" s="105">
        <f t="array" ref="D3">RTD("tickerplantrtdserver",,"FWRC1#USDINR#Month End Rates#0#FwdOutrightAsk1")</f>
        <v>73.594999999999999</v>
      </c>
      <c r="E3" s="106">
        <f t="array" ref="E3">RTD("tickerplantrtdserver",,"FWRC1#USDINR#Month End Rates#0#AskPrice3")</f>
        <v>1.25</v>
      </c>
      <c r="F3" s="105">
        <f t="array" ref="F3">RTD("tickerplantrtdserver",,"FWRC1#USDINR#Month End Rates#0#FwdOutrightAsk3")</f>
        <v>73.597499999999997</v>
      </c>
      <c r="G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7" t="s">
        <v>12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RTD("tickerplantrtdserver",,"FWRC1#EURINR#Month End Rates#0#BidPrice0")</f>
        <v>86.3125</v>
      </c>
      <c r="C2" s="106">
        <f t="array" ref="C2">RTD("tickerplantrtdserver",,"FWRC1#EURINR#Month End Rates#0#BidPrice2")</f>
        <v>0.88819999999999999</v>
      </c>
      <c r="D2" s="105">
        <f t="array" ref="D2">RTD("tickerplantrtdserver",,"FWRC1#EURINR#Month End Rates#0#FwdOutrightBid1")</f>
        <v>86.287199999999999</v>
      </c>
      <c r="E2" s="106">
        <f t="array" ref="E2">RTD("tickerplantrtdserver",,"FWRC1#EURINR#Month End Rates#0#BidPrice3")</f>
        <v>0.43309999999999998</v>
      </c>
      <c r="F2" s="105">
        <f t="array" ref="F2">RTD("tickerplantrtdserver",,"FWRC1#EURINR#Month End Rates#0#FwdOutrightBid3")</f>
        <v>86.3035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RTD("tickerplantrtdserver",,"FWRC1#EURINR#Month End Rates#0#AskPrice0")</f>
        <v>86.33</v>
      </c>
      <c r="C3" s="106">
        <f t="array" ref="C3">RTD("tickerplantrtdserver",,"FWRC1#EURINR#Month End Rates#0#AskPrice2")</f>
        <v>3.2786</v>
      </c>
      <c r="D3" s="105">
        <f t="array" ref="D3">RTD("tickerplantrtdserver",,"FWRC1#EURINR#Month End Rates#0#FwdOutrightAsk1")</f>
        <v>86.323599999999999</v>
      </c>
      <c r="E3" s="106">
        <f t="array" ref="E3">RTD("tickerplantrtdserver",,"FWRC1#EURINR#Month End Rates#0#AskPrice3")</f>
        <v>1.6504000000000001</v>
      </c>
      <c r="F3" s="105">
        <f t="array" ref="F3">RTD("tickerplantrtdserver",,"FWRC1#EURINR#Month End Rates#0#FwdOutrightAsk3")</f>
        <v>86.328199999999995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7" t="s">
        <v>11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RTD("tickerplantrtdserver",,"FWRC1#GBPINR#Month End Rates#0#BidPrice0")</f>
        <v>94.197500000000005</v>
      </c>
      <c r="C2" s="106">
        <f>RTD("tickerplantrtdserver",,"FWRC1#GBPINR#Month End Rates#0#BidPrice2")/100</f>
        <v>0.67292199999999991</v>
      </c>
      <c r="D2" s="104">
        <f t="array" ref="D2">RTD("tickerplantrtdserver",,"FWRC1#GBPINR#Month End Rates#0#FwdOutrightBid1")</f>
        <v>94.164400000000001</v>
      </c>
      <c r="E2" s="106">
        <f>RTD("tickerplantrtdserver",,"FWRC1#GBPINR#Month End Rates#0#BidPrice3")/100</f>
        <v>0.33093099999999998</v>
      </c>
      <c r="F2" s="105">
        <f t="array" ref="F2">RTD("tickerplantrtdserver",,"FWRC1#GBPINR#Month End Rates#0#FwdOutrightBid3")</f>
        <v>94.180999999999997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RTD("tickerplantrtdserver",,"FWRC1#GBPINR#Month End Rates#0#AskPrice0")</f>
        <v>94.22</v>
      </c>
      <c r="C3" s="106">
        <f>RTD("tickerplantrtdserver",,"FWRC1#GBPINR#Month End Rates#0#AskPrice2")/100</f>
        <v>3.313377</v>
      </c>
      <c r="D3" s="104">
        <f t="array" ref="D3">RTD("tickerplantrtdserver",,"FWRC1#GBPINR#Month End Rates#0#FwdOutrightAsk1")</f>
        <v>94.213300000000004</v>
      </c>
      <c r="E3" s="106">
        <f>RTD("tickerplantrtdserver",,"FWRC1#GBPINR#Month End Rates#0#AskPrice3")/100</f>
        <v>1.654844</v>
      </c>
      <c r="F3" s="105">
        <f t="array" ref="F3">RTD("tickerplantrtdserver",,"FWRC1#GBPINR#Month End Rates#0#FwdOutrightAsk3")</f>
        <v>94.216700000000003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ColWidth="8.85546875" defaultRowHeight="15" x14ac:dyDescent="0.25"/>
  <cols>
    <col min="1" max="1" width="12" bestFit="1" customWidth="1"/>
    <col min="8" max="8" width="8.7109375" bestFit="1" customWidth="1"/>
  </cols>
  <sheetData>
    <row r="1" spans="1:7" x14ac:dyDescent="0.25">
      <c r="A1" s="107" t="s">
        <v>10</v>
      </c>
      <c r="B1" s="107" t="s">
        <v>32</v>
      </c>
      <c r="C1" s="107" t="s">
        <v>31</v>
      </c>
      <c r="D1" s="107" t="s">
        <v>30</v>
      </c>
      <c r="E1" s="107" t="s">
        <v>29</v>
      </c>
      <c r="F1" s="107" t="s">
        <v>28</v>
      </c>
      <c r="G1" s="2"/>
    </row>
    <row r="2" spans="1:7" ht="15.95" customHeight="1" x14ac:dyDescent="0.25">
      <c r="A2" s="107" t="s">
        <v>51</v>
      </c>
      <c r="B2" s="105">
        <f t="array" ref="B2">RTD("tickerplantrtdserver",,"FWRC1#JPYINR#Month End Rates#0#BidPrice0")</f>
        <v>70.31</v>
      </c>
      <c r="C2" s="106">
        <f>RTD("tickerplantrtdserver",,"FWRC1#JPYINR#Month End Rates#0#BidPrice2")/100</f>
        <v>0.76632699999999998</v>
      </c>
      <c r="D2" s="105">
        <f t="array" ref="D2">RTD("tickerplantrtdserver",,"FWRC1#JPYINR#Month End Rates#0#FwdOutrightBid1")</f>
        <v>70.282399999999996</v>
      </c>
      <c r="E2" s="106">
        <f>RTD("tickerplantrtdserver",,"FWRC1#JPYINR#Month End Rates#0#BidPrice3")/100</f>
        <v>0.272397</v>
      </c>
      <c r="F2" s="105">
        <f t="array" ref="F2">RTD("tickerplantrtdserver",,"FWRC1#JPYINR#Month End Rates#0#FwdOutrightBid3")</f>
        <v>70.297200000000004</v>
      </c>
      <c r="G2" s="2"/>
    </row>
    <row r="3" spans="1:7" ht="15.75" customHeight="1" x14ac:dyDescent="0.25">
      <c r="A3" s="107" t="s">
        <v>52</v>
      </c>
      <c r="B3" s="105">
        <f t="array" ref="B3">RTD("tickerplantrtdserver",,"FWRC1#JPYINR#Month End Rates#0#AskPrice0")</f>
        <v>70.319999999999993</v>
      </c>
      <c r="C3" s="106">
        <f>RTD("tickerplantrtdserver",,"FWRC1#JPYINR#Month End Rates#0#AskPrice2")/100</f>
        <v>2.764278</v>
      </c>
      <c r="D3" s="105">
        <f t="array" ref="D3">RTD("tickerplantrtdserver",,"FWRC1#JPYINR#Month End Rates#0#FwdOutrightAsk1")</f>
        <v>70.312299999999993</v>
      </c>
      <c r="E3" s="106">
        <f>RTD("tickerplantrtdserver",,"FWRC1#JPYINR#Month End Rates#0#AskPrice3")/100</f>
        <v>1.2814940000000001</v>
      </c>
      <c r="F3" s="105">
        <f t="array" ref="F3">RTD("tickerplantrtdserver",,"FWRC1#JPYINR#Month End Rates#0#FwdOutrightAsk3")</f>
        <v>70.317300000000003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43"/>
  <sheetViews>
    <sheetView workbookViewId="0"/>
  </sheetViews>
  <sheetFormatPr defaultColWidth="8.85546875" defaultRowHeight="15" x14ac:dyDescent="0.25"/>
  <cols>
    <col min="8" max="16" width="9.7109375" style="2" customWidth="1"/>
    <col min="17" max="17" width="8.7109375" bestFit="1" customWidth="1"/>
  </cols>
  <sheetData>
    <row r="1" spans="1:9" x14ac:dyDescent="0.25">
      <c r="A1" s="24"/>
      <c r="B1" s="19" t="s">
        <v>36</v>
      </c>
      <c r="C1" s="19" t="s">
        <v>37</v>
      </c>
      <c r="D1" s="19" t="s">
        <v>35</v>
      </c>
      <c r="E1" s="19" t="s">
        <v>38</v>
      </c>
      <c r="F1" s="19" t="s">
        <v>39</v>
      </c>
      <c r="G1" s="19" t="s">
        <v>34</v>
      </c>
      <c r="H1" s="22" t="s">
        <v>40</v>
      </c>
      <c r="I1" s="18" t="s">
        <v>33</v>
      </c>
    </row>
    <row r="2" spans="1:9" ht="15.75" customHeight="1" x14ac:dyDescent="0.25">
      <c r="A2" s="25" t="s">
        <v>27</v>
      </c>
      <c r="B2" s="42">
        <f>RTD("tickerplantrtdserver",,"47#5#1#5629#USD1M.LIBOR#LTP")</f>
        <v>0.15187999999999999</v>
      </c>
      <c r="C2" s="42">
        <f>RTD("tickerplantrtdserver",,"47#5#1#5629#USD2M.LIBOR#LTP")</f>
        <v>0.17799999999999999</v>
      </c>
      <c r="D2" s="42">
        <f>RTD("tickerplantrtdserver",,"47#5#1#5629#USD3M.LIBOR#LTP")</f>
        <v>0.22325</v>
      </c>
      <c r="E2" s="42">
        <f>RTD("tickerplantrtdserver",,"47#5#1#5629#USD4M.LIBOR#LTP")</f>
        <v>0.31709999999999999</v>
      </c>
      <c r="F2" s="42">
        <f>RTD("tickerplantrtdserver",,"47#5#1#5629#USD5M.LIBOR#LTP")</f>
        <v>0.36725999999999998</v>
      </c>
      <c r="G2" s="42">
        <f>RTD("tickerplantrtdserver",,"47#5#1#5629#USD6M.LIBOR#LTP")</f>
        <v>0.27288000000000001</v>
      </c>
      <c r="H2" s="44">
        <f>RTD("tickerplantrtdserver",,"47#5#1#5629#USD9M.LIBOR#LTP")</f>
        <v>0.55079999999999996</v>
      </c>
      <c r="I2" s="45">
        <f>RTD("tickerplantrtdserver",,"47#5#1#5629#USD1Y.LIBOR#LTP")</f>
        <v>0</v>
      </c>
    </row>
    <row r="3" spans="1:9" x14ac:dyDescent="0.25">
      <c r="A3" s="25" t="s">
        <v>25</v>
      </c>
      <c r="B3" s="42">
        <f>RTD("tickerplantrtdserver",,"47#5#1#5629#EUR1M.LIBOR#LTP")</f>
        <v>0</v>
      </c>
      <c r="C3" s="42">
        <f>RTD("tickerplantrtdserver",,"47#5#1#5629#EUR2M.LIBOR#LTP")</f>
        <v>0</v>
      </c>
      <c r="D3" s="42">
        <f>RTD("tickerplantrtdserver",,"47#5#1#5629#EUR3M.LIBOR#LTP")</f>
        <v>0</v>
      </c>
      <c r="E3" s="42">
        <f>RTD("tickerplantrtdserver",,"47#5#1#5629#EUR4M.LIBOR#LTP")</f>
        <v>0</v>
      </c>
      <c r="F3" s="42">
        <f>RTD("tickerplantrtdserver",,"47#5#1#5629#EUR5M.LIBOR#LTP")</f>
        <v>0</v>
      </c>
      <c r="G3" s="42">
        <f>RTD("tickerplantrtdserver",,"47#5#1#5629#EUR6M.LIBOR#LTP")</f>
        <v>0</v>
      </c>
      <c r="H3" s="44">
        <f>RTD("tickerplantrtdserver",,"47#5#1#5629#EUR9M.LIBOR#LTP")</f>
        <v>0</v>
      </c>
      <c r="I3" s="45">
        <f>RTD("tickerplantrtdserver",,"47#5#1#5629#EUR1Y.LIBOR#LTP")</f>
        <v>-0.43099999999999999</v>
      </c>
    </row>
    <row r="4" spans="1:9" x14ac:dyDescent="0.25">
      <c r="A4" s="25" t="s">
        <v>23</v>
      </c>
      <c r="B4" s="42">
        <f>RTD("tickerplantrtdserver",,"47#5#1#5629#GBP1M.LIBOR#LTP")</f>
        <v>0</v>
      </c>
      <c r="C4" s="42">
        <f>RTD("tickerplantrtdserver",,"47#5#1#5629#GBP2M.LIBOR#LTP")</f>
        <v>0</v>
      </c>
      <c r="D4" s="42">
        <f>RTD("tickerplantrtdserver",,"47#5#1#5629#GBP3M.LIBOR#LTP")</f>
        <v>0</v>
      </c>
      <c r="E4" s="42">
        <f>RTD("tickerplantrtdserver",,"47#5#1#5629#GBP4M.LIBOR#LTP")</f>
        <v>0</v>
      </c>
      <c r="F4" s="42">
        <f>RTD("tickerplantrtdserver",,"47#5#1#5629#GBP5M.LIBOR#LTP")</f>
        <v>0</v>
      </c>
      <c r="G4" s="42">
        <f>RTD("tickerplantrtdserver",,"47#5#1#5629#GBP6M.LIBOR#LTP")</f>
        <v>0</v>
      </c>
      <c r="H4" s="44">
        <f>RTD("tickerplantrtdserver",,"47#5#1#5629#GBP9M.LIBOR#LTP")</f>
        <v>0</v>
      </c>
      <c r="I4" s="45">
        <f>RTD("tickerplantrtdserver",,"47#5#1#5629#GBP1Y.LIBOR#LTP")</f>
        <v>0.14313000000000001</v>
      </c>
    </row>
    <row r="5" spans="1:9" ht="15.75" thickBot="1" x14ac:dyDescent="0.3">
      <c r="A5" s="26" t="s">
        <v>22</v>
      </c>
      <c r="B5" s="16">
        <f>RTD("tickerplantrtdserver",,"47#5#1#5629#JPY1M.LIBOR#LTP")</f>
        <v>0</v>
      </c>
      <c r="C5" s="16">
        <f>RTD("tickerplantrtdserver",,"47#5#1#5629#JPY2M.LIBOR#LTP")</f>
        <v>0</v>
      </c>
      <c r="D5" s="16">
        <f>RTD("tickerplantrtdserver",,"47#5#1#5629#JPY3M.LIBOR#LTP")</f>
        <v>0</v>
      </c>
      <c r="E5" s="16">
        <f>RTD("tickerplantrtdserver",,"47#5#1#5629#JPY2M.LIBOR#LTP")</f>
        <v>0</v>
      </c>
      <c r="F5" s="16">
        <f>RTD("tickerplantrtdserver",,"47#5#1#5629#JPY5M.LIBOR#LTP")</f>
        <v>0</v>
      </c>
      <c r="G5" s="16">
        <f>RTD("tickerplantrtdserver",,"47#5#1#5629#JPY6M.LIBOR#LTP")</f>
        <v>0</v>
      </c>
      <c r="H5" s="46">
        <f>RTD("tickerplantrtdserver",,"47#5#1#5629#JPY9M.LIBOR#LTP")</f>
        <v>0</v>
      </c>
      <c r="I5" s="47">
        <f>RTD("tickerplantrtdserver",,"47#5#1#5629#JPY1Y.LIBOR#LTP")</f>
        <v>0</v>
      </c>
    </row>
    <row r="10" spans="1:9" s="14" customFormat="1" x14ac:dyDescent="0.25"/>
    <row r="11" spans="1:9" s="14" customFormat="1" ht="15.75" customHeight="1" x14ac:dyDescent="0.25"/>
    <row r="12" spans="1:9" s="14" customFormat="1" x14ac:dyDescent="0.25"/>
    <row r="22" spans="17:29" s="2" customFormat="1" x14ac:dyDescent="0.25"/>
    <row r="23" spans="17:29" x14ac:dyDescent="0.25"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7:29" x14ac:dyDescent="0.25"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7:29" x14ac:dyDescent="0.25"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30" spans="17:29" x14ac:dyDescent="0.25"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7:29" x14ac:dyDescent="0.25"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7:29" x14ac:dyDescent="0.25"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7:29" x14ac:dyDescent="0.25"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7:29" x14ac:dyDescent="0.25"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7:29" x14ac:dyDescent="0.25"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7:29" x14ac:dyDescent="0.25"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7:29" x14ac:dyDescent="0.25"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7:29" x14ac:dyDescent="0.25"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7:29" x14ac:dyDescent="0.25"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7:29" x14ac:dyDescent="0.25"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14"/>
    </row>
    <row r="41" spans="17:29" x14ac:dyDescent="0.25">
      <c r="Q41" s="14"/>
      <c r="R41" s="20"/>
      <c r="S41" s="20"/>
      <c r="T41" s="20"/>
      <c r="U41" s="20"/>
      <c r="V41" s="20"/>
      <c r="W41" s="20"/>
      <c r="X41" s="20"/>
      <c r="Y41" s="20"/>
      <c r="Z41" s="20"/>
      <c r="AA41" s="14"/>
      <c r="AB41" s="14"/>
    </row>
    <row r="42" spans="17:29" x14ac:dyDescent="0.25">
      <c r="Q42" s="14"/>
      <c r="R42" s="20"/>
      <c r="S42" s="20"/>
      <c r="T42" s="20"/>
      <c r="U42" s="20"/>
      <c r="V42" s="20"/>
      <c r="W42" s="20"/>
      <c r="X42" s="20"/>
      <c r="Y42" s="20"/>
      <c r="Z42" s="20"/>
      <c r="AA42" s="14"/>
      <c r="AB42" s="14"/>
    </row>
    <row r="43" spans="17:29" x14ac:dyDescent="0.25">
      <c r="R43" s="2"/>
      <c r="S43" s="2"/>
      <c r="T43" s="2"/>
      <c r="U43" s="2"/>
      <c r="V43" s="2"/>
      <c r="W43" s="2"/>
      <c r="X43" s="2"/>
      <c r="Y43" s="2"/>
      <c r="Z4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workbookViewId="0">
      <selection activeCell="H13" sqref="H13"/>
    </sheetView>
  </sheetViews>
  <sheetFormatPr defaultColWidth="8.85546875" defaultRowHeight="15" x14ac:dyDescent="0.25"/>
  <cols>
    <col min="1" max="1" width="12.7109375" bestFit="1" customWidth="1"/>
    <col min="8" max="8" width="9.7109375" bestFit="1" customWidth="1"/>
    <col min="9" max="9" width="9" customWidth="1"/>
    <col min="10" max="10" width="8.7109375" customWidth="1"/>
    <col min="11" max="11" width="7.7109375" bestFit="1" customWidth="1"/>
  </cols>
  <sheetData>
    <row r="1" spans="1:12" s="14" customFormat="1" x14ac:dyDescent="0.25">
      <c r="A1" s="155" t="s">
        <v>41</v>
      </c>
      <c r="B1" s="151" t="s">
        <v>49</v>
      </c>
      <c r="C1" s="151" t="s">
        <v>50</v>
      </c>
      <c r="D1" s="151" t="s">
        <v>21</v>
      </c>
      <c r="E1" s="151" t="s">
        <v>20</v>
      </c>
      <c r="F1" s="151" t="s">
        <v>19</v>
      </c>
      <c r="G1" s="151" t="s">
        <v>18</v>
      </c>
      <c r="H1" s="151" t="s">
        <v>17</v>
      </c>
      <c r="I1" s="151" t="s">
        <v>16</v>
      </c>
      <c r="J1" s="153" t="s">
        <v>15</v>
      </c>
    </row>
    <row r="2" spans="1:12" s="14" customFormat="1" ht="15.75" customHeight="1" x14ac:dyDescent="0.25">
      <c r="A2" s="156"/>
      <c r="B2" s="152"/>
      <c r="C2" s="152"/>
      <c r="D2" s="152"/>
      <c r="E2" s="152"/>
      <c r="F2" s="152"/>
      <c r="G2" s="152"/>
      <c r="H2" s="152"/>
      <c r="I2" s="152"/>
      <c r="J2" s="154"/>
      <c r="K2" s="30"/>
    </row>
    <row r="3" spans="1:12" s="14" customFormat="1" x14ac:dyDescent="0.25">
      <c r="A3" s="7" t="s">
        <v>13</v>
      </c>
      <c r="B3" s="5">
        <f>RTD("tickerplantrtdserver",,"17#1#1#6069#USDINRCOMP#Bid")</f>
        <v>73.59</v>
      </c>
      <c r="C3" s="5">
        <f>RTD("tickerplantrtdserver",,"17#1#1#6069#USDINRCOMP#Ask")</f>
        <v>73.599999999999994</v>
      </c>
      <c r="D3" s="17">
        <f>RTD("tickerplantrtdserver",,"17#1#1#6069#USDINRCOMP#%Chg")</f>
        <v>0.26</v>
      </c>
      <c r="E3" s="5">
        <f>RTD("tickerplantrtdserver",,"17#1#1#6069#USDINRCOMP#Open")</f>
        <v>73.484999999999999</v>
      </c>
      <c r="F3" s="5">
        <f>RTD("tickerplantrtdserver",,"17#1#1#6069#USDINRCOMP#High")</f>
        <v>73.62</v>
      </c>
      <c r="G3" s="5">
        <f>RTD("tickerplantrtdserver",,"17#1#1#6069#USDINRCOMP#Low")</f>
        <v>73.38</v>
      </c>
      <c r="H3" s="9">
        <f>RTD("tickerplantrtdserver",,"17#1#1#6069#USDINRCOMP#Close")</f>
        <v>73.400000000000006</v>
      </c>
      <c r="I3" s="9">
        <f>RTD("tickerplantrtdserver",,"17#1#1#6069#USDINRCOMP#52WkHigh")</f>
        <v>76.905000000000001</v>
      </c>
      <c r="J3" s="48">
        <f>RTD("tickerplantrtdserver",,"17#1#1#6069#USDINRCOMP#52WkLow")</f>
        <v>70.36</v>
      </c>
      <c r="K3" s="15"/>
    </row>
    <row r="4" spans="1:12" s="14" customFormat="1" x14ac:dyDescent="0.25">
      <c r="A4" s="7" t="s">
        <v>12</v>
      </c>
      <c r="B4" s="5">
        <f>RTD("tickerplantrtdserver",,"17#3#1#5949#EURINRCOMP#Bid")</f>
        <v>86.3125</v>
      </c>
      <c r="C4" s="5">
        <f>RTD("tickerplantrtdserver",,"17#3#1#5949#EURINRCOMP#Ask")</f>
        <v>86.33</v>
      </c>
      <c r="D4" s="17">
        <f>RTD("tickerplantrtdserver",,"17#3#1#5949#EURINRCOMP#%Chg")</f>
        <v>-0.35</v>
      </c>
      <c r="E4" s="5">
        <f>RTD("tickerplantrtdserver",,"17#3#1#5949#EURINRCOMP#Open")</f>
        <v>86.462500000000006</v>
      </c>
      <c r="F4" s="5">
        <f>RTD("tickerplantrtdserver",,"17#3#1#5949#EURINRCOMP#High")</f>
        <v>86.495000000000005</v>
      </c>
      <c r="G4" s="9">
        <f>RTD("tickerplantrtdserver",,"17#3#1#5949#EURINRCOMP#Low")</f>
        <v>86.224999999999994</v>
      </c>
      <c r="H4" s="9">
        <f>RTD("tickerplantrtdserver",,"17#3#1#5949#EURINRCOMP#Close")</f>
        <v>86.614999999999995</v>
      </c>
      <c r="I4" s="9">
        <f>RTD("tickerplantrtdserver",,"17#3#1#5949#EURINRCOMP#52WkHigh")</f>
        <v>0</v>
      </c>
      <c r="J4" s="27">
        <f>RTD("tickerplantrtdserver",,"17#3#1#5949#EURINRCOMP#52WkHigh")</f>
        <v>0</v>
      </c>
      <c r="K4" s="20"/>
    </row>
    <row r="5" spans="1:12" s="14" customFormat="1" x14ac:dyDescent="0.25">
      <c r="A5" s="7" t="s">
        <v>11</v>
      </c>
      <c r="B5" s="5">
        <f>RTD("tickerplantrtdserver",,"17#3#1#6031#GBPINRCOMP#Bid")</f>
        <v>94.182500000000005</v>
      </c>
      <c r="C5" s="5">
        <f>RTD("tickerplantrtdserver",,"17#3#1#6031#GBPINRCOMP#Ask")</f>
        <v>94.21</v>
      </c>
      <c r="D5" s="17">
        <f>RTD("tickerplantrtdserver",,"17#3#1#6031#GBPINRCOMP#%Chg")</f>
        <v>-0.08</v>
      </c>
      <c r="E5" s="5">
        <f>RTD("tickerplantrtdserver",,"17#3#1#6031#GBPINRCOMP#Open")</f>
        <v>94.192499999999995</v>
      </c>
      <c r="F5" s="5">
        <f>RTD("tickerplantrtdserver",,"17#3#1#6031#GBPINRCOMP#High")</f>
        <v>94.227500000000006</v>
      </c>
      <c r="G5" s="9">
        <f>RTD("tickerplantrtdserver",,"17#3#1#6031#GBPINRCOMP#Low")</f>
        <v>93.56</v>
      </c>
      <c r="H5" s="5">
        <f>RTD("tickerplantrtdserver",,"17#3#1#6031#GBPINRCOMP#Close")</f>
        <v>94.26</v>
      </c>
      <c r="I5" s="5">
        <f>RTD("tickerplantrtdserver",,"17#3#1#6031#GBPINRCOMP#52WkHigh")</f>
        <v>0</v>
      </c>
      <c r="J5" s="27">
        <f>RTD("tickerplantrtdserver",,"17#3#1#6031#GBPINRCOMP#52WkLow")</f>
        <v>0</v>
      </c>
      <c r="K5" s="20"/>
    </row>
    <row r="6" spans="1:12" s="14" customFormat="1" x14ac:dyDescent="0.25">
      <c r="A6" s="28" t="s">
        <v>10</v>
      </c>
      <c r="B6" s="5">
        <f>RTD("tickerplantrtdserver",,"17#3#1#5978#JPYINRCOMP#Bid")</f>
        <v>70.307500000000005</v>
      </c>
      <c r="C6" s="5">
        <f>RTD("tickerplantrtdserver",,"17#3#1#5978#JPYINRCOMP#Ask")</f>
        <v>70.325000000000003</v>
      </c>
      <c r="D6" s="4">
        <f>RTD("tickerplantrtdserver",,"17#3#1#5978#JPYINRCOMP#%Chg")</f>
        <v>-0.3</v>
      </c>
      <c r="E6" s="5">
        <f>RTD("tickerplantrtdserver",,"17#3#1#5978#JPYINRCOMP#Open")</f>
        <v>70.295000000000002</v>
      </c>
      <c r="F6" s="5">
        <f>RTD("tickerplantrtdserver",,"17#3#1#5978#JPYINRCOMP#High")</f>
        <v>70.332499999999996</v>
      </c>
      <c r="G6" s="49">
        <f>RTD("tickerplantrtdserver",,"17#3#1#5978#JPYINRCOMP#Low")</f>
        <v>70.1875</v>
      </c>
      <c r="H6" s="5">
        <f>RTD("tickerplantrtdserver",,"17#3#1#5978#JPYINRCOMP#Close")</f>
        <v>70.52</v>
      </c>
      <c r="I6" s="5">
        <f>RTD("tickerplantrtdserver",,"17#3#1#5978#JPYINRCOMP#52WkHigh")</f>
        <v>0</v>
      </c>
      <c r="J6" s="27">
        <f>RTD("tickerplantrtdserver",,"17#3#1#5978#JPYINRCOMP#52WkLow")</f>
        <v>0</v>
      </c>
      <c r="K6" s="20"/>
    </row>
    <row r="7" spans="1:12" s="14" customFormat="1" x14ac:dyDescent="0.25">
      <c r="A7" s="28" t="s">
        <v>9</v>
      </c>
      <c r="B7" s="5">
        <f>RTD("tickerplantrtdserver",,"12#2#1#5949#SEURUSD#Bid")</f>
        <v>1.1729000000000001</v>
      </c>
      <c r="C7" s="5">
        <f>RTD("tickerplantrtdserver",,"12#2#1#5949#SEURUSD#Ask")</f>
        <v>1.1729000000000001</v>
      </c>
      <c r="D7" s="17">
        <f>RTD("tickerplantrtdserver",,"12#2#1#5949#SEURUSD#%Chg")</f>
        <v>-0.34</v>
      </c>
      <c r="E7" s="5">
        <f>RTD("tickerplantrtdserver",,"12#2#1#5949#SEURUSD#Open")</f>
        <v>1.17692</v>
      </c>
      <c r="F7" s="5">
        <f>RTD("tickerplantrtdserver",,"12#2#1#5949#SEURUSD#High")</f>
        <v>1.1773800000000001</v>
      </c>
      <c r="G7" s="49">
        <f>RTD("tickerplantrtdserver",,"12#2#1#5949#SEURUSD#Low")</f>
        <v>1.1718500000000001</v>
      </c>
      <c r="H7" s="5">
        <f>RTD("tickerplantrtdserver",,"12#2#1#5949#SEURUSD#Close")</f>
        <v>1.1769400000000001</v>
      </c>
      <c r="I7" s="5">
        <f>RTD("tickerplantrtdserver",,"12#2#1#5949#SEURUSD#52WkHigh")</f>
        <v>1.2011400000000001</v>
      </c>
      <c r="J7" s="27">
        <f>RTD("tickerplantrtdserver",,"12#2#1#5949#SEURUSD#52WkLow")</f>
        <v>1.0634999999999999</v>
      </c>
      <c r="K7" s="20"/>
    </row>
    <row r="8" spans="1:12" s="14" customFormat="1" x14ac:dyDescent="0.25">
      <c r="A8" s="28" t="s">
        <v>8</v>
      </c>
      <c r="B8" s="5">
        <f>RTD("tickerplantrtdserver",,"12#2#1#6031#SGBPUSD#Bid")</f>
        <v>1.27976</v>
      </c>
      <c r="C8" s="5">
        <f>RTD("tickerplantrtdserver",,"12#2#1#6031#SGBPUSD#Ask")</f>
        <v>1.2799700000000001</v>
      </c>
      <c r="D8" s="17">
        <f>RTD("tickerplantrtdserver",,"12#2#1#6031#SGBPUSD#%Chg")</f>
        <v>-0.1</v>
      </c>
      <c r="E8" s="5">
        <f>RTD("tickerplantrtdserver",,"12#2#1#6031#SGBPUSD#Open")</f>
        <v>1.28115</v>
      </c>
      <c r="F8" s="5">
        <f>RTD("tickerplantrtdserver",,"12#2#1#6031#SGBPUSD#High")</f>
        <v>1.2824199999999999</v>
      </c>
      <c r="G8" s="49">
        <f>RTD("tickerplantrtdserver",,"12#2#1#6031#SGBPUSD#Low")</f>
        <v>1.27108</v>
      </c>
      <c r="H8" s="5">
        <f>RTD("tickerplantrtdserver",,"12#2#1#6031#SGBPUSD#Close")</f>
        <v>1.2810900000000001</v>
      </c>
      <c r="I8" s="5">
        <f>RTD("tickerplantrtdserver",,"12#2#1#6031#SGBPUSD#52WkHigh")</f>
        <v>1.3514900000000001</v>
      </c>
      <c r="J8" s="27">
        <f>RTD("tickerplantrtdserver",,"12#2#1#6031#SGBPUSD#52WkLow")</f>
        <v>1.1407799999999999</v>
      </c>
    </row>
    <row r="9" spans="1:12" ht="15.75" thickBot="1" x14ac:dyDescent="0.3">
      <c r="A9" s="6" t="s">
        <v>7</v>
      </c>
      <c r="B9" s="50">
        <f>RTD("tickerplantrtdserver",,"12#2#1#6069#SUSDJPY#Bid")</f>
        <v>104.666</v>
      </c>
      <c r="C9" s="50">
        <f>RTD("tickerplantrtdserver",,"12#2#1#6069#SUSDJPY#Ask")</f>
        <v>104.667</v>
      </c>
      <c r="D9" s="50">
        <f>RTD("tickerplantrtdserver",,"12#2#1#6069#SUSDJPY#%Chg")</f>
        <v>0</v>
      </c>
      <c r="E9" s="50">
        <f>RTD("tickerplantrtdserver",,"12#2#1#6069#SUSDJPY#Open")</f>
        <v>104.67</v>
      </c>
      <c r="F9" s="50">
        <f>RTD("tickerplantrtdserver",,"12#2#1#6069#SUSDJPY#High")</f>
        <v>104.753</v>
      </c>
      <c r="G9" s="51">
        <f>RTD("tickerplantrtdserver",,"12#2#1#6069#SUSDJPY#Low")</f>
        <v>104.404</v>
      </c>
      <c r="H9" s="50">
        <f>RTD("tickerplantrtdserver",,"12#2#1#6069#SUSDJPY#Close")</f>
        <v>104.664</v>
      </c>
      <c r="I9" s="50">
        <f>RTD("tickerplantrtdserver",,"12#2#1#6069#SUSDJPY#52WkHigh")</f>
        <v>112.22799999999999</v>
      </c>
      <c r="J9" s="52">
        <f>RTD("tickerplantrtdserver",,"12#2#1#6069#SUSDJPY#52WkLow")</f>
        <v>101.178</v>
      </c>
    </row>
    <row r="10" spans="1:12" ht="15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s="14" customFormat="1" x14ac:dyDescent="0.25"/>
    <row r="12" spans="1:12" s="14" customFormat="1" ht="15.75" customHeight="1" x14ac:dyDescent="0.25"/>
    <row r="13" spans="1:12" s="14" customFormat="1" ht="15.75" customHeight="1" x14ac:dyDescent="0.25"/>
    <row r="14" spans="1:12" ht="15.75" customHeight="1" x14ac:dyDescent="0.25"/>
  </sheetData>
  <mergeCells count="10">
    <mergeCell ref="I1:I2"/>
    <mergeCell ref="J1:J2"/>
    <mergeCell ref="A1:A2"/>
    <mergeCell ref="B1:B2"/>
    <mergeCell ref="C1:C2"/>
    <mergeCell ref="D1:D2"/>
    <mergeCell ref="E1:E2"/>
    <mergeCell ref="F1:F2"/>
    <mergeCell ref="G1:G2"/>
    <mergeCell ref="H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>
      <selection activeCell="H21" sqref="H21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20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20" s="35" customFormat="1" ht="15.75" customHeight="1" x14ac:dyDescent="0.25">
      <c r="A2" s="8" t="s">
        <v>13</v>
      </c>
      <c r="B2" s="53">
        <f>RTD("tickerplantrtdserver",,"35#1#1#6069#FUTCUR#N1#0#XX#Bid")</f>
        <v>73.63</v>
      </c>
      <c r="C2" s="54">
        <f>RTD("tickerplantrtdserver",,"35#1#1#6069#FUTCUR#N1#0#XX#Ask")</f>
        <v>73.635000000000005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20" s="35" customFormat="1" x14ac:dyDescent="0.25">
      <c r="A3" s="7" t="s">
        <v>12</v>
      </c>
      <c r="B3" s="5">
        <f>RTD("tickerplantrtdserver",,"35#1#1#5949#FUTCUR#N1#0#XX#Bid")</f>
        <v>86.392499999999998</v>
      </c>
      <c r="C3" s="27">
        <f>RTD("tickerplantrtdserver",,"35#1#1#5949#FUTCUR#N1#0#XX#Ask")</f>
        <v>86.4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20" s="35" customFormat="1" x14ac:dyDescent="0.25">
      <c r="A4" s="7" t="s">
        <v>11</v>
      </c>
      <c r="B4" s="5">
        <f>RTD("tickerplantrtdserver",,"35#1#1#6031#FUTCUR#N1#0#XX#Bid")</f>
        <v>94.24</v>
      </c>
      <c r="C4" s="27">
        <f>RTD("tickerplantrtdserver",,"35#1#1#6031#FUTCUR#N1#0#XX#Ask")</f>
        <v>94.247500000000002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20" s="35" customFormat="1" ht="15.75" thickBot="1" x14ac:dyDescent="0.3">
      <c r="A5" s="6" t="s">
        <v>10</v>
      </c>
      <c r="B5" s="29">
        <f>RTD("tickerplantrtdserver",,"35#1#1#5978#FUTCUR#N1#0#XX#Bid")</f>
        <v>70.342500000000001</v>
      </c>
      <c r="C5" s="43">
        <f>RTD("tickerplantrtdserver",,"35#1#1#5978#FUTCUR#N1#0#XX#Ask")</f>
        <v>70.347499999999997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20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20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20" s="35" customFormat="1" x14ac:dyDescent="0.25">
      <c r="A8" s="36"/>
      <c r="B8" s="36"/>
      <c r="C8" s="36"/>
      <c r="D8" s="36"/>
      <c r="E8" s="36"/>
      <c r="F8" s="36"/>
      <c r="G8" s="36"/>
      <c r="K8" s="36"/>
      <c r="L8" s="36"/>
      <c r="P8" s="36"/>
      <c r="Q8" s="36"/>
    </row>
    <row r="9" spans="1:20" x14ac:dyDescent="0.25">
      <c r="A9" s="20"/>
      <c r="B9" s="20"/>
      <c r="C9" s="20"/>
      <c r="D9" s="20"/>
      <c r="E9" s="20"/>
      <c r="F9" s="20"/>
      <c r="G9" s="20"/>
      <c r="K9" s="58"/>
      <c r="L9" s="58"/>
      <c r="M9" s="14"/>
      <c r="N9" s="14"/>
      <c r="O9" s="14"/>
      <c r="P9" s="58"/>
      <c r="Q9" s="58"/>
      <c r="R9" s="14"/>
      <c r="S9" s="14"/>
      <c r="T9" s="14"/>
    </row>
    <row r="10" spans="1:20" x14ac:dyDescent="0.25">
      <c r="A10" s="20"/>
      <c r="B10" s="31"/>
      <c r="C10" s="31"/>
      <c r="D10" s="20"/>
      <c r="E10" s="20"/>
      <c r="F10" s="20"/>
      <c r="G10" s="20"/>
      <c r="K10" s="58"/>
      <c r="L10" s="58"/>
      <c r="M10" s="14"/>
      <c r="N10" s="14"/>
      <c r="O10" s="14"/>
      <c r="P10" s="58"/>
      <c r="Q10" s="58"/>
      <c r="R10" s="14"/>
      <c r="S10" s="14"/>
      <c r="T10" s="14"/>
    </row>
    <row r="11" spans="1:20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</row>
    <row r="12" spans="1:20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</row>
    <row r="13" spans="1:20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K13" s="21"/>
      <c r="L13" s="21"/>
      <c r="M13" s="32"/>
      <c r="N13" s="32"/>
      <c r="O13" s="32"/>
      <c r="P13" s="21"/>
      <c r="Q13" s="21"/>
      <c r="R13" s="32"/>
      <c r="S13" s="32"/>
      <c r="T13" s="32"/>
    </row>
    <row r="14" spans="1:20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K14" s="33"/>
      <c r="L14" s="34"/>
      <c r="M14" s="34"/>
      <c r="N14" s="34"/>
      <c r="O14" s="21"/>
      <c r="P14" s="33"/>
      <c r="Q14" s="34"/>
      <c r="R14" s="34"/>
      <c r="S14" s="34"/>
      <c r="T14" s="21"/>
    </row>
    <row r="15" spans="1:20" x14ac:dyDescent="0.25">
      <c r="A15" s="13"/>
      <c r="B15" s="21"/>
      <c r="C15" s="21"/>
      <c r="D15" s="20"/>
      <c r="E15" s="20"/>
      <c r="G15" s="13"/>
      <c r="H15" s="20"/>
      <c r="I15" s="20"/>
      <c r="J15" s="20"/>
      <c r="K15" s="14"/>
      <c r="L15" s="13"/>
      <c r="M15" s="58"/>
      <c r="N15" s="58"/>
      <c r="O15" s="58"/>
      <c r="P15" s="14"/>
      <c r="Q15" s="13"/>
      <c r="R15" s="58"/>
      <c r="S15" s="58"/>
      <c r="T15" s="58"/>
    </row>
    <row r="16" spans="1:20" x14ac:dyDescent="0.25">
      <c r="A16" s="15"/>
      <c r="B16" s="21"/>
      <c r="C16" s="21"/>
      <c r="D16" s="20"/>
      <c r="E16" s="20"/>
      <c r="G16" s="15"/>
      <c r="H16" s="20"/>
      <c r="I16" s="20"/>
      <c r="J16" s="20"/>
      <c r="K16" s="14"/>
      <c r="L16" s="15"/>
      <c r="M16" s="58"/>
      <c r="N16" s="58"/>
      <c r="O16" s="58"/>
      <c r="P16" s="14"/>
      <c r="Q16" s="15"/>
      <c r="R16" s="58"/>
      <c r="S16" s="58"/>
      <c r="T16" s="58"/>
    </row>
    <row r="17" spans="1:20" x14ac:dyDescent="0.25">
      <c r="A17" s="15"/>
      <c r="B17" s="21"/>
      <c r="C17" s="21"/>
      <c r="D17" s="20"/>
      <c r="E17" s="20"/>
      <c r="G17" s="15"/>
      <c r="H17" s="20"/>
      <c r="I17" s="20"/>
      <c r="J17" s="20"/>
      <c r="K17" s="14"/>
      <c r="L17" s="15"/>
      <c r="M17" s="58"/>
      <c r="N17" s="58"/>
      <c r="O17" s="58"/>
      <c r="P17" s="14"/>
      <c r="Q17" s="15"/>
      <c r="R17" s="58"/>
      <c r="S17" s="58"/>
      <c r="T17" s="58"/>
    </row>
    <row r="18" spans="1:20" x14ac:dyDescent="0.25">
      <c r="A18" s="15"/>
      <c r="B18" s="21"/>
      <c r="C18" s="21"/>
      <c r="D18" s="20"/>
      <c r="E18" s="20"/>
      <c r="G18" s="15"/>
      <c r="H18" s="20"/>
      <c r="I18" s="20"/>
      <c r="J18" s="20"/>
      <c r="K18" s="14"/>
      <c r="L18" s="15"/>
      <c r="M18" s="58"/>
      <c r="N18" s="58"/>
      <c r="O18" s="58"/>
      <c r="P18" s="14"/>
      <c r="Q18" s="15"/>
      <c r="R18" s="58"/>
      <c r="S18" s="58"/>
      <c r="T18" s="58"/>
    </row>
    <row r="19" spans="1:20" x14ac:dyDescent="0.25">
      <c r="A19" s="15"/>
      <c r="B19" s="21"/>
      <c r="C19" s="21"/>
      <c r="D19" s="20"/>
      <c r="E19" s="20"/>
      <c r="G19" s="15"/>
      <c r="H19" s="20"/>
      <c r="I19" s="20"/>
      <c r="J19" s="20"/>
      <c r="K19" s="14"/>
      <c r="L19" s="15"/>
      <c r="M19" s="58"/>
      <c r="N19" s="58"/>
      <c r="O19" s="58"/>
      <c r="P19" s="14"/>
      <c r="Q19" s="15"/>
      <c r="R19" s="58"/>
      <c r="S19" s="58"/>
      <c r="T19" s="58"/>
    </row>
    <row r="20" spans="1:20" x14ac:dyDescent="0.25"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25"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25"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31" spans="1:20" x14ac:dyDescent="0.25">
      <c r="P31" s="5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4"/>
  <sheetViews>
    <sheetView workbookViewId="0">
      <selection activeCell="C3" sqref="C3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425781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RTD("tickerplantrtdserver",,"35#1#1#6069#FUTCUR#N2#0#XX#Bid")</f>
        <v>73.855000000000004</v>
      </c>
      <c r="C2" s="54">
        <f>RTD("tickerplantrtdserver",,"35#1#1#6069#FUTCUR#N2#0#XX#Ask")</f>
        <v>73.86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RTD("tickerplantrtdserver",,"35#1#1#5949#FUTCUR#N2#0#XX#Bid")</f>
        <v>86.685000000000002</v>
      </c>
      <c r="C3" s="27">
        <f>RTD("tickerplantrtdserver",,"35#1#1#5949#FUTCUR#N2#0#XX#Ask")</f>
        <v>86.692499999999995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RTD("tickerplantrtdserver",,"35#1#1#6031#FUTCUR#N2#0#XX#Bid")</f>
        <v>94.53</v>
      </c>
      <c r="C4" s="27">
        <f>RTD("tickerplantrtdserver",,"35#1#1#6031#FUTCUR#N2#0#XX#Ask")</f>
        <v>94.54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RTD("tickerplantrtdserver",,"35#1#1#5978#FUTCUR#N2#0#XX#Bid")</f>
        <v>70.555000000000007</v>
      </c>
      <c r="C5" s="43">
        <f>RTD("tickerplantrtdserver",,"35#1#1#5978#FUTCUR#N2#0#XX#Ask")</f>
        <v>70.5625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J8" s="36"/>
      <c r="M8" s="36"/>
      <c r="P8" s="36"/>
      <c r="S8" s="36"/>
    </row>
    <row r="9" spans="1:19" x14ac:dyDescent="0.25">
      <c r="A9" s="20"/>
      <c r="B9" s="20"/>
      <c r="C9" s="20"/>
      <c r="D9" s="20"/>
      <c r="E9" s="20"/>
      <c r="F9" s="20"/>
      <c r="G9" s="20"/>
      <c r="J9" s="58"/>
      <c r="K9" s="14"/>
      <c r="L9" s="14"/>
      <c r="M9" s="58"/>
      <c r="N9" s="14"/>
      <c r="O9" s="14"/>
      <c r="P9" s="58"/>
      <c r="Q9" s="14"/>
      <c r="R9" s="14"/>
      <c r="S9" s="58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14"/>
      <c r="L10" s="14"/>
      <c r="M10" s="58"/>
      <c r="N10" s="14"/>
      <c r="O10" s="14"/>
      <c r="P10" s="58"/>
      <c r="Q10" s="14"/>
      <c r="R10" s="14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32"/>
      <c r="L13" s="32"/>
      <c r="M13" s="21"/>
      <c r="N13" s="32"/>
      <c r="O13" s="32"/>
      <c r="P13" s="21"/>
      <c r="Q13" s="32"/>
      <c r="R13" s="32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J15" s="13"/>
      <c r="K15" s="58"/>
      <c r="L15" s="58"/>
      <c r="M15" s="13"/>
      <c r="N15" s="58"/>
      <c r="O15" s="58"/>
      <c r="P15" s="13"/>
      <c r="Q15" s="58"/>
      <c r="R15" s="58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J16" s="15"/>
      <c r="K16" s="58"/>
      <c r="L16" s="58"/>
      <c r="M16" s="15"/>
      <c r="N16" s="58"/>
      <c r="O16" s="58"/>
      <c r="P16" s="15"/>
      <c r="Q16" s="58"/>
      <c r="R16" s="58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J17" s="15"/>
      <c r="K17" s="58"/>
      <c r="L17" s="58"/>
      <c r="M17" s="15"/>
      <c r="N17" s="58"/>
      <c r="O17" s="58"/>
      <c r="P17" s="15"/>
      <c r="Q17" s="58"/>
      <c r="R17" s="58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J18" s="15"/>
      <c r="K18" s="58"/>
      <c r="L18" s="58"/>
      <c r="M18" s="15"/>
      <c r="N18" s="58"/>
      <c r="O18" s="58"/>
      <c r="P18" s="15"/>
      <c r="Q18" s="58"/>
      <c r="R18" s="58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J19" s="15"/>
      <c r="K19" s="58"/>
      <c r="L19" s="58"/>
      <c r="M19" s="15"/>
      <c r="N19" s="58"/>
      <c r="O19" s="58"/>
      <c r="P19" s="15"/>
      <c r="Q19" s="58"/>
      <c r="R19" s="58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K24" s="14"/>
      <c r="L24" s="14"/>
      <c r="M24" s="14"/>
      <c r="N24" s="14"/>
      <c r="O24" s="14"/>
      <c r="P24" s="14"/>
      <c r="Q24" s="14"/>
      <c r="R24" s="14"/>
      <c r="S24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3"/>
  <sheetViews>
    <sheetView topLeftCell="D1" workbookViewId="0">
      <selection activeCell="E13" sqref="E13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RTD("tickerplantrtdserver",,"35#1#1#6069#FUTCUR#N3#0#XX#Bid")</f>
        <v>0</v>
      </c>
      <c r="C2" s="54">
        <f>RTD("tickerplantrtdserver",,"35#1#1#6069#FUTCUR#N3#0#XX#Ask")</f>
        <v>0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RTD("tickerplantrtdserver",,"35#1#1#5949#FUTCUR#N3#0#XX#Bid")</f>
        <v>0</v>
      </c>
      <c r="C3" s="27">
        <f>RTD("tickerplantrtdserver",,"35#1#1#5949#FUTCUR#N3#0#XX#Ask")</f>
        <v>0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RTD("tickerplantrtdserver",,"35#1#1#6031#FUTCUR#N3#0#XX#Bid")</f>
        <v>0</v>
      </c>
      <c r="C4" s="27">
        <f>RTD("tickerplantrtdserver",,"35#1#1#6031#FUTCUR#N3#0#XX#Ask")</f>
        <v>0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RTD("tickerplantrtdserver",,"35#1#1#5978#FUTCUR#N3#0#XX#Bid")</f>
        <v>0</v>
      </c>
      <c r="C5" s="43">
        <f>RTD("tickerplantrtdserver",,"35#1#1#5978#FUTCUR#N3#0#XX#Ask")</f>
        <v>0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M8" s="36"/>
    </row>
    <row r="9" spans="1:19" x14ac:dyDescent="0.25">
      <c r="A9" s="20"/>
      <c r="B9" s="20"/>
      <c r="C9" s="20"/>
      <c r="D9" s="20"/>
      <c r="E9" s="20"/>
      <c r="F9" s="20"/>
      <c r="G9" s="20"/>
      <c r="M9" s="2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58"/>
      <c r="L10" s="14"/>
      <c r="M10" s="14"/>
      <c r="N10" s="58"/>
      <c r="O10" s="58"/>
      <c r="P10" s="14"/>
      <c r="Q10" s="14"/>
      <c r="R10" s="58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21"/>
      <c r="L13" s="32"/>
      <c r="M13" s="32"/>
      <c r="N13" s="21"/>
      <c r="O13" s="21"/>
      <c r="P13" s="32"/>
      <c r="Q13" s="32"/>
      <c r="R13" s="21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3"/>
      <c r="K14" s="34"/>
      <c r="L14" s="34"/>
      <c r="M14" s="34"/>
      <c r="N14" s="33"/>
      <c r="O14" s="34"/>
      <c r="P14" s="34"/>
      <c r="Q14" s="34"/>
      <c r="R14" s="33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K15" s="13"/>
      <c r="L15" s="58"/>
      <c r="M15" s="58"/>
      <c r="N15" s="14"/>
      <c r="O15" s="13"/>
      <c r="P15" s="58"/>
      <c r="Q15" s="58"/>
      <c r="R15" s="14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K16" s="15"/>
      <c r="L16" s="58"/>
      <c r="M16" s="58"/>
      <c r="N16" s="14"/>
      <c r="O16" s="15"/>
      <c r="P16" s="58"/>
      <c r="Q16" s="58"/>
      <c r="R16" s="14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K17" s="15"/>
      <c r="L17" s="58"/>
      <c r="M17" s="58"/>
      <c r="N17" s="14"/>
      <c r="O17" s="15"/>
      <c r="P17" s="58"/>
      <c r="Q17" s="58"/>
      <c r="R17" s="14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K18" s="15"/>
      <c r="L18" s="58"/>
      <c r="M18" s="58"/>
      <c r="N18" s="14"/>
      <c r="O18" s="15"/>
      <c r="P18" s="58"/>
      <c r="Q18" s="58"/>
      <c r="R18" s="14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K19" s="15"/>
      <c r="L19" s="58"/>
      <c r="M19" s="58"/>
      <c r="N19" s="14"/>
      <c r="O19" s="15"/>
      <c r="P19" s="58"/>
      <c r="Q19" s="58"/>
      <c r="R19" s="14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6"/>
  <sheetViews>
    <sheetView workbookViewId="0">
      <selection activeCell="L16" sqref="L16"/>
    </sheetView>
  </sheetViews>
  <sheetFormatPr defaultRowHeight="15" x14ac:dyDescent="0.25"/>
  <cols>
    <col min="1" max="1" width="13.85546875" bestFit="1" customWidth="1"/>
    <col min="2" max="2" width="4.28515625" customWidth="1"/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62" t="str">
        <f>RTD("tickerplantrtdserver",,"FWRC1#USDINR#Month End Rates#0#S#Desc.2")</f>
        <v>CASH/SPOT</v>
      </c>
      <c r="D1" s="62" t="str">
        <f>RTD("tickerplantrtdserver",,"FWRC1#USDINR#Month End Rates#0#S#Desc.4")</f>
        <v>SEP-2020</v>
      </c>
      <c r="E1" s="62" t="str">
        <f>RTD("tickerplantrtdserver",,"FWRC1#USDINR#Month End Rates#0#S#Desc.5")</f>
        <v>OCT-2020</v>
      </c>
      <c r="F1" s="62" t="str">
        <f>RTD("tickerplantrtdserver",,"FWRC1#USDINR#Month End Rates#0#S#Desc.6")</f>
        <v>NOV-2020</v>
      </c>
      <c r="G1" s="62" t="str">
        <f>RTD("tickerplantrtdserver",,"FWRC1#USDINR#Month End Rates#0#S#Desc.7")</f>
        <v>DEC-2020</v>
      </c>
      <c r="H1" s="62" t="str">
        <f>RTD("tickerplantrtdserver",,"FWRC1#USDINR#Month End Rates#0#S#Desc.8")</f>
        <v>JAN-2021</v>
      </c>
      <c r="I1" s="62" t="str">
        <f>RTD("tickerplantrtdserver",,"FWRC1#USDINR#Month End Rates#0#S#Desc.9")</f>
        <v>FEB-2021</v>
      </c>
      <c r="J1" s="62" t="str">
        <f>RTD("tickerplantrtdserver",,"FWRC1#USDINR#Month End Rates#0#S#Desc.10")</f>
        <v>MAR-2021</v>
      </c>
      <c r="K1" s="62" t="str">
        <f>RTD("tickerplantrtdserver",,"FWRC1#USDINR#Month End Rates#0#S#Desc.11")</f>
        <v>APR-2021</v>
      </c>
      <c r="L1" s="62" t="str">
        <f>RTD("tickerplantrtdserver",,"FWRC1#USDINR#Month End Rates#0#S#Desc.12")</f>
        <v>MAY-2021</v>
      </c>
      <c r="M1" s="62" t="str">
        <f>RTD("tickerplantrtdserver",,"FWRC1#USDINR#Month End Rates#0#S#Desc.13")</f>
        <v>JUN-2021</v>
      </c>
      <c r="N1" s="62" t="str">
        <f>RTD("tickerplantrtdserver",,"FWRC1#USDINR#Month End Rates#0#S#Desc.14")</f>
        <v>JUL-2021</v>
      </c>
      <c r="O1" s="63" t="str">
        <f>RTD("tickerplantrtdserver",,"FWRC1#USDINR#Month End Rates#0#S#Desc.15")</f>
        <v>AUG-2021</v>
      </c>
    </row>
    <row r="2" spans="1:18" s="14" customFormat="1" ht="15.75" customHeight="1" x14ac:dyDescent="0.25">
      <c r="A2" s="159" t="s">
        <v>5</v>
      </c>
      <c r="B2" s="160"/>
      <c r="C2" s="108" t="str">
        <f>RTD("tickerplantrtdserver",,"FWRC1#USDINR#Month End Rates#0#S#MonthEndDate2")</f>
        <v>24-Sep-2020</v>
      </c>
      <c r="D2" s="108" t="str">
        <f>RTD("tickerplantrtdserver",,"FWRC1#USDINR#Month End Rates#0#S#MonthEndDate4")</f>
        <v>30-Sep-2020</v>
      </c>
      <c r="E2" s="108" t="str">
        <f t="array" ref="E2">RTD("tickerplantrtdserver",,"FWRC1#USDINR#Month End Rates#0#S#MonthEndDate5")</f>
        <v>29-Oct-2020</v>
      </c>
      <c r="F2" s="108" t="str">
        <f t="array" ref="F2">RTD("tickerplantrtdserver",,"FWRC1#USDINR#Month End Rates#0#S#MonthEndDate6")</f>
        <v>27-Nov-2020</v>
      </c>
      <c r="G2" s="108" t="str">
        <f t="array" ref="G2">RTD("tickerplantrtdserver",,"FWRC1#USDINR#Month End Rates#0#S#MonthEndDate7")</f>
        <v>31-Dec-2020</v>
      </c>
      <c r="H2" s="108" t="str">
        <f t="array" ref="H2">RTD("tickerplantrtdserver",,"FWRC1#USDINR#Month End Rates#0#S#MonthEndDate8")</f>
        <v>29-Jan-2021</v>
      </c>
      <c r="I2" s="108" t="str">
        <f t="array" ref="I2">RTD("tickerplantrtdserver",,"FWRC1#USDINR#Month End Rates#0#S#MonthEndDate9")</f>
        <v>26-Feb-2021</v>
      </c>
      <c r="J2" s="108" t="str">
        <f t="array" ref="J2">RTD("tickerplantrtdserver",,"FWRC1#USDINR#Month End Rates#0#S#MonthEndDate10")</f>
        <v>31-Mar-2021</v>
      </c>
      <c r="K2" s="108" t="str">
        <f t="array" ref="K2">RTD("tickerplantrtdserver",,"FWRC1#USDINR#Month End Rates#0#S#MonthEndDate11")</f>
        <v>30-Apr-2021</v>
      </c>
      <c r="L2" s="108" t="str">
        <f t="array" ref="L2">RTD("tickerplantrtdserver",,"FWRC1#USDINR#Month End Rates#0#S#MonthEndDate12")</f>
        <v>31-May-2021</v>
      </c>
      <c r="M2" s="108" t="str">
        <f t="array" ref="M2">RTD("tickerplantrtdserver",,"FWRC1#USDINR#Month End Rates#0#S#MonthEndDate13")</f>
        <v>30-Jun-2021</v>
      </c>
      <c r="N2" s="108" t="str">
        <f t="array" ref="N2">RTD("tickerplantrtdserver",,"FWRC1#USDINR#Month End Rates#0#S#MonthEndDate14")</f>
        <v>30-Jul-2021</v>
      </c>
      <c r="O2" s="109" t="str">
        <f>RTD("tickerplantrtdserver",,"FWRC1#USDINR#Month End Rates#0#S#MonthEndDate15")</f>
        <v>31-Aug-2021</v>
      </c>
      <c r="P2" s="30"/>
    </row>
    <row r="3" spans="1:18" s="14" customFormat="1" x14ac:dyDescent="0.25">
      <c r="A3" s="161" t="s">
        <v>4</v>
      </c>
      <c r="B3" s="162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P3" s="15"/>
    </row>
    <row r="4" spans="1:18" s="14" customFormat="1" x14ac:dyDescent="0.25">
      <c r="A4" s="159" t="s">
        <v>47</v>
      </c>
      <c r="B4" s="160"/>
      <c r="C4" s="65">
        <f t="array" ref="C4">RTD("tickerplantrtdserver",,"FWRC1#USDINR#Month End Rates#0#BidPrice2")</f>
        <v>0.5</v>
      </c>
      <c r="D4" s="65">
        <f t="array" ref="D4">RTD("tickerplantrtdserver",,"FWRC1#USDINR#Month End Rates#0#BidPrice4")</f>
        <v>4.75</v>
      </c>
      <c r="E4" s="65">
        <f t="array" ref="E4">RTD("tickerplantrtdserver",,"FWRC1#USDINR#Month End Rates#0#BidPrice5")</f>
        <v>27</v>
      </c>
      <c r="F4" s="65">
        <f t="array" ref="F4">RTD("tickerplantrtdserver",,"FWRC1#USDINR#Month End Rates#0#BidPrice6")</f>
        <v>49.75</v>
      </c>
      <c r="G4" s="65">
        <f t="array" ref="G4">RTD("tickerplantrtdserver",,"FWRC1#USDINR#Month End Rates#0#BidPrice7")</f>
        <v>76.5</v>
      </c>
      <c r="H4" s="65">
        <f t="array" ref="H4">RTD("tickerplantrtdserver",,"FWRC1#USDINR#Month End Rates#0#BidPrice8")</f>
        <v>101</v>
      </c>
      <c r="I4" s="65">
        <f t="array" ref="I4">RTD("tickerplantrtdserver",,"FWRC1#USDINR#Month End Rates#0#BidPrice9")</f>
        <v>124</v>
      </c>
      <c r="J4" s="65">
        <f t="array" ref="J4">RTD("tickerplantrtdserver",,"FWRC1#USDINR#Month End Rates#0#BidPrice10")</f>
        <v>152</v>
      </c>
      <c r="K4" s="65">
        <f t="array" ref="K4">RTD("tickerplantrtdserver",,"FWRC1#USDINR#Month End Rates#0#BidPrice11")</f>
        <v>191</v>
      </c>
      <c r="L4" s="65">
        <f t="array" ref="L4">RTD("tickerplantrtdserver",,"FWRC1#USDINR#Month End Rates#0#BidPrice12")</f>
        <v>215</v>
      </c>
      <c r="M4" s="65">
        <f t="array" ref="M4">RTD("tickerplantrtdserver",,"FWRC1#USDINR#Month End Rates#0#BidPrice13")</f>
        <v>242.5</v>
      </c>
      <c r="N4" s="65">
        <f t="array" ref="N4">RTD("tickerplantrtdserver",,"FWRC1#USDINR#Month End Rates#0#BidPrice14")</f>
        <v>268.5</v>
      </c>
      <c r="O4" s="67">
        <f t="array" ref="O4">RTD("tickerplantrtdserver",,"FWRC1#USDINR#Month End Rates#0#BidPrice15")</f>
        <v>295.5</v>
      </c>
      <c r="P4" s="20"/>
    </row>
    <row r="5" spans="1:18" s="14" customFormat="1" x14ac:dyDescent="0.25">
      <c r="A5" s="159" t="s">
        <v>48</v>
      </c>
      <c r="B5" s="160"/>
      <c r="C5" s="65">
        <f t="array" ref="C5">RTD("tickerplantrtdserver",,"FWRC1#USDINR#Month End Rates#0#BidPrice2")</f>
        <v>0.5</v>
      </c>
      <c r="D5" s="65">
        <f t="array" ref="D5">RTD("tickerplantrtdserver",,"FWRC1#USDINR#Month End Rates#0#BidPrice4")</f>
        <v>4.75</v>
      </c>
      <c r="E5" s="65">
        <f t="array" ref="E5">RTD("tickerplantrtdserver",,"FWRC1#USDINR#Month End Rates#0#AskPrice5")</f>
        <v>28</v>
      </c>
      <c r="F5" s="65">
        <f t="array" ref="F5">RTD("tickerplantrtdserver",,"FWRC1#USDINR#Month End Rates#0#AskPrice6")</f>
        <v>50.75</v>
      </c>
      <c r="G5" s="65">
        <f t="array" ref="G5">RTD("tickerplantrtdserver",,"FWRC1#USDINR#Month End Rates#0#AskPrice7")</f>
        <v>78.5</v>
      </c>
      <c r="H5" s="65">
        <f t="array" ref="H5">RTD("tickerplantrtdserver",,"FWRC1#USDINR#Month End Rates#0#AskPrice8")</f>
        <v>102.5</v>
      </c>
      <c r="I5" s="65">
        <f t="array" ref="I5">RTD("tickerplantrtdserver",,"FWRC1#USDINR#Month End Rates#0#AskPrice9")</f>
        <v>125.5</v>
      </c>
      <c r="J5" s="65">
        <f t="array" ref="J5">RTD("tickerplantrtdserver",,"FWRC1#USDINR#Month End Rates#0#AskPrice10")</f>
        <v>153.5</v>
      </c>
      <c r="K5" s="65">
        <f t="array" ref="K5">RTD("tickerplantrtdserver",,"FWRC1#USDINR#Month End Rates#0#AskPrice11")</f>
        <v>192.5</v>
      </c>
      <c r="L5" s="65">
        <f t="array" ref="L5">RTD("tickerplantrtdserver",,"FWRC1#USDINR#Month End Rates#0#AskPrice12")</f>
        <v>216.5</v>
      </c>
      <c r="M5" s="65">
        <f t="array" ref="M5">RTD("tickerplantrtdserver",,"FWRC1#USDINR#Month End Rates#0#AskPrice13")</f>
        <v>244</v>
      </c>
      <c r="N5" s="65">
        <f t="array" ref="N5">RTD("tickerplantrtdserver",,"FWRC1#USDINR#Month End Rates#0#AskPrice14")</f>
        <v>270</v>
      </c>
      <c r="O5" s="67">
        <f t="array" ref="O5">RTD("tickerplantrtdserver",,"FWRC1#USDINR#Month End Rates#0#AskPrice15")</f>
        <v>297</v>
      </c>
      <c r="P5" s="20"/>
    </row>
    <row r="6" spans="1:18" s="14" customFormat="1" x14ac:dyDescent="0.25">
      <c r="A6" s="161" t="s">
        <v>3</v>
      </c>
      <c r="B6" s="162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  <c r="P6" s="20"/>
    </row>
    <row r="7" spans="1:18" s="14" customFormat="1" x14ac:dyDescent="0.25">
      <c r="A7" s="159" t="s">
        <v>47</v>
      </c>
      <c r="B7" s="160"/>
      <c r="C7" s="64">
        <f t="array" ref="C7">RTD("tickerplantrtdserver",,"FWRC1#USDINR#Month End Rates#0#FwdOutrightBid1")</f>
        <v>73.564999999999998</v>
      </c>
      <c r="D7" s="64">
        <f>RTD("tickerplantrtdserver",,"FWRC1#USDINR#Month End Rates#0#FwdOutrightBid4")</f>
        <v>73.637500000000003</v>
      </c>
      <c r="E7" s="64">
        <f t="array" ref="E7">RTD("tickerplantrtdserver",,"FWRC1#USDINR#Month End Rates#0#FwdOutrightBid5")</f>
        <v>73.86</v>
      </c>
      <c r="F7" s="64">
        <f t="array" ref="F7">RTD("tickerplantrtdserver",,"FWRC1#USDINR#Month End Rates#0#FwdOutrightBid6")</f>
        <v>74.087500000000006</v>
      </c>
      <c r="G7" s="64">
        <f t="array" ref="G7">RTD("tickerplantrtdserver",,"FWRC1#USDINR#Month End Rates#0#FwdOutrightBid7")</f>
        <v>74.355000000000004</v>
      </c>
      <c r="H7" s="64">
        <f t="array" ref="H7">RTD("tickerplantrtdserver",,"FWRC1#USDINR#Month End Rates#0#FwdOutrightBid8")</f>
        <v>74.599999999999994</v>
      </c>
      <c r="I7" s="64">
        <f t="array" ref="I7">RTD("tickerplantrtdserver",,"FWRC1#USDINR#Month End Rates#0#FwdOutrightBid9")</f>
        <v>74.83</v>
      </c>
      <c r="J7" s="64">
        <f t="array" ref="J7">RTD("tickerplantrtdserver",,"FWRC1#USDINR#Month End Rates#0#FwdOutrightBid10")</f>
        <v>75.11</v>
      </c>
      <c r="K7" s="64">
        <f t="array" ref="K7">RTD("tickerplantrtdserver",,"FWRC1#USDINR#Month End Rates#0#FwdOutrightBid11")</f>
        <v>75.5</v>
      </c>
      <c r="L7" s="64">
        <f t="array" ref="L7">RTD("tickerplantrtdserver",,"FWRC1#USDINR#Month End Rates#0#FwdOutrightBid12")</f>
        <v>75.739999999999995</v>
      </c>
      <c r="M7" s="64">
        <f t="array" ref="M7">RTD("tickerplantrtdserver",,"FWRC1#USDINR#Month End Rates#0#FwdOutrightBid13")</f>
        <v>76.015000000000001</v>
      </c>
      <c r="N7" s="64">
        <f t="array" ref="N7">RTD("tickerplantrtdserver",,"FWRC1#USDINR#Month End Rates#0#FwdOutrightBid14")</f>
        <v>76.275000000000006</v>
      </c>
      <c r="O7" s="68">
        <f t="array" ref="O7">RTD("tickerplantrtdserver",,"FWRC1#USDINR#Month End Rates#0#FwdOutrightBid15")</f>
        <v>76.545000000000002</v>
      </c>
      <c r="P7" s="20"/>
    </row>
    <row r="8" spans="1:18" s="14" customFormat="1" x14ac:dyDescent="0.25">
      <c r="A8" s="159" t="s">
        <v>48</v>
      </c>
      <c r="B8" s="160"/>
      <c r="C8" s="64">
        <f t="array" ref="C8">RTD("tickerplantrtdserver",,"FWRC1#USDINR#Month End Rates#0#FwdOutrightAsk1")</f>
        <v>73.594999999999999</v>
      </c>
      <c r="D8" s="64">
        <f t="array" ref="D8">RTD("tickerplantrtdserver",,"FWRC1#USDINR#Month End Rates#0#FwdOutrightAsk4")</f>
        <v>73.667500000000004</v>
      </c>
      <c r="E8" s="64">
        <f t="array" ref="E8">RTD("tickerplantrtdserver",,"FWRC1#USDINR#Month End Rates#0#FwdOutrightAsk5")</f>
        <v>73.88</v>
      </c>
      <c r="F8" s="64">
        <f t="array" ref="F8">RTD("tickerplantrtdserver",,"FWRC1#USDINR#Month End Rates#0#FwdOutrightAsk6")</f>
        <v>74.107500000000002</v>
      </c>
      <c r="G8" s="64">
        <f t="array" ref="G8">RTD("tickerplantrtdserver",,"FWRC1#USDINR#Month End Rates#0#FwdOutrightAsk7")</f>
        <v>74.385000000000005</v>
      </c>
      <c r="H8" s="64">
        <f t="array" ref="H8">RTD("tickerplantrtdserver",,"FWRC1#USDINR#Month End Rates#0#FwdOutrightAsk8")</f>
        <v>74.625</v>
      </c>
      <c r="I8" s="64">
        <f t="array" ref="I8">RTD("tickerplantrtdserver",,"FWRC1#USDINR#Month End Rates#0#FwdOutrightAsk9")</f>
        <v>74.855000000000004</v>
      </c>
      <c r="J8" s="64">
        <f t="array" ref="J8">RTD("tickerplantrtdserver",,"FWRC1#USDINR#Month End Rates#0#FwdOutrightAsk10")</f>
        <v>75.135000000000005</v>
      </c>
      <c r="K8" s="64">
        <f t="array" ref="K8">RTD("tickerplantrtdserver",,"FWRC1#USDINR#Month End Rates#0#FwdOutrightAsk11")</f>
        <v>75.525000000000006</v>
      </c>
      <c r="L8" s="64">
        <f t="array" ref="L8">RTD("tickerplantrtdserver",,"FWRC1#USDINR#Month End Rates#0#FwdOutrightAsk12")</f>
        <v>75.765000000000001</v>
      </c>
      <c r="M8" s="64">
        <f t="array" ref="M8">RTD("tickerplantrtdserver",,"FWRC1#USDINR#Month End Rates#0#FwdOutrightAsk13")</f>
        <v>76.040000000000006</v>
      </c>
      <c r="N8" s="64">
        <f t="array" ref="N8">RTD("tickerplantrtdserver",,"FWRC1#USDINR#Month End Rates#0#FwdOutrightAsk14")</f>
        <v>76.3</v>
      </c>
      <c r="O8" s="68">
        <f t="array" ref="O8">RTD("tickerplantrtdserver",,"FWRC1#USDINR#Month End Rates#0#FwdOutrightAsk15")</f>
        <v>76.569999999999993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6">
        <f t="array" ref="C10">RTD("tickerplantrtdserver",,"FWRC1#USDINR#Month End Rates#0#Bid%2")</f>
        <v>1.2398</v>
      </c>
      <c r="D10" s="66">
        <f t="array" ref="D10">RTD("tickerplantrtdserver",,"FWRC1#USDINR#Month End Rates#0#Bid%4")</f>
        <v>3.9260999999999999</v>
      </c>
      <c r="E10" s="65">
        <f t="array" ref="E10">RTD("tickerplantrtdserver",,"FWRC1#USDINR#Month End Rates#0#Bid%5")</f>
        <v>3.8256999999999999</v>
      </c>
      <c r="F10" s="65">
        <f t="array" ref="F10">RTD("tickerplantrtdserver",,"FWRC1#USDINR#Month End Rates#0#Bid%6")</f>
        <v>3.855</v>
      </c>
      <c r="G10" s="65">
        <f t="array" ref="G10">RTD("tickerplantrtdserver",,"FWRC1#USDINR#Month End Rates#0#Bid%7")</f>
        <v>3.8712</v>
      </c>
      <c r="H10" s="65">
        <f t="array" ref="H10">RTD("tickerplantrtdserver",,"FWRC1#USDINR#Month End Rates#0#Bid%8")</f>
        <v>3.944</v>
      </c>
      <c r="I10" s="65">
        <f t="array" ref="I10">RTD("tickerplantrtdserver",,"FWRC1#USDINR#Month End Rates#0#Bid%9")</f>
        <v>3.9674</v>
      </c>
      <c r="J10" s="65">
        <f t="array" ref="J10">RTD("tickerplantrtdserver",,"FWRC1#USDINR#Month End Rates#0#Bid%10")</f>
        <v>4.0095999999999998</v>
      </c>
      <c r="K10" s="65">
        <f t="array" ref="K10">RTD("tickerplantrtdserver",,"FWRC1#USDINR#Month End Rates#0#Bid%11")</f>
        <v>4.3449999999999998</v>
      </c>
      <c r="L10" s="65">
        <f t="array" ref="L10">RTD("tickerplantrtdserver",,"FWRC1#USDINR#Month End Rates#0#Bid%12")</f>
        <v>4.2820999999999998</v>
      </c>
      <c r="M10" s="65">
        <f t="array" ref="M10">RTD("tickerplantrtdserver",,"FWRC1#USDINR#Month End Rates#0#Bid%13")</f>
        <v>4.3103999999999996</v>
      </c>
      <c r="N10" s="65">
        <f t="array" ref="N10">RTD("tickerplantrtdserver",,"FWRC1#USDINR#Month End Rates#0#Bid%14")</f>
        <v>4.3091999999999997</v>
      </c>
      <c r="O10" s="67">
        <f t="array" ref="O10">RTD("tickerplantrtdserver",,"FWRC1#USDINR#Month End Rates#0#Bid%15")</f>
        <v>4.2975000000000003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RTD("tickerplantrtdserver",,"FWRC1#USDINR#Month End Rates#0#Ask%2")</f>
        <v>6.1999000000000004</v>
      </c>
      <c r="D11" s="69">
        <f t="array" ref="D11">RTD("tickerplantrtdserver",,"FWRC1#USDINR#Month End Rates#0#Ask%4")</f>
        <v>5.5799000000000003</v>
      </c>
      <c r="E11" s="69">
        <f t="array" ref="E11">RTD("tickerplantrtdserver",,"FWRC1#USDINR#Month End Rates#0#Ask%5")</f>
        <v>3.9679000000000002</v>
      </c>
      <c r="F11" s="69">
        <f t="array" ref="F11">RTD("tickerplantrtdserver",,"FWRC1#USDINR#Month End Rates#0#Ask%6")</f>
        <v>3.9331</v>
      </c>
      <c r="G11" s="69">
        <f t="array" ref="G11">RTD("tickerplantrtdserver",,"FWRC1#USDINR#Month End Rates#0#Ask%7")</f>
        <v>3.9729999999999999</v>
      </c>
      <c r="H11" s="69">
        <f t="array" ref="H11">RTD("tickerplantrtdserver",,"FWRC1#USDINR#Month End Rates#0#Ask%8")</f>
        <v>4.0030999999999999</v>
      </c>
      <c r="I11" s="69">
        <f t="array" ref="I11">RTD("tickerplantrtdserver",,"FWRC1#USDINR#Month End Rates#0#Ask%9")</f>
        <v>4.0159000000000002</v>
      </c>
      <c r="J11" s="69">
        <f t="array" ref="J11">RTD("tickerplantrtdserver",,"FWRC1#USDINR#Month End Rates#0#Ask%10")</f>
        <v>4.0496999999999996</v>
      </c>
      <c r="K11" s="69">
        <f t="array" ref="K11">RTD("tickerplantrtdserver",,"FWRC1#USDINR#Month End Rates#0#Ask%11")</f>
        <v>4.3796999999999997</v>
      </c>
      <c r="L11" s="69">
        <f t="array" ref="L11">RTD("tickerplantrtdserver",,"FWRC1#USDINR#Month End Rates#0#Ask%12")</f>
        <v>4.3125</v>
      </c>
      <c r="M11" s="69">
        <f t="array" ref="M11">RTD("tickerplantrtdserver",,"FWRC1#USDINR#Month End Rates#0#Ask%13")</f>
        <v>4.3376999999999999</v>
      </c>
      <c r="N11" s="69">
        <f t="array" ref="N11">RTD("tickerplantrtdserver",,"FWRC1#USDINR#Month End Rates#0#Ask%14")</f>
        <v>4.3338999999999999</v>
      </c>
      <c r="O11" s="70">
        <f t="array" ref="O11">RTD("tickerplantrtdserver",,"FWRC1#USDINR#Month End Rates#0#Ask%15")</f>
        <v>4.3198999999999996</v>
      </c>
    </row>
    <row r="12" spans="1:18" s="14" customFormat="1" ht="15.75" customHeight="1" x14ac:dyDescent="0.25"/>
    <row r="13" spans="1:18" s="14" customFormat="1" x14ac:dyDescent="0.25">
      <c r="Q13" s="23"/>
      <c r="R13" s="23"/>
    </row>
    <row r="14" spans="1:18" s="14" customFormat="1" x14ac:dyDescent="0.25">
      <c r="P14" s="31"/>
      <c r="Q14" s="31"/>
      <c r="R14" s="31"/>
    </row>
    <row r="15" spans="1:18" s="14" customFormat="1" x14ac:dyDescent="0.25"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s="14" customForma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6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6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6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6" s="2" customForma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6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6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6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6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6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6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6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6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x14ac:dyDescent="0.25">
      <c r="A36" s="1"/>
      <c r="B36" s="1"/>
    </row>
  </sheetData>
  <mergeCells count="12">
    <mergeCell ref="A10:B10"/>
    <mergeCell ref="A11:B11"/>
    <mergeCell ref="A8:B8"/>
    <mergeCell ref="A9:B9"/>
    <mergeCell ref="C9:O9"/>
    <mergeCell ref="A1:B1"/>
    <mergeCell ref="A7:B7"/>
    <mergeCell ref="A5:B5"/>
    <mergeCell ref="A4:B4"/>
    <mergeCell ref="A2:B2"/>
    <mergeCell ref="A6:B6"/>
    <mergeCell ref="A3:B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3"/>
  <sheetViews>
    <sheetView workbookViewId="0">
      <selection activeCell="D12" sqref="D12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3" t="str">
        <f t="array" ref="C1">RTD("tickerplantrtdserver",,"FWRC1#USDINR#Month Wise Rates#0#S#Desc.2")</f>
        <v>TN</v>
      </c>
      <c r="D1" s="73" t="str">
        <f t="array" ref="D1">RTD("tickerplantrtdserver",,"FWRC1#USDINR#Month Wise Rates#0#S#Desc.7")</f>
        <v>1M</v>
      </c>
      <c r="E1" s="73" t="str">
        <f t="array" ref="E1">RTD("tickerplantrtdserver",,"FWRC1#USDINR#Month Wise Rates#0#S#Desc.8")</f>
        <v>2M</v>
      </c>
      <c r="F1" s="73" t="str">
        <f t="array" ref="F1">RTD("tickerplantrtdserver",,"FWRC1#USDINR#Month Wise Rates#0#S#Desc.9")</f>
        <v>3M</v>
      </c>
      <c r="G1" s="73" t="str">
        <f t="array" ref="G1">RTD("tickerplantrtdserver",,"FWRC1#USDINR#Month Wise Rates#0#S#Desc.10")</f>
        <v>4M</v>
      </c>
      <c r="H1" s="73" t="str">
        <f t="array" ref="H1">RTD("tickerplantrtdserver",,"FWRC1#USDINR#Month Wise Rates#0#S#Desc.11")</f>
        <v>5M</v>
      </c>
      <c r="I1" s="73" t="str">
        <f t="array" ref="I1">RTD("tickerplantrtdserver",,"FWRC1#USDINR#Month Wise Rates#0#S#Desc.12")</f>
        <v>6M</v>
      </c>
      <c r="J1" s="73" t="str">
        <f t="array" ref="J1">RTD("tickerplantrtdserver",,"FWRC1#USDINR#Month Wise Rates#0#S#Desc.13")</f>
        <v>7M</v>
      </c>
      <c r="K1" s="73" t="str">
        <f t="array" ref="K1">RTD("tickerplantrtdserver",,"FWRC1#USDINR#Month Wise Rates#0#S#Desc.14")</f>
        <v>8M</v>
      </c>
      <c r="L1" s="73" t="str">
        <f t="array" ref="L1">RTD("tickerplantrtdserver",,"FWRC1#USDINR#Month Wise Rates#0#S#Desc.15")</f>
        <v>9M</v>
      </c>
      <c r="M1" s="73" t="str">
        <f t="array" ref="M1">RTD("tickerplantrtdserver",,"FWRC1#USDINR#Month Wise Rates#0#S#Desc.16")</f>
        <v>10M</v>
      </c>
      <c r="N1" s="73" t="str">
        <f t="array" ref="N1">RTD("tickerplantrtdserver",,"FWRC1#USDINR#Month Wise Rates#0#S#Desc.17")</f>
        <v>11M</v>
      </c>
      <c r="O1" s="74" t="str">
        <f t="array" ref="O1">RTD("tickerplantrtdserver",,"FWRC1#USDINR#Month Wise Rates#0#S#Desc.18")</f>
        <v>12M</v>
      </c>
    </row>
    <row r="2" spans="1:18" s="14" customFormat="1" ht="15.75" customHeight="1" x14ac:dyDescent="0.25">
      <c r="A2" s="159" t="s">
        <v>5</v>
      </c>
      <c r="B2" s="160"/>
      <c r="C2" s="72" t="str">
        <f t="array" ref="C2">RTD("tickerplantrtdserver",,"FWRC1#USDINR#Month Wise Rates#0#S#PillarDate2")</f>
        <v>24-Sep-2020</v>
      </c>
      <c r="D2" s="71" t="str">
        <f t="array" ref="D2">RTD("tickerplantrtdserver",,"FWRC1#USDINR#Month Wise Rates#0#S#PillarDate7")</f>
        <v>26-Oct-2020</v>
      </c>
      <c r="E2" s="71" t="str">
        <f t="array" ref="E2">RTD("tickerplantrtdserver",,"FWRC1#USDINR#Month Wise Rates#0#S#PillarDate8")</f>
        <v>24-Nov-2020</v>
      </c>
      <c r="F2" s="71" t="str">
        <f t="array" ref="F2">RTD("tickerplantrtdserver",,"FWRC1#USDINR#Month Wise Rates#0#S#PillarDate9")</f>
        <v>24-Dec-2020</v>
      </c>
      <c r="G2" s="71" t="str">
        <f t="array" ref="G2">RTD("tickerplantrtdserver",,"FWRC1#USDINR#Month Wise Rates#0#S#PillarDate10")</f>
        <v>25-Jan-2021</v>
      </c>
      <c r="H2" s="71" t="str">
        <f t="array" ref="H2">RTD("tickerplantrtdserver",,"FWRC1#USDINR#Month Wise Rates#0#S#PillarDate11")</f>
        <v>24-Feb-2021</v>
      </c>
      <c r="I2" s="71" t="str">
        <f t="array" ref="I2">RTD("tickerplantrtdserver",,"FWRC1#USDINR#Month Wise Rates#0#S#PillarDate12")</f>
        <v>24-Mar-2021</v>
      </c>
      <c r="J2" s="71" t="str">
        <f t="array" ref="J2">RTD("tickerplantrtdserver",,"FWRC1#USDINR#Month Wise Rates#0#S#PillarDate13")</f>
        <v>26-Apr-2021</v>
      </c>
      <c r="K2" s="71" t="str">
        <f t="array" ref="K2">RTD("tickerplantrtdserver",,"FWRC1#USDINR#Month Wise Rates#0#S#PillarDate14")</f>
        <v>24-May-2021</v>
      </c>
      <c r="L2" s="71" t="str">
        <f t="array" ref="L2">RTD("tickerplantrtdserver",,"FWRC1#USDINR#Month Wise Rates#0#S#PillarDate15")</f>
        <v>24-Jun-2021</v>
      </c>
      <c r="M2" s="71" t="str">
        <f t="array" ref="M2">RTD("tickerplantrtdserver",,"FWRC1#USDINR#Month Wise Rates#0#S#PillarDate16")</f>
        <v>26-Jul-2021</v>
      </c>
      <c r="N2" s="71" t="str">
        <f t="array" ref="N2">RTD("tickerplantrtdserver",,"FWRC1#USDINR#Month Wise Rates#0#S#PillarDate17")</f>
        <v>24-Aug-2021</v>
      </c>
      <c r="O2" s="75" t="str">
        <f t="array" ref="O2">RTD("tickerplantrtdserver",,"FWRC1#USDINR#Month Wise Rates#0#S#PillarDate18")</f>
        <v>24-Sep-2021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 t="str">
        <f>RTD("tickerplantrtdserver",,"FWRC1#USDINR#Month Wise Rates#0#BidPrice2")</f>
        <v/>
      </c>
      <c r="D4" s="65">
        <f t="array" ref="D4">RTD("tickerplantrtdserver",,"FWRC1#USDINR#Month Wise Rates#0#BidPrice7")</f>
        <v>24.6983</v>
      </c>
      <c r="E4" s="65">
        <f t="array" ref="E4">RTD("tickerplantrtdserver",,"FWRC1#USDINR#Month Wise Rates#0#BidPrice8")</f>
        <v>47.396599999999999</v>
      </c>
      <c r="F4" s="65">
        <f t="array" ref="F4">RTD("tickerplantrtdserver",,"FWRC1#USDINR#Month Wise Rates#0#BidPrice9")</f>
        <v>70.992599999999996</v>
      </c>
      <c r="G4" s="65">
        <f t="array" ref="G4">RTD("tickerplantrtdserver",,"FWRC1#USDINR#Month Wise Rates#0#BidPrice10")</f>
        <v>97.620699999999999</v>
      </c>
      <c r="H4" s="65">
        <f t="array" ref="H4">RTD("tickerplantrtdserver",,"FWRC1#USDINR#Month Wise Rates#0#BidPrice11")</f>
        <v>122.3571</v>
      </c>
      <c r="I4" s="65">
        <f t="array" ref="I4">RTD("tickerplantrtdserver",,"FWRC1#USDINR#Month Wise Rates#0#BidPrice12")</f>
        <v>146.06059999999999</v>
      </c>
      <c r="J4" s="65">
        <f t="array" ref="J4">RTD("tickerplantrtdserver",,"FWRC1#USDINR#Month Wise Rates#0#BidPrice13")</f>
        <v>185.8</v>
      </c>
      <c r="K4" s="65">
        <f t="array" ref="K4">RTD("tickerplantrtdserver",,"FWRC1#USDINR#Month Wise Rates#0#BidPrice14")</f>
        <v>209.5806</v>
      </c>
      <c r="L4" s="65">
        <f t="array" ref="L4">RTD("tickerplantrtdserver",,"FWRC1#USDINR#Month Wise Rates#0#BidPrice15")</f>
        <v>237</v>
      </c>
      <c r="M4" s="65">
        <f t="array" ref="M4">RTD("tickerplantrtdserver",,"FWRC1#USDINR#Month Wise Rates#0#BidPrice16")</f>
        <v>265.0333</v>
      </c>
      <c r="N4" s="65">
        <f t="array" ref="N4">RTD("tickerplantrtdserver",,"FWRC1#USDINR#Month Wise Rates#0#BidPrice17")</f>
        <v>289.59379999999999</v>
      </c>
      <c r="O4" s="67">
        <f t="array" ref="O4">RTD("tickerplantrtdserver",,"FWRC1#USDINR#Month Wise Rates#0#BidPrice18")</f>
        <v>315.75</v>
      </c>
      <c r="P4" s="20"/>
    </row>
    <row r="5" spans="1:18" s="14" customFormat="1" x14ac:dyDescent="0.25">
      <c r="A5" s="159" t="s">
        <v>48</v>
      </c>
      <c r="B5" s="160"/>
      <c r="C5" s="65" t="str">
        <f t="array" ref="C5">RTD("tickerplantrtdserver",,"FWRC1#USDINR#Month Wise Rates#0#AskPrice2")</f>
        <v/>
      </c>
      <c r="D5" s="65">
        <f t="array" ref="D5">RTD("tickerplantrtdserver",,"FWRC1#USDINR#Month Wise Rates#0#AskPrice7")</f>
        <v>25.8017</v>
      </c>
      <c r="E5" s="65">
        <f t="array" ref="E5">RTD("tickerplantrtdserver",,"FWRC1#USDINR#Month Wise Rates#0#AskPrice8")</f>
        <v>48.396599999999999</v>
      </c>
      <c r="F5" s="65">
        <f t="array" ref="F5">RTD("tickerplantrtdserver",,"FWRC1#USDINR#Month Wise Rates#0#AskPrice9")</f>
        <v>72.786799999999999</v>
      </c>
      <c r="G5" s="65">
        <f t="array" ref="G5">RTD("tickerplantrtdserver",,"FWRC1#USDINR#Month Wise Rates#0#AskPrice10")</f>
        <v>99.189700000000002</v>
      </c>
      <c r="H5" s="65">
        <f t="array" ref="H5">RTD("tickerplantrtdserver",,"FWRC1#USDINR#Month Wise Rates#0#AskPrice11")</f>
        <v>123.8571</v>
      </c>
      <c r="I5" s="65">
        <f t="array" ref="I5">RTD("tickerplantrtdserver",,"FWRC1#USDINR#Month Wise Rates#0#AskPrice12")</f>
        <v>147.56059999999999</v>
      </c>
      <c r="J5" s="65">
        <f t="array" ref="J5">RTD("tickerplantrtdserver",,"FWRC1#USDINR#Month Wise Rates#0#AskPrice13")</f>
        <v>187.3</v>
      </c>
      <c r="K5" s="65">
        <f t="array" ref="K5">RTD("tickerplantrtdserver",,"FWRC1#USDINR#Month Wise Rates#0#AskPrice14")</f>
        <v>211.0806</v>
      </c>
      <c r="L5" s="65">
        <f t="array" ref="L5">RTD("tickerplantrtdserver",,"FWRC1#USDINR#Month Wise Rates#0#AskPrice15")</f>
        <v>238.5</v>
      </c>
      <c r="M5" s="65">
        <f t="array" ref="M5">RTD("tickerplantrtdserver",,"FWRC1#USDINR#Month Wise Rates#0#AskPrice16")</f>
        <v>266.5333</v>
      </c>
      <c r="N5" s="65">
        <f t="array" ref="N5">RTD("tickerplantrtdserver",,"FWRC1#USDINR#Month Wise Rates#0#AskPrice17")</f>
        <v>291.09379999999999</v>
      </c>
      <c r="O5" s="67">
        <f t="array" ref="O5">RTD("tickerplantrtdserver",,"FWRC1#USDINR#Month Wise Rates#0#AskPrice18")</f>
        <v>317.25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64" t="str">
        <f t="array" ref="C7">RTD("tickerplantrtdserver",,"FWRC1#USDINR#Month Wise Rates#0#FwdOutrightBid2")</f>
        <v/>
      </c>
      <c r="D7" s="64">
        <f t="array" ref="D7">RTD("tickerplantrtdserver",,"FWRC1#USDINR#Month Wise Rates#0#FwdOutrightBid7")</f>
        <v>73.837000000000003</v>
      </c>
      <c r="E7" s="64">
        <f t="array" ref="E7">RTD("tickerplantrtdserver",,"FWRC1#USDINR#Month Wise Rates#0#FwdOutrightBid8")</f>
        <v>74.063999999999993</v>
      </c>
      <c r="F7" s="64">
        <f t="array" ref="F7">RTD("tickerplantrtdserver",,"FWRC1#USDINR#Month Wise Rates#0#FwdOutrightBid9")</f>
        <v>74.299899999999994</v>
      </c>
      <c r="G7" s="64">
        <f t="array" ref="G7">RTD("tickerplantrtdserver",,"FWRC1#USDINR#Month Wise Rates#0#FwdOutrightBid10")</f>
        <v>74.566199999999995</v>
      </c>
      <c r="H7" s="64">
        <f t="array" ref="H7">RTD("tickerplantrtdserver",,"FWRC1#USDINR#Month Wise Rates#0#FwdOutrightBid11")</f>
        <v>74.813599999999994</v>
      </c>
      <c r="I7" s="64">
        <f t="array" ref="I7">RTD("tickerplantrtdserver",,"FWRC1#USDINR#Month Wise Rates#0#FwdOutrightBid12")</f>
        <v>75.050600000000003</v>
      </c>
      <c r="J7" s="64">
        <f t="array" ref="J7">RTD("tickerplantrtdserver",,"FWRC1#USDINR#Month Wise Rates#0#FwdOutrightBid13")</f>
        <v>75.447999999999993</v>
      </c>
      <c r="K7" s="64">
        <f t="array" ref="K7">RTD("tickerplantrtdserver",,"FWRC1#USDINR#Month Wise Rates#0#FwdOutrightBid14")</f>
        <v>75.6858</v>
      </c>
      <c r="L7" s="64">
        <f t="array" ref="L7">RTD("tickerplantrtdserver",,"FWRC1#USDINR#Month Wise Rates#0#FwdOutrightBid15")</f>
        <v>75.959999999999994</v>
      </c>
      <c r="M7" s="64">
        <f t="array" ref="M7">RTD("tickerplantrtdserver",,"FWRC1#USDINR#Month Wise Rates#0#FwdOutrightBid16")</f>
        <v>76.240300000000005</v>
      </c>
      <c r="N7" s="64">
        <f t="array" ref="N7">RTD("tickerplantrtdserver",,"FWRC1#USDINR#Month Wise Rates#0#FwdOutrightBid17")</f>
        <v>76.485900000000001</v>
      </c>
      <c r="O7" s="68">
        <f t="array" ref="O7">RTD("tickerplantrtdserver",,"FWRC1#USDINR#Month Wise Rates#0#FwdOutrightBid18")</f>
        <v>76.747500000000002</v>
      </c>
      <c r="P7" s="20"/>
    </row>
    <row r="8" spans="1:18" s="14" customFormat="1" x14ac:dyDescent="0.25">
      <c r="A8" s="159" t="s">
        <v>48</v>
      </c>
      <c r="B8" s="160"/>
      <c r="C8" s="64" t="str">
        <f t="array" ref="C8">RTD("tickerplantrtdserver",,"FWRC1#USDINR#Month Wise Rates#0#FwdOutrightAsk2")</f>
        <v/>
      </c>
      <c r="D8" s="64">
        <f t="array" ref="D8">RTD("tickerplantrtdserver",,"FWRC1#USDINR#Month Wise Rates#0#FwdOutrightAsk7")</f>
        <v>73.858000000000004</v>
      </c>
      <c r="E8" s="64">
        <f t="array" ref="E8">RTD("tickerplantrtdserver",,"FWRC1#USDINR#Month Wise Rates#0#FwdOutrightAsk8")</f>
        <v>74.084000000000003</v>
      </c>
      <c r="F8" s="64">
        <f t="array" ref="F8">RTD("tickerplantrtdserver",,"FWRC1#USDINR#Month Wise Rates#0#FwdOutrightAsk9")</f>
        <v>74.3279</v>
      </c>
      <c r="G8" s="64">
        <f t="array" ref="G8">RTD("tickerplantrtdserver",,"FWRC1#USDINR#Month Wise Rates#0#FwdOutrightAsk10")</f>
        <v>74.591899999999995</v>
      </c>
      <c r="H8" s="64">
        <f t="array" ref="H8">RTD("tickerplantrtdserver",,"FWRC1#USDINR#Month Wise Rates#0#FwdOutrightAsk11")</f>
        <v>74.8386</v>
      </c>
      <c r="I8" s="64">
        <f t="array" ref="I8">RTD("tickerplantrtdserver",,"FWRC1#USDINR#Month Wise Rates#0#FwdOutrightAsk12")</f>
        <v>75.075599999999994</v>
      </c>
      <c r="J8" s="64">
        <f t="array" ref="J8">RTD("tickerplantrtdserver",,"FWRC1#USDINR#Month Wise Rates#0#FwdOutrightAsk13")</f>
        <v>75.472999999999999</v>
      </c>
      <c r="K8" s="64">
        <f t="array" ref="K8">RTD("tickerplantrtdserver",,"FWRC1#USDINR#Month Wise Rates#0#FwdOutrightAsk14")</f>
        <v>75.710800000000006</v>
      </c>
      <c r="L8" s="64">
        <f t="array" ref="L8">RTD("tickerplantrtdserver",,"FWRC1#USDINR#Month Wise Rates#0#FwdOutrightAsk15")</f>
        <v>75.984999999999999</v>
      </c>
      <c r="M8" s="64">
        <f t="array" ref="M8">RTD("tickerplantrtdserver",,"FWRC1#USDINR#Month Wise Rates#0#FwdOutrightAsk16")</f>
        <v>76.265299999999996</v>
      </c>
      <c r="N8" s="64">
        <f t="array" ref="N8">RTD("tickerplantrtdserver",,"FWRC1#USDINR#Month Wise Rates#0#FwdOutrightAsk17")</f>
        <v>76.510900000000007</v>
      </c>
      <c r="O8" s="68">
        <f t="array" ref="O8">RTD("tickerplantrtdserver",,"FWRC1#USDINR#Month Wise Rates#0#FwdOutrightAsk18")</f>
        <v>76.772499999999994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 t="str">
        <f t="array" ref="C10">RTD("tickerplantrtdserver",,"FWRC1#USDINR#Month Wise Rates#0#Bid%2")</f>
        <v/>
      </c>
      <c r="D10" s="65">
        <f t="array" ref="D10">RTD("tickerplantrtdserver",,"FWRC1#USDINR#Month Wise Rates#0#Bid%7")</f>
        <v>3.8275999999999999</v>
      </c>
      <c r="E10" s="65">
        <f t="array" ref="E10">RTD("tickerplantrtdserver",,"FWRC1#USDINR#Month Wise Rates#0#Bid%8")</f>
        <v>3.8532999999999999</v>
      </c>
      <c r="F10" s="65">
        <f t="array" ref="F10">RTD("tickerplantrtdserver",,"FWRC1#USDINR#Month Wise Rates#0#Bid%9")</f>
        <v>3.8689</v>
      </c>
      <c r="G10" s="65">
        <f t="array" ref="G10">RTD("tickerplantrtdserver",,"FWRC1#USDINR#Month Wise Rates#0#Bid%10")</f>
        <v>3.9359999999999999</v>
      </c>
      <c r="H10" s="65">
        <f t="array" ref="H10">RTD("tickerplantrtdserver",,"FWRC1#USDINR#Month Wise Rates#0#Bid%11")</f>
        <v>3.9660000000000002</v>
      </c>
      <c r="I10" s="65">
        <f t="array" ref="I10">RTD("tickerplantrtdserver",,"FWRC1#USDINR#Month Wise Rates#0#Bid%12")</f>
        <v>4.0019</v>
      </c>
      <c r="J10" s="65">
        <f t="array" ref="J10">RTD("tickerplantrtdserver",,"FWRC1#USDINR#Month Wise Rates#0#Bid%13")</f>
        <v>4.3056999999999999</v>
      </c>
      <c r="K10" s="65">
        <f t="array" ref="K10">RTD("tickerplantrtdserver",,"FWRC1#USDINR#Month Wise Rates#0#Bid%14")</f>
        <v>4.2949000000000002</v>
      </c>
      <c r="L10" s="65">
        <f t="array" ref="L10">RTD("tickerplantrtdserver",,"FWRC1#USDINR#Month Wise Rates#0#Bid%15")</f>
        <v>4.3052999999999999</v>
      </c>
      <c r="M10" s="65">
        <f t="array" ref="M10">RTD("tickerplantrtdserver",,"FWRC1#USDINR#Month Wise Rates#0#Bid%16")</f>
        <v>4.3094000000000001</v>
      </c>
      <c r="N10" s="65">
        <f t="array" ref="N10">RTD("tickerplantrtdserver",,"FWRC1#USDINR#Month Wise Rates#0#Bid%17")</f>
        <v>4.2999000000000001</v>
      </c>
      <c r="O10" s="67">
        <f t="array" ref="O10">RTD("tickerplantrtdserver",,"FWRC1#USDINR#Month Wise Rates#0#Bid%18")</f>
        <v>4.2900999999999998</v>
      </c>
    </row>
    <row r="11" spans="1:18" s="14" customFormat="1" ht="15.75" thickBot="1" x14ac:dyDescent="0.3">
      <c r="A11" s="163" t="s">
        <v>48</v>
      </c>
      <c r="B11" s="164"/>
      <c r="C11" s="69" t="str">
        <f t="array" ref="C11">RTD("tickerplantrtdserver",,"FWRC1#USDINR#Month Wise Rates#0#Ask%2")</f>
        <v/>
      </c>
      <c r="D11" s="69">
        <f t="array" ref="D11">RTD("tickerplantrtdserver",,"FWRC1#USDINR#Month Wise Rates#0#Ask%7")</f>
        <v>3.9992000000000001</v>
      </c>
      <c r="E11" s="69">
        <f t="array" ref="E11">RTD("tickerplantrtdserver",,"FWRC1#USDINR#Month Wise Rates#0#Ask%8")</f>
        <v>3.9350999999999998</v>
      </c>
      <c r="F11" s="69">
        <f t="array" ref="F11">RTD("tickerplantrtdserver",,"FWRC1#USDINR#Month Wise Rates#0#Ask%9")</f>
        <v>3.9672000000000001</v>
      </c>
      <c r="G11" s="69">
        <f t="array" ref="G11">RTD("tickerplantrtdserver",,"FWRC1#USDINR#Month Wise Rates#0#Ask%10")</f>
        <v>3.9998</v>
      </c>
      <c r="H11" s="69">
        <f t="array" ref="H11">RTD("tickerplantrtdserver",,"FWRC1#USDINR#Month Wise Rates#0#Ask%11")</f>
        <v>4.0152000000000001</v>
      </c>
      <c r="I11" s="69">
        <f t="array" ref="I11">RTD("tickerplantrtdserver",,"FWRC1#USDINR#Month Wise Rates#0#Ask%12")</f>
        <v>4.0435999999999996</v>
      </c>
      <c r="J11" s="69">
        <f t="array" ref="J11">RTD("tickerplantrtdserver",,"FWRC1#USDINR#Month Wise Rates#0#Ask%13")</f>
        <v>4.3411</v>
      </c>
      <c r="K11" s="69">
        <f t="array" ref="K11">RTD("tickerplantrtdserver",,"FWRC1#USDINR#Month Wise Rates#0#Ask%14")</f>
        <v>4.3262</v>
      </c>
      <c r="L11" s="69">
        <f t="array" ref="L11">RTD("tickerplantrtdserver",,"FWRC1#USDINR#Month Wise Rates#0#Ask%15")</f>
        <v>4.3331</v>
      </c>
      <c r="M11" s="69">
        <f t="array" ref="M11">RTD("tickerplantrtdserver",,"FWRC1#USDINR#Month Wise Rates#0#Ask%16")</f>
        <v>4.3343999999999996</v>
      </c>
      <c r="N11" s="69">
        <f t="array" ref="N11">RTD("tickerplantrtdserver",,"FWRC1#USDINR#Month Wise Rates#0#Ask%17")</f>
        <v>4.3228</v>
      </c>
      <c r="O11" s="70">
        <f t="array" ref="O11">RTD("tickerplantrtdserver",,"FWRC1#USDINR#Month Wise Rates#0#Ask%18")</f>
        <v>4.3109999999999999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33"/>
      <c r="G15" s="34"/>
      <c r="H15" s="34"/>
      <c r="I15" s="34"/>
      <c r="J15" s="21"/>
      <c r="L15" s="58"/>
      <c r="M15" s="58"/>
      <c r="N15" s="58"/>
      <c r="P15" s="31"/>
      <c r="Q15" s="31"/>
      <c r="R15" s="31"/>
    </row>
    <row r="16" spans="1:18" s="14" customFormat="1" x14ac:dyDescent="0.25">
      <c r="A16" s="13"/>
      <c r="B16" s="21"/>
      <c r="C16" s="21"/>
      <c r="D16" s="58"/>
      <c r="E16" s="21"/>
      <c r="F16" s="33"/>
      <c r="G16" s="34"/>
      <c r="H16" s="34"/>
      <c r="I16" s="34"/>
      <c r="J16" s="21"/>
      <c r="L16" s="58"/>
      <c r="M16" s="58"/>
      <c r="N16" s="58"/>
      <c r="P16" s="31"/>
      <c r="Q16" s="31"/>
      <c r="R16" s="31"/>
    </row>
    <row r="17" spans="1:18" s="14" customFormat="1" x14ac:dyDescent="0.25">
      <c r="A17" s="13"/>
      <c r="B17" s="21"/>
      <c r="C17" s="21"/>
      <c r="D17" s="58"/>
      <c r="E17" s="21"/>
      <c r="F17" s="33"/>
      <c r="G17" s="34"/>
      <c r="H17" s="34"/>
      <c r="I17" s="34"/>
      <c r="J17" s="21"/>
      <c r="L17" s="58"/>
      <c r="M17" s="58"/>
      <c r="N17" s="58"/>
      <c r="P17" s="31"/>
      <c r="Q17" s="31"/>
      <c r="R17" s="31"/>
    </row>
    <row r="18" spans="1:18" s="14" customFormat="1" x14ac:dyDescent="0.25">
      <c r="A18" s="13"/>
      <c r="B18" s="21"/>
      <c r="C18" s="21"/>
      <c r="D18" s="58"/>
      <c r="E18" s="21"/>
      <c r="F18" s="33"/>
      <c r="G18" s="34"/>
      <c r="H18" s="34"/>
      <c r="I18" s="34"/>
      <c r="J18" s="21"/>
      <c r="L18" s="58"/>
      <c r="M18" s="58"/>
      <c r="N18" s="58"/>
      <c r="P18" s="31"/>
      <c r="Q18" s="31"/>
      <c r="R18" s="31"/>
    </row>
    <row r="19" spans="1:18" s="14" customFormat="1" x14ac:dyDescent="0.25">
      <c r="A19" s="13"/>
      <c r="B19" s="21"/>
      <c r="C19" s="21"/>
      <c r="D19" s="58"/>
      <c r="E19" s="21"/>
      <c r="F19" s="33"/>
      <c r="G19" s="34"/>
      <c r="H19" s="34"/>
      <c r="I19" s="34"/>
      <c r="J19" s="21"/>
      <c r="L19" s="58"/>
      <c r="M19" s="58"/>
      <c r="N19" s="58"/>
      <c r="P19" s="31"/>
      <c r="Q19" s="31"/>
      <c r="R19" s="31"/>
    </row>
    <row r="20" spans="1:18" s="14" customFormat="1" x14ac:dyDescent="0.25">
      <c r="A20" s="13"/>
      <c r="B20" s="21"/>
      <c r="C20" s="21"/>
      <c r="D20" s="58"/>
      <c r="E20" s="21"/>
      <c r="F20" s="33"/>
      <c r="G20" s="34"/>
      <c r="H20" s="34"/>
      <c r="I20" s="34"/>
      <c r="J20" s="21"/>
      <c r="L20" s="58"/>
      <c r="M20" s="58"/>
      <c r="N20" s="58"/>
      <c r="P20" s="31"/>
      <c r="Q20" s="31"/>
      <c r="R20" s="31"/>
    </row>
    <row r="21" spans="1:18" x14ac:dyDescent="0.25">
      <c r="A21" s="13"/>
      <c r="B21" s="21"/>
      <c r="C21" s="21"/>
      <c r="D21" s="58"/>
      <c r="E21" s="21"/>
      <c r="F21" s="33"/>
      <c r="G21" s="34"/>
      <c r="H21" s="34"/>
      <c r="I21" s="34"/>
      <c r="J21" s="21"/>
      <c r="K21" s="14"/>
      <c r="L21" s="58"/>
      <c r="M21" s="58"/>
      <c r="N21" s="58"/>
      <c r="O21" s="14"/>
      <c r="P21" s="31"/>
      <c r="Q21" s="31"/>
      <c r="R21" s="31"/>
    </row>
    <row r="22" spans="1:18" x14ac:dyDescent="0.25">
      <c r="A22" s="13"/>
      <c r="B22" s="21"/>
      <c r="C22" s="21"/>
      <c r="D22" s="58"/>
      <c r="E22" s="21"/>
      <c r="F22" s="33"/>
      <c r="G22" s="34"/>
      <c r="H22" s="34"/>
      <c r="I22" s="34"/>
      <c r="J22" s="21"/>
      <c r="K22" s="14"/>
      <c r="L22" s="58"/>
      <c r="M22" s="58"/>
      <c r="N22" s="58"/>
      <c r="O22" s="14"/>
      <c r="P22" s="31"/>
      <c r="Q22" s="31"/>
      <c r="R22" s="31"/>
    </row>
    <row r="23" spans="1:18" x14ac:dyDescent="0.25">
      <c r="A23" s="13"/>
      <c r="B23" s="21"/>
      <c r="C23" s="21"/>
      <c r="D23" s="58"/>
      <c r="E23" s="21"/>
      <c r="F23" s="33"/>
      <c r="G23" s="34"/>
      <c r="H23" s="34"/>
      <c r="I23" s="34"/>
      <c r="J23" s="21"/>
      <c r="K23" s="14"/>
      <c r="L23" s="58"/>
      <c r="M23" s="58"/>
      <c r="N23" s="58"/>
      <c r="O23" s="14"/>
      <c r="P23" s="31"/>
      <c r="Q23" s="31"/>
      <c r="R23" s="31"/>
    </row>
    <row r="24" spans="1:18" s="2" customFormat="1" x14ac:dyDescent="0.25">
      <c r="A24" s="13"/>
      <c r="B24" s="21"/>
      <c r="C24" s="21"/>
      <c r="D24" s="58"/>
      <c r="E24" s="21"/>
      <c r="F24" s="33"/>
      <c r="G24" s="34"/>
      <c r="H24" s="34"/>
      <c r="I24" s="34"/>
      <c r="J24" s="21"/>
      <c r="K24" s="14"/>
      <c r="L24" s="58"/>
      <c r="M24" s="58"/>
      <c r="N24" s="58"/>
      <c r="O24" s="14"/>
      <c r="P24" s="31"/>
      <c r="Q24" s="31"/>
      <c r="R24" s="31"/>
    </row>
    <row r="25" spans="1:18" x14ac:dyDescent="0.25">
      <c r="A25" s="13"/>
      <c r="B25" s="21"/>
      <c r="C25" s="21"/>
      <c r="D25" s="58"/>
      <c r="E25" s="21"/>
      <c r="F25" s="33"/>
      <c r="G25" s="34"/>
      <c r="H25" s="34"/>
      <c r="I25" s="34"/>
      <c r="J25" s="21"/>
      <c r="K25" s="14"/>
      <c r="L25" s="58"/>
      <c r="M25" s="58"/>
      <c r="N25" s="58"/>
      <c r="O25" s="14"/>
      <c r="P25" s="31"/>
      <c r="Q25" s="31"/>
      <c r="R25" s="31"/>
    </row>
    <row r="26" spans="1:18" x14ac:dyDescent="0.25">
      <c r="A26" s="13"/>
      <c r="B26" s="21"/>
      <c r="C26" s="21"/>
      <c r="D26" s="58"/>
      <c r="E26" s="21"/>
      <c r="F26" s="33"/>
      <c r="G26" s="34"/>
      <c r="H26" s="34"/>
      <c r="I26" s="34"/>
      <c r="J26" s="21"/>
      <c r="K26" s="14"/>
      <c r="L26" s="58"/>
      <c r="M26" s="58"/>
      <c r="N26" s="58"/>
      <c r="O26" s="14"/>
      <c r="P26" s="31"/>
      <c r="Q26" s="31"/>
      <c r="R26" s="31"/>
    </row>
    <row r="27" spans="1:18" x14ac:dyDescent="0.25">
      <c r="A27" s="13"/>
      <c r="B27" s="21"/>
      <c r="C27" s="21"/>
      <c r="D27" s="58"/>
      <c r="E27" s="21"/>
      <c r="F27" s="33"/>
      <c r="G27" s="34"/>
      <c r="H27" s="34"/>
      <c r="I27" s="34"/>
      <c r="J27" s="21"/>
      <c r="K27" s="14"/>
      <c r="L27" s="58"/>
      <c r="M27" s="58"/>
      <c r="N27" s="58"/>
      <c r="O27" s="14"/>
      <c r="P27" s="31"/>
      <c r="Q27" s="31"/>
      <c r="R27" s="31"/>
    </row>
    <row r="28" spans="1:18" x14ac:dyDescent="0.25">
      <c r="A28" s="13"/>
      <c r="B28" s="21"/>
      <c r="C28" s="21"/>
      <c r="D28" s="58"/>
      <c r="E28" s="21"/>
      <c r="F28" s="33"/>
      <c r="G28" s="34"/>
      <c r="H28" s="34"/>
      <c r="I28" s="34"/>
      <c r="J28" s="21"/>
      <c r="K28" s="14"/>
      <c r="L28" s="58"/>
      <c r="M28" s="58"/>
      <c r="N28" s="58"/>
      <c r="O28" s="14"/>
      <c r="P28" s="31"/>
      <c r="Q28" s="31"/>
      <c r="R28" s="31"/>
    </row>
    <row r="29" spans="1:18" x14ac:dyDescent="0.25">
      <c r="A29" s="13"/>
      <c r="B29" s="21"/>
      <c r="C29" s="21"/>
      <c r="D29" s="58"/>
      <c r="E29" s="21"/>
      <c r="F29" s="33"/>
      <c r="G29" s="34"/>
      <c r="H29" s="34"/>
      <c r="I29" s="34"/>
      <c r="J29" s="21"/>
      <c r="K29" s="14"/>
      <c r="L29" s="58"/>
      <c r="M29" s="58"/>
      <c r="N29" s="58"/>
      <c r="O29" s="14"/>
      <c r="P29" s="31"/>
      <c r="Q29" s="31"/>
      <c r="R29" s="31"/>
    </row>
    <row r="30" spans="1:18" x14ac:dyDescent="0.25">
      <c r="A30" s="13"/>
      <c r="B30" s="21"/>
      <c r="C30" s="21"/>
      <c r="D30" s="58"/>
      <c r="E30" s="21"/>
      <c r="F30" s="33"/>
      <c r="G30" s="34"/>
      <c r="H30" s="34"/>
      <c r="I30" s="34"/>
      <c r="J30" s="21"/>
      <c r="K30" s="14"/>
      <c r="L30" s="58"/>
      <c r="M30" s="58"/>
      <c r="N30" s="58"/>
      <c r="O30" s="14"/>
      <c r="P30" s="31"/>
      <c r="Q30" s="31"/>
      <c r="R30" s="31"/>
    </row>
    <row r="31" spans="1:18" x14ac:dyDescent="0.25">
      <c r="A31" s="13"/>
      <c r="B31" s="21"/>
      <c r="C31" s="21"/>
      <c r="D31" s="58"/>
      <c r="E31" s="21"/>
      <c r="F31" s="33"/>
      <c r="G31" s="34"/>
      <c r="H31" s="34"/>
      <c r="I31" s="34"/>
      <c r="J31" s="21"/>
      <c r="K31" s="14"/>
      <c r="L31" s="58"/>
      <c r="M31" s="58"/>
      <c r="N31" s="58"/>
      <c r="O31" s="14"/>
      <c r="P31" s="31"/>
      <c r="Q31" s="31"/>
      <c r="R31" s="31"/>
    </row>
    <row r="32" spans="1:18" x14ac:dyDescent="0.25">
      <c r="A32" s="13"/>
      <c r="B32" s="21"/>
      <c r="C32" s="21"/>
      <c r="D32" s="58"/>
      <c r="E32" s="21"/>
      <c r="F32" s="33"/>
      <c r="G32" s="34"/>
      <c r="H32" s="34"/>
      <c r="I32" s="34"/>
      <c r="J32" s="21"/>
      <c r="K32" s="14"/>
      <c r="L32" s="58"/>
      <c r="M32" s="58"/>
      <c r="N32" s="58"/>
      <c r="O32" s="14"/>
      <c r="P32" s="31"/>
      <c r="Q32" s="31"/>
      <c r="R32" s="31"/>
    </row>
    <row r="33" spans="1:18" x14ac:dyDescent="0.25">
      <c r="A33" s="13"/>
      <c r="B33" s="21"/>
      <c r="C33" s="21"/>
      <c r="D33" s="58"/>
      <c r="E33" s="21"/>
      <c r="F33" s="33"/>
      <c r="G33" s="34"/>
      <c r="H33" s="34"/>
      <c r="I33" s="34"/>
      <c r="J33" s="21"/>
      <c r="K33" s="14"/>
      <c r="L33" s="58"/>
      <c r="M33" s="58"/>
      <c r="N33" s="58"/>
      <c r="O33" s="14"/>
      <c r="P33" s="31"/>
      <c r="Q33" s="31"/>
      <c r="R33" s="31"/>
    </row>
    <row r="36" spans="1:18" x14ac:dyDescent="0.25">
      <c r="A36" s="1"/>
      <c r="B36" s="1"/>
    </row>
    <row r="42" spans="1:18" x14ac:dyDescent="0.25">
      <c r="F42" s="56"/>
      <c r="G42" s="56"/>
    </row>
    <row r="43" spans="1:18" x14ac:dyDescent="0.25">
      <c r="F43" s="56"/>
      <c r="G43" s="56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0"/>
  <sheetViews>
    <sheetView workbookViewId="0">
      <selection sqref="A1:B1"/>
    </sheetView>
  </sheetViews>
  <sheetFormatPr defaultRowHeight="15" x14ac:dyDescent="0.25"/>
  <cols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RTD("tickerplantrtdserver",,"FWRC1#EURINR#Month End Rates#0#S#Desc.2")</f>
        <v>CASH/SPOT</v>
      </c>
      <c r="D1" s="76" t="str">
        <f t="array" ref="D1">RTD("tickerplantrtdserver",,"FWRC1#EURINR#Month End Rates#0#S#Desc.4")</f>
        <v>SEP-2020</v>
      </c>
      <c r="E1" s="76" t="str">
        <f t="array" ref="E1">RTD("tickerplantrtdserver",,"FWRC1#EURINR#Month End Rates#0#S#Desc.5")</f>
        <v>OCT-2020</v>
      </c>
      <c r="F1" s="76" t="str">
        <f t="array" ref="F1">RTD("tickerplantrtdserver",,"FWRC1#EURINR#Month End Rates#0#S#Desc.6")</f>
        <v>NOV-2020</v>
      </c>
      <c r="G1" s="76" t="str">
        <f t="array" ref="G1">RTD("tickerplantrtdserver",,"FWRC1#EURINR#Month End Rates#0#S#Desc.7")</f>
        <v>DEC-2020</v>
      </c>
      <c r="H1" s="76" t="str">
        <f t="array" ref="H1">RTD("tickerplantrtdserver",,"FWRC1#EURINR#Month End Rates#0#S#Desc.8")</f>
        <v>JAN-2021</v>
      </c>
      <c r="I1" s="76" t="str">
        <f t="array" ref="I1">RTD("tickerplantrtdserver",,"FWRC1#EURINR#Month End Rates#0#S#Desc.9")</f>
        <v>FEB-2021</v>
      </c>
      <c r="J1" s="76" t="str">
        <f t="array" ref="J1">RTD("tickerplantrtdserver",,"FWRC1#EURINR#Month End Rates#0#S#Desc.10")</f>
        <v>MAR-2021</v>
      </c>
      <c r="K1" s="76" t="str">
        <f t="array" ref="K1">RTD("tickerplantrtdserver",,"FWRC1#EURINR#Month End Rates#0#S#Desc.11")</f>
        <v>APR-2021</v>
      </c>
      <c r="L1" s="76" t="str">
        <f t="array" ref="L1">RTD("tickerplantrtdserver",,"FWRC1#EURINR#Month End Rates#0#S#Desc.12")</f>
        <v>MAY-2021</v>
      </c>
      <c r="M1" s="76" t="str">
        <f t="array" ref="M1">RTD("tickerplantrtdserver",,"FWRC1#EURINR#Month End Rates#0#S#Desc.13")</f>
        <v>JUN-2021</v>
      </c>
      <c r="N1" s="76" t="str">
        <f t="array" ref="N1">RTD("tickerplantrtdserver",,"FWRC1#EURINR#Month End Rates#0#S#Desc.14")</f>
        <v>JUL-2021</v>
      </c>
      <c r="O1" s="77" t="str">
        <f t="array" ref="O1">RTD("tickerplantrtdserver",,"FWRC1#EURINR#Month End Rates#0#S#Desc.15")</f>
        <v>AUG-2021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RTD("tickerplantrtdserver",,"FWRC1#EURINR#Month End Rates#0#S#MonthEndDate2")</f>
        <v>24-Sep-2020</v>
      </c>
      <c r="D2" s="71" t="str">
        <f t="array" ref="D2">RTD("tickerplantrtdserver",,"FWRC1#EURINR#Month End Rates#0#S#MonthEndDate4")</f>
        <v>30-Sep-2020</v>
      </c>
      <c r="E2" s="71" t="str">
        <f t="array" ref="E2">RTD("tickerplantrtdserver",,"FWRC1#EURINR#Month End Rates#0#S#MonthEndDate5")</f>
        <v>29-Oct-2020</v>
      </c>
      <c r="F2" s="71" t="str">
        <f t="array" ref="F2">RTD("tickerplantrtdserver",,"FWRC1#EURINR#Month End Rates#0#S#MonthEndDate6")</f>
        <v>27-Nov-2020</v>
      </c>
      <c r="G2" s="71" t="str">
        <f t="array" ref="G2">RTD("tickerplantrtdserver",,"FWRC1#EURINR#Month End Rates#0#S#MonthEndDate7")</f>
        <v>31-Dec-2020</v>
      </c>
      <c r="H2" s="71" t="str">
        <f t="array" ref="H2">RTD("tickerplantrtdserver",,"FWRC1#EURINR#Month End Rates#0#S#MonthEndDate8")</f>
        <v>29-Jan-2021</v>
      </c>
      <c r="I2" s="71" t="str">
        <f t="array" ref="I2">RTD("tickerplantrtdserver",,"FWRC1#EURINR#Month End Rates#0#S#MonthEndDate9")</f>
        <v>26-Feb-2021</v>
      </c>
      <c r="J2" s="71" t="str">
        <f t="array" ref="J2">RTD("tickerplantrtdserver",,"FWRC1#EURINR#Month End Rates#0#S#MonthEndDate10")</f>
        <v>31-Mar-2021</v>
      </c>
      <c r="K2" s="71" t="str">
        <f t="array" ref="K2">RTD("tickerplantrtdserver",,"FWRC1#EURINR#Month End Rates#0#S#MonthEndDate11")</f>
        <v>30-Apr-2021</v>
      </c>
      <c r="L2" s="71" t="str">
        <f t="array" ref="L2">RTD("tickerplantrtdserver",,"FWRC1#EURINR#Month End Rates#0#S#MonthEndDate12")</f>
        <v>31-May-2021</v>
      </c>
      <c r="M2" s="71" t="str">
        <f t="array" ref="M2">RTD("tickerplantrtdserver",,"FWRC1#EURINR#Month End Rates#0#S#MonthEndDate13")</f>
        <v>30-Jun-2021</v>
      </c>
      <c r="N2" s="71" t="str">
        <f t="array" ref="N2">RTD("tickerplantrtdserver",,"FWRC1#EURINR#Month End Rates#0#S#MonthEndDate14")</f>
        <v>30-Jul-2021</v>
      </c>
      <c r="O2" s="75" t="str">
        <f t="array" ref="O2">RTD("tickerplantrtdserver",,"FWRC1#EURINR#Month End Rates#0#S#MonthEndDate15")</f>
        <v>31-Aug-2021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>
        <f t="array" ref="C4">RTD("tickerplantrtdserver",,"FWRC1#EURINR#Month End Rates#0#BidPrice2")</f>
        <v>0.88819999999999999</v>
      </c>
      <c r="D4" s="65">
        <f t="array" ref="D4">RTD("tickerplantrtdserver",,"FWRC1#EURINR#Month End Rates#0#BidPrice4")</f>
        <v>5.3425000000000002</v>
      </c>
      <c r="E4" s="65">
        <f t="array" ref="E4">RTD("tickerplantrtdserver",,"FWRC1#EURINR#Month End Rates#0#BidPrice5")</f>
        <v>37.35</v>
      </c>
      <c r="F4" s="65">
        <f t="array" ref="F4">RTD("tickerplantrtdserver",,"FWRC1#EURINR#Month End Rates#0#BidPrice6")</f>
        <v>70.09</v>
      </c>
      <c r="G4" s="65">
        <f t="array" ref="G4">RTD("tickerplantrtdserver",,"FWRC1#EURINR#Month End Rates#0#BidPrice7")</f>
        <v>111.7225</v>
      </c>
      <c r="H4" s="65">
        <f t="array" ref="H4">RTD("tickerplantrtdserver",,"FWRC1#EURINR#Month End Rates#0#BidPrice8")</f>
        <v>145.10499999999999</v>
      </c>
      <c r="I4" s="65">
        <f t="array" ref="I4">RTD("tickerplantrtdserver",,"FWRC1#EURINR#Month End Rates#0#BidPrice9")</f>
        <v>178.08</v>
      </c>
      <c r="J4" s="65">
        <f t="array" ref="J4">RTD("tickerplantrtdserver",,"FWRC1#EURINR#Month End Rates#0#BidPrice10")</f>
        <v>229.6275</v>
      </c>
      <c r="K4" s="65">
        <f t="array" ref="K4">RTD("tickerplantrtdserver",,"FWRC1#EURINR#Month End Rates#0#BidPrice11")</f>
        <v>265.32</v>
      </c>
      <c r="L4" s="65">
        <f t="array" ref="L4">RTD("tickerplantrtdserver",,"FWRC1#EURINR#Month End Rates#0#BidPrice12")</f>
        <v>304.04750000000001</v>
      </c>
      <c r="M4" s="65">
        <f t="array" ref="M4">RTD("tickerplantrtdserver",,"FWRC1#EURINR#Month End Rates#0#BidPrice13")</f>
        <v>341.33249999999998</v>
      </c>
      <c r="N4" s="65">
        <f t="array" ref="N4">RTD("tickerplantrtdserver",,"FWRC1#EURINR#Month End Rates#0#BidPrice14")</f>
        <v>377.50749999999999</v>
      </c>
      <c r="O4" s="67">
        <f t="array" ref="O4">RTD("tickerplantrtdserver",,"FWRC1#EURINR#Month End Rates#0#BidPrice15")</f>
        <v>416.22500000000002</v>
      </c>
      <c r="P4" s="20"/>
    </row>
    <row r="5" spans="1:18" s="14" customFormat="1" x14ac:dyDescent="0.25">
      <c r="A5" s="159" t="s">
        <v>48</v>
      </c>
      <c r="B5" s="160"/>
      <c r="C5" s="65">
        <f t="array" ref="C5">RTD("tickerplantrtdserver",,"FWRC1#EURINR#Month End Rates#0#AskPrice2")</f>
        <v>3.2786</v>
      </c>
      <c r="D5" s="65">
        <f t="array" ref="D5">RTD("tickerplantrtdserver",,"FWRC1#EURINR#Month End Rates#0#AskPrice4")</f>
        <v>5.5724999999999998</v>
      </c>
      <c r="E5" s="65">
        <f t="array" ref="E5">RTD("tickerplantrtdserver",,"FWRC1#EURINR#Month End Rates#0#AskPrice5")</f>
        <v>38.207500000000003</v>
      </c>
      <c r="F5" s="65">
        <f t="array" ref="F5">RTD("tickerplantrtdserver",,"FWRC1#EURINR#Month End Rates#0#AskPrice6")</f>
        <v>71.707499999999996</v>
      </c>
      <c r="G5" s="65">
        <f t="array" ref="G5">RTD("tickerplantrtdserver",,"FWRC1#EURINR#Month End Rates#0#AskPrice7")</f>
        <v>113.35</v>
      </c>
      <c r="H5" s="65">
        <f t="array" ref="H5">RTD("tickerplantrtdserver",,"FWRC1#EURINR#Month End Rates#0#AskPrice8")</f>
        <v>146.9</v>
      </c>
      <c r="I5" s="65">
        <f t="array" ref="I5">RTD("tickerplantrtdserver",,"FWRC1#EURINR#Month End Rates#0#AskPrice9")</f>
        <v>180.02500000000001</v>
      </c>
      <c r="J5" s="65">
        <f t="array" ref="J5">RTD("tickerplantrtdserver",,"FWRC1#EURINR#Month End Rates#0#AskPrice10")</f>
        <v>233.52250000000001</v>
      </c>
      <c r="K5" s="65">
        <f t="array" ref="K5">RTD("tickerplantrtdserver",,"FWRC1#EURINR#Month End Rates#0#AskPrice11")</f>
        <v>267.95999999999998</v>
      </c>
      <c r="L5" s="65">
        <f t="array" ref="L5">RTD("tickerplantrtdserver",,"FWRC1#EURINR#Month End Rates#0#AskPrice12")</f>
        <v>307.42</v>
      </c>
      <c r="M5" s="65">
        <f t="array" ref="M5">RTD("tickerplantrtdserver",,"FWRC1#EURINR#Month End Rates#0#AskPrice13")</f>
        <v>346.46749999999997</v>
      </c>
      <c r="N5" s="65">
        <f t="array" ref="N5">RTD("tickerplantrtdserver",,"FWRC1#EURINR#Month End Rates#0#AskPrice14")</f>
        <v>383.07249999999999</v>
      </c>
      <c r="O5" s="67">
        <f t="array" ref="O5">RTD("tickerplantrtdserver",,"FWRC1#EURINR#Month End Rates#0#AskPrice15")</f>
        <v>419.995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64">
        <f t="array" ref="C7">RTD("tickerplantrtdserver",,"FWRC1#EURINR#Month End Rates#0#FwdOutrightBid1")</f>
        <v>86.287199999999999</v>
      </c>
      <c r="D7" s="64">
        <f t="array" ref="D7">RTD("tickerplantrtdserver",,"FWRC1#EURINR#Month End Rates#0#FwdOutrightBid4")</f>
        <v>86.365899999999996</v>
      </c>
      <c r="E7" s="64">
        <f t="array" ref="E7">RTD("tickerplantrtdserver",,"FWRC1#EURINR#Month End Rates#0#FwdOutrightBid5")</f>
        <v>86.6935</v>
      </c>
      <c r="F7" s="64">
        <f t="array" ref="F7">RTD("tickerplantrtdserver",,"FWRC1#EURINR#Month End Rates#0#FwdOutrightBid6")</f>
        <v>87.013400000000004</v>
      </c>
      <c r="G7" s="64">
        <f t="array" ref="G7">RTD("tickerplantrtdserver",,"FWRC1#EURINR#Month End Rates#0#FwdOutrightBid7")</f>
        <v>87.429699999999997</v>
      </c>
      <c r="H7" s="64">
        <f t="array" ref="H7">RTD("tickerplantrtdserver",,"FWRC1#EURINR#Month End Rates#0#FwdOutrightBid8")</f>
        <v>87.763599999999997</v>
      </c>
      <c r="I7" s="64">
        <f t="array" ref="I7">RTD("tickerplantrtdserver",,"FWRC1#EURINR#Month End Rates#0#FwdOutrightBid9")</f>
        <v>88.093299999999999</v>
      </c>
      <c r="J7" s="64">
        <f t="array" ref="J7">RTD("tickerplantrtdserver",,"FWRC1#EURINR#Month End Rates#0#FwdOutrightBid10")</f>
        <v>88.608800000000002</v>
      </c>
      <c r="K7" s="64">
        <f t="array" ref="K7">RTD("tickerplantrtdserver",,"FWRC1#EURINR#Month End Rates#0#FwdOutrightBid11")</f>
        <v>88.965699999999998</v>
      </c>
      <c r="L7" s="64">
        <f t="array" ref="L7">RTD("tickerplantrtdserver",,"FWRC1#EURINR#Month End Rates#0#FwdOutrightBid12")</f>
        <v>89.352999999999994</v>
      </c>
      <c r="M7" s="64">
        <f t="array" ref="M7">RTD("tickerplantrtdserver",,"FWRC1#EURINR#Month End Rates#0#FwdOutrightBid13")</f>
        <v>89.725800000000007</v>
      </c>
      <c r="N7" s="64">
        <f t="array" ref="N7">RTD("tickerplantrtdserver",,"FWRC1#EURINR#Month End Rates#0#FwdOutrightBid14")</f>
        <v>90.087599999999995</v>
      </c>
      <c r="O7" s="68">
        <f t="array" ref="O7">RTD("tickerplantrtdserver",,"FWRC1#EURINR#Month End Rates#0#FwdOutrightBid15")</f>
        <v>90.474800000000002</v>
      </c>
      <c r="P7" s="20"/>
    </row>
    <row r="8" spans="1:18" s="14" customFormat="1" x14ac:dyDescent="0.25">
      <c r="A8" s="159" t="s">
        <v>48</v>
      </c>
      <c r="B8" s="160"/>
      <c r="C8" s="64">
        <f t="array" ref="C8">RTD("tickerplantrtdserver",,"FWRC1#EURINR#Month End Rates#0#FwdOutrightAsk1")</f>
        <v>86.323599999999999</v>
      </c>
      <c r="D8" s="64">
        <f t="array" ref="D8">RTD("tickerplantrtdserver",,"FWRC1#EURINR#Month End Rates#0#FwdOutrightAsk4")</f>
        <v>86.3857</v>
      </c>
      <c r="E8" s="64">
        <f t="array" ref="E8">RTD("tickerplantrtdserver",,"FWRC1#EURINR#Month End Rates#0#FwdOutrightAsk5")</f>
        <v>86.714600000000004</v>
      </c>
      <c r="F8" s="64">
        <f t="array" ref="F8">RTD("tickerplantrtdserver",,"FWRC1#EURINR#Month End Rates#0#FwdOutrightAsk6")</f>
        <v>87.0471</v>
      </c>
      <c r="G8" s="64">
        <f t="array" ref="G8">RTD("tickerplantrtdserver",,"FWRC1#EURINR#Month End Rates#0#FwdOutrightAsk7")</f>
        <v>87.463499999999996</v>
      </c>
      <c r="H8" s="64">
        <f t="array" ref="H8">RTD("tickerplantrtdserver",,"FWRC1#EURINR#Month End Rates#0#FwdOutrightAsk8")</f>
        <v>87.799000000000007</v>
      </c>
      <c r="I8" s="64">
        <f t="array" ref="I8">RTD("tickerplantrtdserver",,"FWRC1#EURINR#Month End Rates#0#FwdOutrightAsk9")</f>
        <v>88.130300000000005</v>
      </c>
      <c r="J8" s="64">
        <f t="array" ref="J8">RTD("tickerplantrtdserver",,"FWRC1#EURINR#Month End Rates#0#FwdOutrightAsk10")</f>
        <v>88.665199999999999</v>
      </c>
      <c r="K8" s="64">
        <f t="array" ref="K8">RTD("tickerplantrtdserver",,"FWRC1#EURINR#Month End Rates#0#FwdOutrightAsk11")</f>
        <v>89.009600000000006</v>
      </c>
      <c r="L8" s="64">
        <f t="array" ref="L8">RTD("tickerplantrtdserver",,"FWRC1#EURINR#Month End Rates#0#FwdOutrightAsk12")</f>
        <v>89.404200000000003</v>
      </c>
      <c r="M8" s="64">
        <f t="array" ref="M8">RTD("tickerplantrtdserver",,"FWRC1#EURINR#Month End Rates#0#FwdOutrightAsk13")</f>
        <v>89.794700000000006</v>
      </c>
      <c r="N8" s="64">
        <f t="array" ref="N8">RTD("tickerplantrtdserver",,"FWRC1#EURINR#Month End Rates#0#FwdOutrightAsk14")</f>
        <v>90.160700000000006</v>
      </c>
      <c r="O8" s="68">
        <f t="array" ref="O8">RTD("tickerplantrtdserver",,"FWRC1#EURINR#Month End Rates#0#FwdOutrightAsk15")</f>
        <v>90.53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>
        <f t="array" ref="C10">RTD("tickerplantrtdserver",,"FWRC1#EURINR#Month End Rates#0#Bid%2")</f>
        <v>1.8775999999999999</v>
      </c>
      <c r="D10" s="65">
        <f t="array" ref="D10">RTD("tickerplantrtdserver",,"FWRC1#EURINR#Month End Rates#0#Bid%4")</f>
        <v>3.7646000000000002</v>
      </c>
      <c r="E10" s="65">
        <f t="array" ref="E10">RTD("tickerplantrtdserver",,"FWRC1#EURINR#Month End Rates#0#Bid%5")</f>
        <v>4.5117000000000003</v>
      </c>
      <c r="F10" s="65">
        <f t="array" ref="F10">RTD("tickerplantrtdserver",,"FWRC1#EURINR#Month End Rates#0#Bid%6")</f>
        <v>4.6303000000000001</v>
      </c>
      <c r="G10" s="65">
        <f t="array" ref="G10">RTD("tickerplantrtdserver",,"FWRC1#EURINR#Month End Rates#0#Bid%7")</f>
        <v>4.82</v>
      </c>
      <c r="H10" s="65">
        <f t="array" ref="H10">RTD("tickerplantrtdserver",,"FWRC1#EURINR#Month End Rates#0#Bid%8")</f>
        <v>4.8307000000000002</v>
      </c>
      <c r="I10" s="65">
        <f t="array" ref="I10">RTD("tickerplantrtdserver",,"FWRC1#EURINR#Month End Rates#0#Bid%9")</f>
        <v>4.8574999999999999</v>
      </c>
      <c r="J10" s="65">
        <f t="array" ref="J10">RTD("tickerplantrtdserver",,"FWRC1#EURINR#Month End Rates#0#Bid%10")</f>
        <v>5.1641000000000004</v>
      </c>
      <c r="K10" s="65">
        <f t="array" ref="K10">RTD("tickerplantrtdserver",,"FWRC1#EURINR#Month End Rates#0#Bid%11")</f>
        <v>5.1456999999999997</v>
      </c>
      <c r="L10" s="65">
        <f t="array" ref="L10">RTD("tickerplantrtdserver",,"FWRC1#EURINR#Month End Rates#0#Bid%12")</f>
        <v>5.1627000000000001</v>
      </c>
      <c r="M10" s="65">
        <f t="array" ref="M10">RTD("tickerplantrtdserver",,"FWRC1#EURINR#Month End Rates#0#Bid%13")</f>
        <v>5.1725000000000003</v>
      </c>
      <c r="N10" s="65">
        <f t="array" ref="N10">RTD("tickerplantrtdserver",,"FWRC1#EURINR#Month End Rates#0#Bid%14")</f>
        <v>5.1653000000000002</v>
      </c>
      <c r="O10" s="67">
        <f t="array" ref="O10">RTD("tickerplantrtdserver",,"FWRC1#EURINR#Month End Rates#0#Bid%15")</f>
        <v>5.1607000000000003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RTD("tickerplantrtdserver",,"FWRC1#EURINR#Month End Rates#0#Ask%2")</f>
        <v>6.9317000000000002</v>
      </c>
      <c r="D11" s="69">
        <f t="array" ref="D11">RTD("tickerplantrtdserver",,"FWRC1#EURINR#Month End Rates#0#Ask%4")</f>
        <v>3.9275000000000002</v>
      </c>
      <c r="E11" s="69">
        <f t="array" ref="E11">RTD("tickerplantrtdserver",,"FWRC1#EURINR#Month End Rates#0#Ask%5")</f>
        <v>4.6159999999999997</v>
      </c>
      <c r="F11" s="69">
        <f t="array" ref="F11">RTD("tickerplantrtdserver",,"FWRC1#EURINR#Month End Rates#0#Ask%6")</f>
        <v>4.7381000000000002</v>
      </c>
      <c r="G11" s="69">
        <f t="array" ref="G11">RTD("tickerplantrtdserver",,"FWRC1#EURINR#Month End Rates#0#Ask%7")</f>
        <v>4.8912000000000004</v>
      </c>
      <c r="H11" s="69">
        <f t="array" ref="H11">RTD("tickerplantrtdserver",,"FWRC1#EURINR#Month End Rates#0#Ask%8")</f>
        <v>4.8914</v>
      </c>
      <c r="I11" s="69">
        <f t="array" ref="I11">RTD("tickerplantrtdserver",,"FWRC1#EURINR#Month End Rates#0#Ask%9")</f>
        <v>4.9116</v>
      </c>
      <c r="J11" s="69">
        <f t="array" ref="J11">RTD("tickerplantrtdserver",,"FWRC1#EURINR#Month End Rates#0#Ask%10")</f>
        <v>5.2527999999999997</v>
      </c>
      <c r="K11" s="69">
        <f t="array" ref="K11">RTD("tickerplantrtdserver",,"FWRC1#EURINR#Month End Rates#0#Ask%11")</f>
        <v>5.1980000000000004</v>
      </c>
      <c r="L11" s="69">
        <f t="array" ref="L11">RTD("tickerplantrtdserver",,"FWRC1#EURINR#Month End Rates#0#Ask%12")</f>
        <v>5.2210000000000001</v>
      </c>
      <c r="M11" s="69">
        <f t="array" ref="M11">RTD("tickerplantrtdserver",,"FWRC1#EURINR#Month End Rates#0#Ask%13")</f>
        <v>5.2514000000000003</v>
      </c>
      <c r="N11" s="69">
        <f t="array" ref="N11">RTD("tickerplantrtdserver",,"FWRC1#EURINR#Month End Rates#0#Ask%14")</f>
        <v>5.2424999999999997</v>
      </c>
      <c r="O11" s="70">
        <f t="array" ref="O11">RTD("tickerplantrtdserver",,"FWRC1#EURINR#Month End Rates#0#Ask%15")</f>
        <v>5.2084999999999999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P15" s="15"/>
      <c r="Q15" s="15"/>
      <c r="R15" s="15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P16" s="13"/>
    </row>
    <row r="17" spans="1:16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P17" s="13"/>
    </row>
    <row r="18" spans="1:16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P18" s="13"/>
    </row>
    <row r="19" spans="1:16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P19" s="15"/>
    </row>
    <row r="20" spans="1:16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</row>
    <row r="21" spans="1:16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</row>
    <row r="22" spans="1:16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</row>
    <row r="23" spans="1:16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</row>
    <row r="24" spans="1:16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</row>
    <row r="25" spans="1:16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</row>
    <row r="26" spans="1:16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</row>
    <row r="27" spans="1:16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</row>
    <row r="28" spans="1:16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</row>
    <row r="29" spans="1:16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</row>
    <row r="30" spans="1:16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</row>
    <row r="31" spans="1:16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</row>
    <row r="36" spans="1:5" x14ac:dyDescent="0.25">
      <c r="A36" s="1"/>
      <c r="B36" s="1"/>
    </row>
    <row r="40" spans="1:5" x14ac:dyDescent="0.25">
      <c r="E40" s="55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39"/>
  <sheetViews>
    <sheetView workbookViewId="0">
      <selection sqref="A1:B1"/>
    </sheetView>
  </sheetViews>
  <sheetFormatPr defaultColWidth="8.85546875" defaultRowHeight="15" x14ac:dyDescent="0.25"/>
  <cols>
    <col min="3" max="4" width="9.42578125" bestFit="1" customWidth="1"/>
    <col min="5" max="5" width="9.28515625" bestFit="1" customWidth="1"/>
    <col min="6" max="6" width="9" bestFit="1" customWidth="1"/>
    <col min="7" max="7" width="9.42578125" bestFit="1" customWidth="1"/>
    <col min="8" max="8" width="9" bestFit="1" customWidth="1"/>
    <col min="9" max="9" width="9.28515625" bestFit="1" customWidth="1"/>
    <col min="10" max="10" width="9.42578125" bestFit="1" customWidth="1"/>
    <col min="11" max="11" width="9.28515625" bestFit="1" customWidth="1"/>
    <col min="12" max="12" width="9.140625" bestFit="1" customWidth="1"/>
    <col min="13" max="13" width="9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RTD("tickerplantrtdserver",,"FWRC1#GBPINR#Month End Rates#0#S#Desc.2")</f>
        <v>CASH/SPOT</v>
      </c>
      <c r="D1" s="76" t="str">
        <f t="array" ref="D1">RTD("tickerplantrtdserver",,"FWRC1#GBPINR#Month End Rates#0#S#Desc.4")</f>
        <v>SEP-2020</v>
      </c>
      <c r="E1" s="76" t="str">
        <f t="array" ref="E1">RTD("tickerplantrtdserver",,"FWRC1#GBPINR#Month End Rates#0#S#Desc.5")</f>
        <v>OCT-2020</v>
      </c>
      <c r="F1" s="76" t="str">
        <f t="array" ref="F1">RTD("tickerplantrtdserver",,"FWRC1#GBPINR#Month End Rates#0#S#Desc.6")</f>
        <v>NOV-2020</v>
      </c>
      <c r="G1" s="76" t="str">
        <f t="array" ref="G1">RTD("tickerplantrtdserver",,"FWRC1#GBPINR#Month End Rates#0#S#Desc.7")</f>
        <v>DEC-2020</v>
      </c>
      <c r="H1" s="76" t="str">
        <f t="array" ref="H1">RTD("tickerplantrtdserver",,"FWRC1#GBPINR#Month End Rates#0#S#Desc.8")</f>
        <v>JAN-2021</v>
      </c>
      <c r="I1" s="76" t="str">
        <f t="array" ref="I1">RTD("tickerplantrtdserver",,"FWRC1#GBPINR#Month End Rates#0#S#Desc.9")</f>
        <v>FEB-2021</v>
      </c>
      <c r="J1" s="76" t="str">
        <f t="array" ref="J1">RTD("tickerplantrtdserver",,"FWRC1#GBPINR#Month End Rates#0#S#Desc.10")</f>
        <v>MAR-2021</v>
      </c>
      <c r="K1" s="76" t="str">
        <f t="array" ref="K1">RTD("tickerplantrtdserver",,"FWRC1#GBPINR#Month End Rates#0#S#Desc.11")</f>
        <v>APR-2021</v>
      </c>
      <c r="L1" s="76" t="str">
        <f t="array" ref="L1">RTD("tickerplantrtdserver",,"FWRC1#GBPINR#Month End Rates#0#S#Desc.12")</f>
        <v>MAY-2021</v>
      </c>
      <c r="M1" s="76" t="str">
        <f t="array" ref="M1">RTD("tickerplantrtdserver",,"FWRC1#GBPINR#Month End Rates#0#S#Desc.13")</f>
        <v>JUN-2021</v>
      </c>
      <c r="N1" s="76" t="str">
        <f t="array" ref="N1">RTD("tickerplantrtdserver",,"FWRC1#GBPINR#Month End Rates#0#S#Desc.14")</f>
        <v>JUL-2021</v>
      </c>
      <c r="O1" s="77" t="str">
        <f t="array" ref="O1">RTD("tickerplantrtdserver",,"FWRC1#GBPINR#Month End Rates#0#S#Desc.15")</f>
        <v>AUG-2021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RTD("tickerplantrtdserver",,"FWRC1#GBPINR#Month End Rates#0#S#PillarDate2")</f>
        <v>24-Sep-2020</v>
      </c>
      <c r="D2" s="71" t="str">
        <f t="array" ref="D2">RTD("tickerplantrtdserver",,"FWRC1#GBPINR#Month End Rates#0#S#PillarDate4")</f>
        <v>30-Sep-2020</v>
      </c>
      <c r="E2" s="71" t="str">
        <f t="array" ref="E2">RTD("tickerplantrtdserver",,"FWRC1#GBPINR#Month End Rates#0#S#PillarDate5")</f>
        <v>29-Oct-2020</v>
      </c>
      <c r="F2" s="71" t="str">
        <f t="array" ref="F2">RTD("tickerplantrtdserver",,"FWRC1#GBPINR#Month End Rates#0#S#PillarDate6")</f>
        <v>27-Nov-2020</v>
      </c>
      <c r="G2" s="71" t="str">
        <f t="array" ref="G2">RTD("tickerplantrtdserver",,"FWRC1#GBPINR#Month End Rates#0#S#PillarDate7")</f>
        <v>31-Dec-2020</v>
      </c>
      <c r="H2" s="71" t="str">
        <f t="array" ref="H2">RTD("tickerplantrtdserver",,"FWRC1#GBPINR#Month End Rates#0#S#PillarDate8")</f>
        <v>29-Jan-2021</v>
      </c>
      <c r="I2" s="71" t="str">
        <f t="array" ref="I2">RTD("tickerplantrtdserver",,"FWRC1#GBPINR#Month End Rates#0#S#PillarDate9")</f>
        <v>26-Feb-2021</v>
      </c>
      <c r="J2" s="71" t="str">
        <f t="array" ref="J2">RTD("tickerplantrtdserver",,"FWRC1#GBPINR#Month End Rates#0#S#PillarDate10")</f>
        <v>31-Mar-2021</v>
      </c>
      <c r="K2" s="71" t="str">
        <f t="array" ref="K2">RTD("tickerplantrtdserver",,"FWRC1#GBPINR#Month End Rates#0#S#PillarDate11")</f>
        <v>30-Apr-2021</v>
      </c>
      <c r="L2" s="71" t="str">
        <f t="array" ref="L2">RTD("tickerplantrtdserver",,"FWRC1#GBPINR#Month End Rates#0#S#PillarDate12")</f>
        <v>31-May-2021</v>
      </c>
      <c r="M2" s="71" t="str">
        <f t="array" ref="M2">RTD("tickerplantrtdserver",,"FWRC1#GBPINR#Month End Rates#0#S#PillarDate13")</f>
        <v>30-Jun-2021</v>
      </c>
      <c r="N2" s="71" t="str">
        <f t="array" ref="N2">RTD("tickerplantrtdserver",,"FWRC1#GBPINR#Month End Rates#0#S#PillarDate14")</f>
        <v>30-Jul-2021</v>
      </c>
      <c r="O2" s="75" t="str">
        <f t="array" ref="O2">RTD("tickerplantrtdserver",,"FWRC1#GBPINR#Month End Rates#0#S#PillarDate15")</f>
        <v>31-Aug-2021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>
        <f>RTD("tickerplantrtdserver",,"FWRC1#GBPINR#Month End Rates#0#BidPrice2")/100</f>
        <v>0.67292199999999991</v>
      </c>
      <c r="D4" s="65">
        <f>RTD("tickerplantrtdserver",,"FWRC1#GBPINR#Month End Rates#0#BidPrice4")/100</f>
        <v>5.0566750000000003</v>
      </c>
      <c r="E4" s="65">
        <f>RTD("tickerplantrtdserver",,"FWRC1#GBPINR#Month End Rates#0#BidPrice5")/100</f>
        <v>35.308750000000003</v>
      </c>
      <c r="F4" s="65">
        <f>RTD("tickerplantrtdserver",,"FWRC1#GBPINR#Month End Rates#0#BidPrice6")/100</f>
        <v>65.750375000000005</v>
      </c>
      <c r="G4" s="65">
        <f>RTD("tickerplantrtdserver",,"FWRC1#GBPINR#Month End Rates#0#BidPrice7")/100</f>
        <v>106.32225</v>
      </c>
      <c r="H4" s="65">
        <f>RTD("tickerplantrtdserver",,"FWRC1#GBPINR#Month End Rates#0#BidPrice8")/100</f>
        <v>138.07544999999999</v>
      </c>
      <c r="I4" s="65">
        <f>RTD("tickerplantrtdserver",,"FWRC1#GBPINR#Month End Rates#0#BidPrice9")/100</f>
        <v>169.31842499999999</v>
      </c>
      <c r="J4" s="65">
        <f>RTD("tickerplantrtdserver",,"FWRC1#GBPINR#Month End Rates#0#BidPrice10")/100</f>
        <v>219.59957500000002</v>
      </c>
      <c r="K4" s="65">
        <f>RTD("tickerplantrtdserver",,"FWRC1#GBPINR#Month End Rates#0#BidPrice11")/100</f>
        <v>253.76570000000001</v>
      </c>
      <c r="L4" s="65">
        <f>RTD("tickerplantrtdserver",,"FWRC1#GBPINR#Month End Rates#0#BidPrice12")/100</f>
        <v>290.57997499999999</v>
      </c>
      <c r="M4" s="65">
        <f>RTD("tickerplantrtdserver",,"FWRC1#GBPINR#Month End Rates#0#BidPrice13")/100</f>
        <v>325.69517500000001</v>
      </c>
      <c r="N4" s="65">
        <f>RTD("tickerplantrtdserver",,"FWRC1#GBPINR#Month End Rates#0#BidPrice14")/100</f>
        <v>360.0308</v>
      </c>
      <c r="O4" s="67">
        <f>RTD("tickerplantrtdserver",,"FWRC1#GBPINR#Month End Rates#0#BidPrice15")/100</f>
        <v>396.34922499999999</v>
      </c>
      <c r="P4" s="20"/>
    </row>
    <row r="5" spans="1:18" s="14" customFormat="1" x14ac:dyDescent="0.25">
      <c r="A5" s="159" t="s">
        <v>48</v>
      </c>
      <c r="B5" s="160"/>
      <c r="C5" s="65">
        <f>RTD("tickerplantrtdserver",,"FWRC1#GBPINR#Month End Rates#0#AskPrice2")/100</f>
        <v>3.313377</v>
      </c>
      <c r="D5" s="65">
        <f>RTD("tickerplantrtdserver",,"FWRC1#GBPINR#Month End Rates#0#AskPrice4")/100</f>
        <v>5.3176250000000005</v>
      </c>
      <c r="E5" s="65">
        <f>RTD("tickerplantrtdserver",,"FWRC1#GBPINR#Month End Rates#0#AskPrice5")/100</f>
        <v>36.269275</v>
      </c>
      <c r="F5" s="65">
        <f>RTD("tickerplantrtdserver",,"FWRC1#GBPINR#Month End Rates#0#AskPrice6")/100</f>
        <v>67.704174999999992</v>
      </c>
      <c r="G5" s="65">
        <f>RTD("tickerplantrtdserver",,"FWRC1#GBPINR#Month End Rates#0#AskPrice7")/100</f>
        <v>108.26125</v>
      </c>
      <c r="H5" s="65">
        <f>RTD("tickerplantrtdserver",,"FWRC1#GBPINR#Month End Rates#0#AskPrice8")/100</f>
        <v>140.03387499999999</v>
      </c>
      <c r="I5" s="65">
        <f>RTD("tickerplantrtdserver",,"FWRC1#GBPINR#Month End Rates#0#AskPrice9")/100</f>
        <v>171.594525</v>
      </c>
      <c r="J5" s="65">
        <f>RTD("tickerplantrtdserver",,"FWRC1#GBPINR#Month End Rates#0#AskPrice10")/100</f>
        <v>222.3237</v>
      </c>
      <c r="K5" s="65">
        <f>RTD("tickerplantrtdserver",,"FWRC1#GBPINR#Month End Rates#0#AskPrice11")/100</f>
        <v>256.66154999999998</v>
      </c>
      <c r="L5" s="65">
        <f>RTD("tickerplantrtdserver",,"FWRC1#GBPINR#Month End Rates#0#AskPrice12")/100</f>
        <v>292.93347499999999</v>
      </c>
      <c r="M5" s="65">
        <f>RTD("tickerplantrtdserver",,"FWRC1#GBPINR#Month End Rates#0#AskPrice13")/100</f>
        <v>328.62129999999996</v>
      </c>
      <c r="N5" s="65">
        <f>RTD("tickerplantrtdserver",,"FWRC1#GBPINR#Month End Rates#0#AskPrice14")/100</f>
        <v>362.98582499999998</v>
      </c>
      <c r="O5" s="67">
        <f>RTD("tickerplantrtdserver",,"FWRC1#GBPINR#Month End Rates#0#AskPrice15")/100</f>
        <v>399.64605000000006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72">
        <f t="array" ref="C7">RTD("tickerplantrtdserver",,"FWRC1#GBPINR#Month End Rates#0#FwdOutrightBid1")</f>
        <v>94.164400000000001</v>
      </c>
      <c r="D7" s="64">
        <f t="array" ref="D7">RTD("tickerplantrtdserver",,"FWRC1#GBPINR#Month End Rates#0#FwdOutrightBid4")</f>
        <v>94.248099999999994</v>
      </c>
      <c r="E7" s="64">
        <f t="array" ref="E7">RTD("tickerplantrtdserver",,"FWRC1#GBPINR#Month End Rates#0#FwdOutrightBid5")</f>
        <v>94.550600000000003</v>
      </c>
      <c r="F7" s="64">
        <f t="array" ref="F7">RTD("tickerplantrtdserver",,"FWRC1#GBPINR#Month End Rates#0#FwdOutrightBid6")</f>
        <v>94.855000000000004</v>
      </c>
      <c r="G7" s="64">
        <f t="array" ref="G7">RTD("tickerplantrtdserver",,"FWRC1#GBPINR#Month End Rates#0#FwdOutrightBid7")</f>
        <v>95.2607</v>
      </c>
      <c r="H7" s="64">
        <f t="array" ref="H7">RTD("tickerplantrtdserver",,"FWRC1#GBPINR#Month End Rates#0#FwdOutrightBid8")</f>
        <v>95.578299999999999</v>
      </c>
      <c r="I7" s="64">
        <f t="array" ref="I7">RTD("tickerplantrtdserver",,"FWRC1#GBPINR#Month End Rates#0#FwdOutrightBid9")</f>
        <v>95.890699999999995</v>
      </c>
      <c r="J7" s="64">
        <f t="array" ref="J7">RTD("tickerplantrtdserver",,"FWRC1#GBPINR#Month End Rates#0#FwdOutrightBid10")</f>
        <v>96.393500000000003</v>
      </c>
      <c r="K7" s="64">
        <f t="array" ref="K7">RTD("tickerplantrtdserver",,"FWRC1#GBPINR#Month End Rates#0#FwdOutrightBid11")</f>
        <v>96.735200000000006</v>
      </c>
      <c r="L7" s="64">
        <f t="array" ref="L7">RTD("tickerplantrtdserver",,"FWRC1#GBPINR#Month End Rates#0#FwdOutrightBid12")</f>
        <v>97.103300000000004</v>
      </c>
      <c r="M7" s="64">
        <f t="array" ref="M7">RTD("tickerplantrtdserver",,"FWRC1#GBPINR#Month End Rates#0#FwdOutrightBid13")</f>
        <v>97.454499999999996</v>
      </c>
      <c r="N7" s="64">
        <f t="array" ref="N7">RTD("tickerplantrtdserver",,"FWRC1#GBPINR#Month End Rates#0#FwdOutrightBid14")</f>
        <v>97.797799999999995</v>
      </c>
      <c r="O7" s="68">
        <f t="array" ref="O7">RTD("tickerplantrtdserver",,"FWRC1#GBPINR#Month End Rates#0#FwdOutrightBid15")</f>
        <v>98.161000000000001</v>
      </c>
      <c r="P7" s="20"/>
    </row>
    <row r="8" spans="1:18" s="14" customFormat="1" x14ac:dyDescent="0.25">
      <c r="A8" s="159" t="s">
        <v>48</v>
      </c>
      <c r="B8" s="160"/>
      <c r="C8" s="72">
        <f t="array" ref="C8">RTD("tickerplantrtdserver",,"FWRC1#GBPINR#Month End Rates#0#FwdOutrightAsk1")</f>
        <v>94.213300000000004</v>
      </c>
      <c r="D8" s="64">
        <f t="array" ref="D8">RTD("tickerplantrtdserver",,"FWRC1#GBPINR#Month End Rates#0#FwdOutrightAsk4")</f>
        <v>94.273200000000003</v>
      </c>
      <c r="E8" s="64">
        <f t="array" ref="E8">RTD("tickerplantrtdserver",,"FWRC1#GBPINR#Month End Rates#0#FwdOutrightAsk5")</f>
        <v>94.582700000000003</v>
      </c>
      <c r="F8" s="64">
        <f t="array" ref="F8">RTD("tickerplantrtdserver",,"FWRC1#GBPINR#Month End Rates#0#FwdOutrightAsk6")</f>
        <v>94.897000000000006</v>
      </c>
      <c r="G8" s="64">
        <f t="array" ref="G8">RTD("tickerplantrtdserver",,"FWRC1#GBPINR#Month End Rates#0#FwdOutrightAsk7")</f>
        <v>95.302599999999998</v>
      </c>
      <c r="H8" s="64">
        <f t="array" ref="H8">RTD("tickerplantrtdserver",,"FWRC1#GBPINR#Month End Rates#0#FwdOutrightAsk8")</f>
        <v>95.6203</v>
      </c>
      <c r="I8" s="64">
        <f t="array" ref="I8">RTD("tickerplantrtdserver",,"FWRC1#GBPINR#Month End Rates#0#FwdOutrightAsk9")</f>
        <v>95.935900000000004</v>
      </c>
      <c r="J8" s="64">
        <f t="array" ref="J8">RTD("tickerplantrtdserver",,"FWRC1#GBPINR#Month End Rates#0#FwdOutrightAsk10")</f>
        <v>96.443200000000004</v>
      </c>
      <c r="K8" s="64">
        <f t="array" ref="K8">RTD("tickerplantrtdserver",,"FWRC1#GBPINR#Month End Rates#0#FwdOutrightAsk11")</f>
        <v>96.786600000000007</v>
      </c>
      <c r="L8" s="64">
        <f t="array" ref="L8">RTD("tickerplantrtdserver",,"FWRC1#GBPINR#Month End Rates#0#FwdOutrightAsk12")</f>
        <v>97.149299999999997</v>
      </c>
      <c r="M8" s="64">
        <f t="array" ref="M8">RTD("tickerplantrtdserver",,"FWRC1#GBPINR#Month End Rates#0#FwdOutrightAsk13")</f>
        <v>97.506200000000007</v>
      </c>
      <c r="N8" s="64">
        <f t="array" ref="N8">RTD("tickerplantrtdserver",,"FWRC1#GBPINR#Month End Rates#0#FwdOutrightAsk14")</f>
        <v>97.849900000000005</v>
      </c>
      <c r="O8" s="68">
        <f t="array" ref="O8">RTD("tickerplantrtdserver",,"FWRC1#GBPINR#Month End Rates#0#FwdOutrightAsk15")</f>
        <v>98.216499999999996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>
        <f t="array" ref="C10">RTD("tickerplantrtdserver",,"FWRC1#GBPINR#Month End Rates#0#Bid%2")</f>
        <v>1.3033999999999999</v>
      </c>
      <c r="D10" s="65">
        <f t="array" ref="D10">RTD("tickerplantrtdserver",,"FWRC1#GBPINR#Month End Rates#0#Bid%4")</f>
        <v>3.2648999999999999</v>
      </c>
      <c r="E10" s="65">
        <f t="array" ref="E10">RTD("tickerplantrtdserver",,"FWRC1#GBPINR#Month End Rates#0#Bid%5")</f>
        <v>3.9081000000000001</v>
      </c>
      <c r="F10" s="65">
        <f t="array" ref="F10">RTD("tickerplantrtdserver",,"FWRC1#GBPINR#Month End Rates#0#Bid%6")</f>
        <v>3.9799000000000002</v>
      </c>
      <c r="G10" s="65">
        <f t="array" ref="G10">RTD("tickerplantrtdserver",,"FWRC1#GBPINR#Month End Rates#0#Bid%7")</f>
        <v>4.2028999999999996</v>
      </c>
      <c r="H10" s="65">
        <f t="array" ref="H10">RTD("tickerplantrtdserver",,"FWRC1#GBPINR#Month End Rates#0#Bid%8")</f>
        <v>4.2117000000000004</v>
      </c>
      <c r="I10" s="65">
        <f t="array" ref="I10">RTD("tickerplantrtdserver",,"FWRC1#GBPINR#Month End Rates#0#Bid%9")</f>
        <v>4.2317999999999998</v>
      </c>
      <c r="J10" s="65">
        <f t="array" ref="J10">RTD("tickerplantrtdserver",,"FWRC1#GBPINR#Month End Rates#0#Bid%10")</f>
        <v>4.5251000000000001</v>
      </c>
      <c r="K10" s="65">
        <f t="array" ref="K10">RTD("tickerplantrtdserver",,"FWRC1#GBPINR#Month End Rates#0#Bid%11")</f>
        <v>4.5095000000000001</v>
      </c>
      <c r="L10" s="65">
        <f t="array" ref="L10">RTD("tickerplantrtdserver",,"FWRC1#GBPINR#Month End Rates#0#Bid%12")</f>
        <v>4.5208000000000004</v>
      </c>
      <c r="M10" s="65">
        <f t="array" ref="M10">RTD("tickerplantrtdserver",,"FWRC1#GBPINR#Month End Rates#0#Bid%13")</f>
        <v>4.5223000000000004</v>
      </c>
      <c r="N10" s="65">
        <f t="array" ref="N10">RTD("tickerplantrtdserver",,"FWRC1#GBPINR#Month End Rates#0#Bid%14")</f>
        <v>4.5137</v>
      </c>
      <c r="O10" s="67">
        <f t="array" ref="O10">RTD("tickerplantrtdserver",,"FWRC1#GBPINR#Month End Rates#0#Bid%15")</f>
        <v>4.5026999999999999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RTD("tickerplantrtdserver",,"FWRC1#GBPINR#Month End Rates#0#Ask%2")</f>
        <v>6.4194000000000004</v>
      </c>
      <c r="D11" s="69">
        <f t="array" ref="D11">RTD("tickerplantrtdserver",,"FWRC1#GBPINR#Month End Rates#0#Ask%4")</f>
        <v>3.4342000000000001</v>
      </c>
      <c r="E11" s="69">
        <f t="array" ref="E11">RTD("tickerplantrtdserver",,"FWRC1#GBPINR#Month End Rates#0#Ask%5")</f>
        <v>4.0153999999999996</v>
      </c>
      <c r="F11" s="69">
        <f t="array" ref="F11">RTD("tickerplantrtdserver",,"FWRC1#GBPINR#Month End Rates#0#Ask%6")</f>
        <v>4.0991</v>
      </c>
      <c r="G11" s="69">
        <f t="array" ref="G11">RTD("tickerplantrtdserver",,"FWRC1#GBPINR#Month End Rates#0#Ask%7")</f>
        <v>4.2805999999999997</v>
      </c>
      <c r="H11" s="69">
        <f t="array" ref="H11">RTD("tickerplantrtdserver",,"FWRC1#GBPINR#Month End Rates#0#Ask%8")</f>
        <v>4.2725</v>
      </c>
      <c r="I11" s="69">
        <f t="array" ref="I11">RTD("tickerplantrtdserver",,"FWRC1#GBPINR#Month End Rates#0#Ask%9")</f>
        <v>4.2896999999999998</v>
      </c>
      <c r="J11" s="69">
        <f t="array" ref="J11">RTD("tickerplantrtdserver",,"FWRC1#GBPINR#Month End Rates#0#Ask%10")</f>
        <v>4.5823</v>
      </c>
      <c r="K11" s="69">
        <f t="array" ref="K11">RTD("tickerplantrtdserver",,"FWRC1#GBPINR#Month End Rates#0#Ask%11")</f>
        <v>4.5620000000000003</v>
      </c>
      <c r="L11" s="69">
        <f t="array" ref="L11">RTD("tickerplantrtdserver",,"FWRC1#GBPINR#Month End Rates#0#Ask%12")</f>
        <v>4.5585000000000004</v>
      </c>
      <c r="M11" s="69">
        <f t="array" ref="M11">RTD("tickerplantrtdserver",,"FWRC1#GBPINR#Month End Rates#0#Ask%13")</f>
        <v>4.5640000000000001</v>
      </c>
      <c r="N11" s="69">
        <f t="array" ref="N11">RTD("tickerplantrtdserver",,"FWRC1#GBPINR#Month End Rates#0#Ask%14")</f>
        <v>4.5518000000000001</v>
      </c>
      <c r="O11" s="70">
        <f t="array" ref="O11">RTD("tickerplantrtdserver",,"FWRC1#GBPINR#Month End Rates#0#Ask%15")</f>
        <v>4.5411999999999999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Q14" s="23"/>
      <c r="R14" s="23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Q15" s="23"/>
      <c r="R15" s="23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Q16" s="23"/>
      <c r="R16" s="23"/>
    </row>
    <row r="17" spans="1:19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Q17" s="23"/>
      <c r="R17" s="23"/>
    </row>
    <row r="18" spans="1:19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Q18" s="23"/>
      <c r="R18" s="23"/>
    </row>
    <row r="19" spans="1:19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Q19" s="23"/>
      <c r="R19" s="23"/>
    </row>
    <row r="20" spans="1:19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  <c r="Q20" s="23"/>
      <c r="R20" s="23"/>
    </row>
    <row r="21" spans="1:19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  <c r="P21" s="14"/>
      <c r="Q21" s="23"/>
      <c r="R21" s="23"/>
      <c r="S21" s="14"/>
    </row>
    <row r="22" spans="1:19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  <c r="P22" s="14"/>
      <c r="Q22" s="23"/>
      <c r="R22" s="23"/>
      <c r="S22" s="14"/>
    </row>
    <row r="23" spans="1:19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  <c r="P23" s="14"/>
      <c r="Q23" s="23"/>
      <c r="R23" s="23"/>
      <c r="S23" s="14"/>
    </row>
    <row r="24" spans="1:19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  <c r="P24" s="14"/>
      <c r="Q24" s="23"/>
      <c r="R24" s="23"/>
      <c r="S24" s="14"/>
    </row>
    <row r="25" spans="1:19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  <c r="P25" s="14"/>
      <c r="Q25" s="23"/>
      <c r="R25" s="23"/>
      <c r="S25" s="14"/>
    </row>
    <row r="26" spans="1:19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  <c r="P26" s="14"/>
      <c r="Q26" s="23"/>
      <c r="R26" s="23"/>
      <c r="S26" s="14"/>
    </row>
    <row r="27" spans="1:19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  <c r="P27" s="14"/>
      <c r="Q27" s="23"/>
      <c r="R27" s="23"/>
      <c r="S27" s="14"/>
    </row>
    <row r="28" spans="1:19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  <c r="P28" s="14"/>
      <c r="Q28" s="23"/>
      <c r="R28" s="23"/>
      <c r="S28" s="14"/>
    </row>
    <row r="29" spans="1:19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  <c r="P29" s="14"/>
      <c r="Q29" s="23"/>
      <c r="R29" s="23"/>
      <c r="S29" s="14"/>
    </row>
    <row r="30" spans="1:19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  <c r="P30" s="14"/>
      <c r="Q30" s="23"/>
      <c r="R30" s="23"/>
      <c r="S30" s="14"/>
    </row>
    <row r="31" spans="1:19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  <c r="P31" s="14"/>
      <c r="Q31" s="23"/>
      <c r="R31" s="23"/>
      <c r="S31" s="14"/>
    </row>
    <row r="32" spans="1:19" x14ac:dyDescent="0.25">
      <c r="A32" s="13"/>
      <c r="B32" s="21"/>
      <c r="C32" s="21"/>
      <c r="D32" s="58"/>
      <c r="E32" s="21"/>
      <c r="F32" s="21"/>
      <c r="G32" s="21"/>
      <c r="H32" s="32"/>
      <c r="I32" s="32"/>
      <c r="J32" s="32"/>
      <c r="K32" s="14"/>
      <c r="L32" s="31"/>
      <c r="M32" s="31"/>
      <c r="N32" s="31"/>
      <c r="O32" s="14"/>
      <c r="P32" s="14"/>
      <c r="Q32" s="23"/>
      <c r="R32" s="23"/>
      <c r="S32" s="14"/>
    </row>
    <row r="33" spans="1:19" x14ac:dyDescent="0.25">
      <c r="A33" s="13"/>
      <c r="B33" s="21"/>
      <c r="C33" s="21"/>
      <c r="D33" s="58"/>
      <c r="E33" s="21"/>
      <c r="F33" s="21"/>
      <c r="G33" s="21"/>
      <c r="H33" s="32"/>
      <c r="I33" s="32"/>
      <c r="J33" s="32"/>
      <c r="K33" s="14"/>
      <c r="L33" s="31"/>
      <c r="M33" s="31"/>
      <c r="N33" s="31"/>
      <c r="O33" s="14"/>
      <c r="P33" s="14"/>
      <c r="Q33" s="23"/>
      <c r="R33" s="23"/>
      <c r="S33" s="14"/>
    </row>
    <row r="34" spans="1:19" x14ac:dyDescent="0.25">
      <c r="A34" s="13"/>
      <c r="B34" s="21"/>
      <c r="C34" s="21"/>
      <c r="D34" s="58"/>
      <c r="E34" s="21"/>
      <c r="F34" s="21"/>
      <c r="G34" s="21"/>
      <c r="H34" s="32"/>
      <c r="I34" s="32"/>
      <c r="J34" s="32"/>
      <c r="K34" s="14"/>
      <c r="L34" s="31"/>
      <c r="M34" s="31"/>
      <c r="N34" s="31"/>
      <c r="O34" s="14"/>
      <c r="P34" s="14"/>
      <c r="Q34" s="23"/>
      <c r="R34" s="23"/>
      <c r="S34" s="14"/>
    </row>
    <row r="35" spans="1:19" x14ac:dyDescent="0.25">
      <c r="A35" s="13"/>
      <c r="B35" s="21"/>
      <c r="C35" s="21"/>
      <c r="D35" s="58"/>
      <c r="E35" s="21"/>
      <c r="F35" s="21"/>
      <c r="G35" s="21"/>
      <c r="H35" s="32"/>
      <c r="I35" s="32"/>
      <c r="J35" s="32"/>
      <c r="K35" s="14"/>
      <c r="L35" s="31"/>
      <c r="M35" s="31"/>
      <c r="N35" s="31"/>
      <c r="O35" s="14"/>
      <c r="P35" s="14"/>
      <c r="Q35" s="23"/>
      <c r="R35" s="23"/>
      <c r="S35" s="14"/>
    </row>
    <row r="36" spans="1:19" x14ac:dyDescent="0.25">
      <c r="A36" s="13"/>
      <c r="B36" s="21"/>
      <c r="C36" s="21"/>
      <c r="D36" s="58"/>
      <c r="E36" s="21"/>
      <c r="F36" s="21"/>
      <c r="G36" s="21"/>
      <c r="H36" s="32"/>
      <c r="I36" s="32"/>
      <c r="J36" s="32"/>
      <c r="K36" s="14"/>
      <c r="L36" s="31"/>
      <c r="M36" s="31"/>
      <c r="N36" s="31"/>
      <c r="O36" s="14"/>
      <c r="P36" s="14"/>
      <c r="Q36" s="23"/>
      <c r="R36" s="23"/>
      <c r="S36" s="14"/>
    </row>
    <row r="37" spans="1:19" x14ac:dyDescent="0.25">
      <c r="A37" s="13"/>
      <c r="B37" s="21"/>
      <c r="C37" s="21"/>
      <c r="D37" s="58"/>
      <c r="E37" s="21"/>
      <c r="F37" s="21"/>
      <c r="G37" s="21"/>
      <c r="H37" s="32"/>
      <c r="I37" s="32"/>
      <c r="J37" s="32"/>
      <c r="K37" s="14"/>
      <c r="L37" s="31"/>
      <c r="M37" s="31"/>
      <c r="N37" s="31"/>
      <c r="O37" s="14"/>
      <c r="P37" s="14"/>
      <c r="Q37" s="23"/>
      <c r="R37" s="23"/>
      <c r="S37" s="14"/>
    </row>
    <row r="38" spans="1:19" x14ac:dyDescent="0.25">
      <c r="A38" s="13"/>
      <c r="B38" s="21"/>
      <c r="C38" s="21"/>
      <c r="D38" s="58"/>
      <c r="E38" s="21"/>
      <c r="F38" s="21"/>
      <c r="G38" s="21"/>
      <c r="H38" s="32"/>
      <c r="I38" s="32"/>
      <c r="J38" s="32"/>
      <c r="K38" s="14"/>
      <c r="L38" s="31"/>
      <c r="M38" s="31"/>
      <c r="N38" s="31"/>
      <c r="O38" s="14"/>
      <c r="P38" s="14"/>
      <c r="Q38" s="23"/>
      <c r="R38" s="23"/>
      <c r="S38" s="14"/>
    </row>
    <row r="39" spans="1:19" x14ac:dyDescent="0.25">
      <c r="A39" s="13"/>
      <c r="B39" s="21"/>
      <c r="C39" s="21"/>
      <c r="D39" s="58"/>
      <c r="E39" s="21"/>
      <c r="F39" s="21"/>
      <c r="G39" s="21"/>
      <c r="H39" s="32"/>
      <c r="I39" s="32"/>
      <c r="J39" s="32"/>
      <c r="K39" s="14"/>
      <c r="L39" s="31"/>
      <c r="M39" s="31"/>
      <c r="N39" s="31"/>
      <c r="O39" s="14"/>
      <c r="P39" s="14"/>
      <c r="Q39" s="23"/>
      <c r="R39" s="23"/>
      <c r="S39" s="14"/>
    </row>
  </sheetData>
  <mergeCells count="14">
    <mergeCell ref="A9:B9"/>
    <mergeCell ref="C9:O9"/>
    <mergeCell ref="A10:B10"/>
    <mergeCell ref="A11:B11"/>
    <mergeCell ref="A5:B5"/>
    <mergeCell ref="A6:B6"/>
    <mergeCell ref="C6:O6"/>
    <mergeCell ref="A7:B7"/>
    <mergeCell ref="A8:B8"/>
    <mergeCell ref="A1:B1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6"/>
  <sheetViews>
    <sheetView workbookViewId="0">
      <selection sqref="A1:B1"/>
    </sheetView>
  </sheetViews>
  <sheetFormatPr defaultColWidth="8.85546875"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RTD("tickerplantrtdserver",,"FWRC1#JPYINR#Month End Rates#0#S#Desc.2")</f>
        <v>CASH/SPOT</v>
      </c>
      <c r="D1" s="76" t="str">
        <f t="array" ref="D1">RTD("tickerplantrtdserver",,"FWRC1#JPYINR#Month End Rates#0#S#Desc.4")</f>
        <v>SEP-2020</v>
      </c>
      <c r="E1" s="76" t="str">
        <f t="array" ref="E1">RTD("tickerplantrtdserver",,"FWRC1#JPYINR#Month End Rates#0#S#Desc.5")</f>
        <v>OCT-2020</v>
      </c>
      <c r="F1" s="76" t="str">
        <f t="array" ref="F1">RTD("tickerplantrtdserver",,"FWRC1#JPYINR#Month End Rates#0#S#Desc.6")</f>
        <v>NOV-2020</v>
      </c>
      <c r="G1" s="76" t="str">
        <f t="array" ref="G1">RTD("tickerplantrtdserver",,"FWRC1#JPYINR#Month End Rates#0#S#Desc.7")</f>
        <v>DEC-2020</v>
      </c>
      <c r="H1" s="76" t="str">
        <f t="array" ref="H1">RTD("tickerplantrtdserver",,"FWRC1#JPYINR#Month End Rates#0#S#Desc.8")</f>
        <v>JAN-2021</v>
      </c>
      <c r="I1" s="76" t="str">
        <f t="array" ref="I1">RTD("tickerplantrtdserver",,"FWRC1#JPYINR#Month End Rates#0#S#Desc.9")</f>
        <v>FEB-2021</v>
      </c>
      <c r="J1" s="76" t="str">
        <f t="array" ref="J1">RTD("tickerplantrtdserver",,"FWRC1#JPYINR#Month End Rates#0#S#Desc.10")</f>
        <v>MAR-2021</v>
      </c>
      <c r="K1" s="76" t="str">
        <f t="array" ref="K1">RTD("tickerplantrtdserver",,"FWRC1#JPYINR#Month End Rates#0#S#Desc.11")</f>
        <v>APR-2021</v>
      </c>
      <c r="L1" s="76" t="str">
        <f t="array" ref="L1">RTD("tickerplantrtdserver",,"FWRC1#JPYINR#Month End Rates#0#S#Desc.12")</f>
        <v>MAY-2021</v>
      </c>
      <c r="M1" s="76" t="str">
        <f t="array" ref="M1">RTD("tickerplantrtdserver",,"FWRC1#JPYINR#Month End Rates#0#S#Desc.13")</f>
        <v>JUN-2021</v>
      </c>
      <c r="N1" s="76" t="str">
        <f t="array" ref="N1">RTD("tickerplantrtdserver",,"FWRC1#JPYINR#Month End Rates#0#S#Desc.14")</f>
        <v>JUL-2021</v>
      </c>
      <c r="O1" s="77" t="str">
        <f t="array" ref="O1">RTD("tickerplantrtdserver",,"FWRC1#JPYINR#Month End Rates#0#S#Desc.15")</f>
        <v>AUG-2021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RTD("tickerplantrtdserver",,"FWRC1#JPYINR#Month End Rates#0#S#PillarDate2")</f>
        <v>24-Sep-2020</v>
      </c>
      <c r="D2" s="71" t="str">
        <f t="array" ref="D2">RTD("tickerplantrtdserver",,"FWRC1#JPYINR#Month End Rates#0#S#PillarDate4")</f>
        <v>30-Sep-2020</v>
      </c>
      <c r="E2" s="71" t="str">
        <f t="array" ref="E2">RTD("tickerplantrtdserver",,"FWRC1#JPYINR#Month End Rates#0#S#PillarDate5")</f>
        <v>29-Oct-2020</v>
      </c>
      <c r="F2" s="71" t="str">
        <f t="array" ref="F2">RTD("tickerplantrtdserver",,"FWRC1#JPYINR#Month End Rates#0#S#PillarDate6")</f>
        <v>27-Nov-2020</v>
      </c>
      <c r="G2" s="71" t="str">
        <f t="array" ref="G2">RTD("tickerplantrtdserver",,"FWRC1#JPYINR#Month End Rates#0#S#PillarDate7")</f>
        <v>31-Dec-2020</v>
      </c>
      <c r="H2" s="71" t="str">
        <f t="array" ref="H2">RTD("tickerplantrtdserver",,"FWRC1#JPYINR#Month End Rates#0#S#PillarDate8")</f>
        <v>29-Jan-2021</v>
      </c>
      <c r="I2" s="71" t="str">
        <f t="array" ref="I2">RTD("tickerplantrtdserver",,"FWRC1#JPYINR#Month End Rates#0#S#PillarDate9")</f>
        <v>26-Feb-2021</v>
      </c>
      <c r="J2" s="71" t="str">
        <f t="array" ref="J2">RTD("tickerplantrtdserver",,"FWRC1#JPYINR#Month End Rates#0#S#PillarDate10")</f>
        <v>31-Mar-2021</v>
      </c>
      <c r="K2" s="71" t="str">
        <f t="array" ref="K2">RTD("tickerplantrtdserver",,"FWRC1#JPYINR#Month End Rates#0#S#PillarDate11")</f>
        <v>30-Apr-2021</v>
      </c>
      <c r="L2" s="71" t="str">
        <f t="array" ref="L2">RTD("tickerplantrtdserver",,"FWRC1#JPYINR#Month End Rates#0#S#PillarDate12")</f>
        <v>31-May-2021</v>
      </c>
      <c r="M2" s="71" t="str">
        <f t="array" ref="M2">RTD("tickerplantrtdserver",,"FWRC1#JPYINR#Month End Rates#0#S#PillarDate13")</f>
        <v>30-Jun-2021</v>
      </c>
      <c r="N2" s="71" t="str">
        <f t="array" ref="N2">RTD("tickerplantrtdserver",,"FWRC1#JPYINR#Month End Rates#0#S#PillarDate14")</f>
        <v>30-Jul-2021</v>
      </c>
      <c r="O2" s="75" t="str">
        <f t="array" ref="O2">RTD("tickerplantrtdserver",,"FWRC1#JPYINR#Month End Rates#0#S#PillarDate15")</f>
        <v>31-Aug-2021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>
        <f>RTD("tickerplantrtdserver",,"FWRC1#JPYINR#Month End Rates#0#BidPrice2")/100</f>
        <v>0.76632699999999998</v>
      </c>
      <c r="D4" s="65">
        <f>RTD("tickerplantrtdserver",,"FWRC1#JPYINR#Month End Rates#0#BidPrice4")/100</f>
        <v>4.0928500000000003</v>
      </c>
      <c r="E4" s="65">
        <f>RTD("tickerplantrtdserver",,"FWRC1#JPYINR#Month End Rates#0#BidPrice5")/100</f>
        <v>28.293474999999997</v>
      </c>
      <c r="F4" s="65">
        <f>RTD("tickerplantrtdserver",,"FWRC1#JPYINR#Month End Rates#0#BidPrice6")/100</f>
        <v>53.273400000000002</v>
      </c>
      <c r="G4" s="65">
        <f>RTD("tickerplantrtdserver",,"FWRC1#JPYINR#Month End Rates#0#BidPrice7")/100</f>
        <v>85.608875000000012</v>
      </c>
      <c r="H4" s="65">
        <f>RTD("tickerplantrtdserver",,"FWRC1#JPYINR#Month End Rates#0#BidPrice8")/100</f>
        <v>111.03722499999999</v>
      </c>
      <c r="I4" s="65">
        <f>RTD("tickerplantrtdserver",,"FWRC1#JPYINR#Month End Rates#0#BidPrice9")/100</f>
        <v>136.42272499999999</v>
      </c>
      <c r="J4" s="65">
        <f>RTD("tickerplantrtdserver",,"FWRC1#JPYINR#Month End Rates#0#BidPrice10")/100</f>
        <v>176.69784999999999</v>
      </c>
      <c r="K4" s="65">
        <f>RTD("tickerplantrtdserver",,"FWRC1#JPYINR#Month End Rates#0#BidPrice11")/100</f>
        <v>203.907375</v>
      </c>
      <c r="L4" s="65">
        <f>RTD("tickerplantrtdserver",,"FWRC1#JPYINR#Month End Rates#0#BidPrice12")/100</f>
        <v>234.05182499999998</v>
      </c>
      <c r="M4" s="65">
        <f>RTD("tickerplantrtdserver",,"FWRC1#JPYINR#Month End Rates#0#BidPrice13")/100</f>
        <v>262.51587499999999</v>
      </c>
      <c r="N4" s="65">
        <f>RTD("tickerplantrtdserver",,"FWRC1#JPYINR#Month End Rates#0#BidPrice14")/100</f>
        <v>289.583775</v>
      </c>
      <c r="O4" s="67">
        <f>RTD("tickerplantrtdserver",,"FWRC1#JPYINR#Month End Rates#0#BidPrice15")/100</f>
        <v>319.49074999999999</v>
      </c>
      <c r="P4" s="20"/>
    </row>
    <row r="5" spans="1:18" s="14" customFormat="1" x14ac:dyDescent="0.25">
      <c r="A5" s="159" t="s">
        <v>48</v>
      </c>
      <c r="B5" s="160"/>
      <c r="C5" s="65">
        <f>RTD("tickerplantrtdserver",,"FWRC1#JPYINR#Month End Rates#0#AskPrice2")/100</f>
        <v>2.764278</v>
      </c>
      <c r="D5" s="65">
        <f>RTD("tickerplantrtdserver",,"FWRC1#JPYINR#Month End Rates#0#AskPrice4")/100</f>
        <v>4.2722250000000006</v>
      </c>
      <c r="E5" s="65">
        <f>RTD("tickerplantrtdserver",,"FWRC1#JPYINR#Month End Rates#0#AskPrice5")/100</f>
        <v>28.964000000000002</v>
      </c>
      <c r="F5" s="65">
        <f>RTD("tickerplantrtdserver",,"FWRC1#JPYINR#Month End Rates#0#AskPrice6")/100</f>
        <v>54.594925000000003</v>
      </c>
      <c r="G5" s="65">
        <f>RTD("tickerplantrtdserver",,"FWRC1#JPYINR#Month End Rates#0#AskPrice7")/100</f>
        <v>87.626175000000003</v>
      </c>
      <c r="H5" s="65">
        <f>RTD("tickerplantrtdserver",,"FWRC1#JPYINR#Month End Rates#0#AskPrice8")/100</f>
        <v>113.08867500000001</v>
      </c>
      <c r="I5" s="65">
        <f>RTD("tickerplantrtdserver",,"FWRC1#JPYINR#Month End Rates#0#AskPrice9")/100</f>
        <v>138.5453</v>
      </c>
      <c r="J5" s="65">
        <f>RTD("tickerplantrtdserver",,"FWRC1#JPYINR#Month End Rates#0#AskPrice10")/100</f>
        <v>179.42095</v>
      </c>
      <c r="K5" s="65">
        <f>RTD("tickerplantrtdserver",,"FWRC1#JPYINR#Month End Rates#0#AskPrice11")/100</f>
        <v>206.47557499999999</v>
      </c>
      <c r="L5" s="65">
        <f>RTD("tickerplantrtdserver",,"FWRC1#JPYINR#Month End Rates#0#AskPrice12")/100</f>
        <v>236.661675</v>
      </c>
      <c r="M5" s="65">
        <f>RTD("tickerplantrtdserver",,"FWRC1#JPYINR#Month End Rates#0#AskPrice13")/100</f>
        <v>264.82089999999999</v>
      </c>
      <c r="N5" s="65">
        <f>RTD("tickerplantrtdserver",,"FWRC1#JPYINR#Month End Rates#0#AskPrice14")/100</f>
        <v>293.22717499999999</v>
      </c>
      <c r="O5" s="67">
        <f>RTD("tickerplantrtdserver",,"FWRC1#JPYINR#Month End Rates#0#AskPrice15")/100</f>
        <v>322.19002499999999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64">
        <f t="array" ref="C7">RTD("tickerplantrtdserver",,"FWRC1#JPYINR#Month End Rates#0#FwdOutrightBid1")</f>
        <v>70.282399999999996</v>
      </c>
      <c r="D7" s="64">
        <f t="array" ref="D7">RTD("tickerplantrtdserver",,"FWRC1#JPYINR#Month End Rates#0#FwdOutrightBid4")</f>
        <v>70.350899999999996</v>
      </c>
      <c r="E7" s="64">
        <f t="array" ref="E7">RTD("tickerplantrtdserver",,"FWRC1#JPYINR#Month End Rates#0#FwdOutrightBid5")</f>
        <v>70.5929</v>
      </c>
      <c r="F7" s="64">
        <f t="array" ref="F7">RTD("tickerplantrtdserver",,"FWRC1#JPYINR#Month End Rates#0#FwdOutrightBid6")</f>
        <v>70.842699999999994</v>
      </c>
      <c r="G7" s="64">
        <f t="array" ref="G7">RTD("tickerplantrtdserver",,"FWRC1#JPYINR#Month End Rates#0#FwdOutrightBid7")</f>
        <v>71.1661</v>
      </c>
      <c r="H7" s="64">
        <f t="array" ref="H7">RTD("tickerplantrtdserver",,"FWRC1#JPYINR#Month End Rates#0#FwdOutrightBid8")</f>
        <v>71.420400000000001</v>
      </c>
      <c r="I7" s="64">
        <f t="array" ref="I7">RTD("tickerplantrtdserver",,"FWRC1#JPYINR#Month End Rates#0#FwdOutrightBid9")</f>
        <v>71.674199999999999</v>
      </c>
      <c r="J7" s="64">
        <f t="array" ref="J7">RTD("tickerplantrtdserver",,"FWRC1#JPYINR#Month End Rates#0#FwdOutrightBid10")</f>
        <v>72.076999999999998</v>
      </c>
      <c r="K7" s="64">
        <f t="array" ref="K7">RTD("tickerplantrtdserver",,"FWRC1#JPYINR#Month End Rates#0#FwdOutrightBid11")</f>
        <v>72.349100000000007</v>
      </c>
      <c r="L7" s="64">
        <f t="array" ref="L7">RTD("tickerplantrtdserver",,"FWRC1#JPYINR#Month End Rates#0#FwdOutrightBid12")</f>
        <v>72.650499999999994</v>
      </c>
      <c r="M7" s="64">
        <f t="array" ref="M7">RTD("tickerplantrtdserver",,"FWRC1#JPYINR#Month End Rates#0#FwdOutrightBid13")</f>
        <v>72.935199999999995</v>
      </c>
      <c r="N7" s="64">
        <f t="array" ref="N7">RTD("tickerplantrtdserver",,"FWRC1#JPYINR#Month End Rates#0#FwdOutrightBid14")</f>
        <v>73.205799999999996</v>
      </c>
      <c r="O7" s="68">
        <f t="array" ref="O7">RTD("tickerplantrtdserver",,"FWRC1#JPYINR#Month End Rates#0#FwdOutrightBid15")</f>
        <v>73.504900000000006</v>
      </c>
      <c r="P7" s="20"/>
    </row>
    <row r="8" spans="1:18" s="14" customFormat="1" x14ac:dyDescent="0.25">
      <c r="A8" s="159" t="s">
        <v>48</v>
      </c>
      <c r="B8" s="160"/>
      <c r="C8" s="64">
        <f t="array" ref="C8">RTD("tickerplantrtdserver",,"FWRC1#JPYINR#Month End Rates#0#FwdOutrightAsk1")</f>
        <v>70.312299999999993</v>
      </c>
      <c r="D8" s="64">
        <f t="array" ref="D8">RTD("tickerplantrtdserver",,"FWRC1#JPYINR#Month End Rates#0#FwdOutrightAsk4")</f>
        <v>70.362700000000004</v>
      </c>
      <c r="E8" s="64">
        <f t="array" ref="E8">RTD("tickerplantrtdserver",,"FWRC1#JPYINR#Month End Rates#0#FwdOutrightAsk5")</f>
        <v>70.6096</v>
      </c>
      <c r="F8" s="64">
        <f t="array" ref="F8">RTD("tickerplantrtdserver",,"FWRC1#JPYINR#Month End Rates#0#FwdOutrightAsk6")</f>
        <v>70.865899999999996</v>
      </c>
      <c r="G8" s="64">
        <f t="array" ref="G8">RTD("tickerplantrtdserver",,"FWRC1#JPYINR#Month End Rates#0#FwdOutrightAsk7")</f>
        <v>71.196299999999994</v>
      </c>
      <c r="H8" s="64">
        <f t="array" ref="H8">RTD("tickerplantrtdserver",,"FWRC1#JPYINR#Month End Rates#0#FwdOutrightAsk8")</f>
        <v>71.450900000000004</v>
      </c>
      <c r="I8" s="64">
        <f t="array" ref="I8">RTD("tickerplantrtdserver",,"FWRC1#JPYINR#Month End Rates#0#FwdOutrightAsk9")</f>
        <v>71.705500000000001</v>
      </c>
      <c r="J8" s="64">
        <f t="array" ref="J8">RTD("tickerplantrtdserver",,"FWRC1#JPYINR#Month End Rates#0#FwdOutrightAsk10")</f>
        <v>72.114199999999997</v>
      </c>
      <c r="K8" s="64">
        <f t="array" ref="K8">RTD("tickerplantrtdserver",,"FWRC1#JPYINR#Month End Rates#0#FwdOutrightAsk11")</f>
        <v>72.384799999999998</v>
      </c>
      <c r="L8" s="64">
        <f t="array" ref="L8">RTD("tickerplantrtdserver",,"FWRC1#JPYINR#Month End Rates#0#FwdOutrightAsk12")</f>
        <v>72.686599999999999</v>
      </c>
      <c r="M8" s="64">
        <f t="array" ref="M8">RTD("tickerplantrtdserver",,"FWRC1#JPYINR#Month End Rates#0#FwdOutrightAsk13")</f>
        <v>72.968199999999996</v>
      </c>
      <c r="N8" s="64">
        <f t="array" ref="N8">RTD("tickerplantrtdserver",,"FWRC1#JPYINR#Month End Rates#0#FwdOutrightAsk14")</f>
        <v>73.252300000000005</v>
      </c>
      <c r="O8" s="68">
        <f t="array" ref="O8">RTD("tickerplantrtdserver",,"FWRC1#JPYINR#Month End Rates#0#FwdOutrightAsk15")</f>
        <v>73.541899999999998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>
        <f t="array" ref="C10">RTD("tickerplantrtdserver",,"FWRC1#JPYINR#Month End Rates#0#Bid%2")</f>
        <v>1.9887999999999999</v>
      </c>
      <c r="D10" s="65">
        <f t="array" ref="D10">RTD("tickerplantrtdserver",,"FWRC1#JPYINR#Month End Rates#0#Bid%4")</f>
        <v>3.5407000000000002</v>
      </c>
      <c r="E10" s="65">
        <f t="array" ref="E10">RTD("tickerplantrtdserver",,"FWRC1#JPYINR#Month End Rates#0#Bid%5")</f>
        <v>4.1959999999999997</v>
      </c>
      <c r="F10" s="65">
        <f t="array" ref="F10">RTD("tickerplantrtdserver",,"FWRC1#JPYINR#Month End Rates#0#Bid%6")</f>
        <v>4.3205999999999998</v>
      </c>
      <c r="G10" s="65">
        <f t="array" ref="G10">RTD("tickerplantrtdserver",,"FWRC1#JPYINR#Month End Rates#0#Bid%7")</f>
        <v>4.5343</v>
      </c>
      <c r="H10" s="65">
        <f t="array" ref="H10">RTD("tickerplantrtdserver",,"FWRC1#JPYINR#Month End Rates#0#Bid%8")</f>
        <v>4.5381999999999998</v>
      </c>
      <c r="I10" s="65">
        <f t="array" ref="I10">RTD("tickerplantrtdserver",,"FWRC1#JPYINR#Month End Rates#0#Bid%9")</f>
        <v>4.5685000000000002</v>
      </c>
      <c r="J10" s="65">
        <f t="array" ref="J10">RTD("tickerplantrtdserver",,"FWRC1#JPYINR#Month End Rates#0#Bid%10")</f>
        <v>4.8784999999999998</v>
      </c>
      <c r="K10" s="65">
        <f t="array" ref="K10">RTD("tickerplantrtdserver",,"FWRC1#JPYINR#Month End Rates#0#Bid%11")</f>
        <v>4.8550000000000004</v>
      </c>
      <c r="L10" s="65">
        <f t="array" ref="L10">RTD("tickerplantrtdserver",,"FWRC1#JPYINR#Month End Rates#0#Bid%12")</f>
        <v>4.8789999999999996</v>
      </c>
      <c r="M10" s="65">
        <f t="array" ref="M10">RTD("tickerplantrtdserver",,"FWRC1#JPYINR#Month End Rates#0#Bid%13")</f>
        <v>4.8838999999999997</v>
      </c>
      <c r="N10" s="65">
        <f t="array" ref="N10">RTD("tickerplantrtdserver",,"FWRC1#JPYINR#Month End Rates#0#Bid%14")</f>
        <v>4.8643999999999998</v>
      </c>
      <c r="O10" s="67">
        <f t="array" ref="O10">RTD("tickerplantrtdserver",,"FWRC1#JPYINR#Month End Rates#0#Bid%15")</f>
        <v>4.8632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RTD("tickerplantrtdserver",,"FWRC1#JPYINR#Month End Rates#0#Ask%2")</f>
        <v>7.1750999999999996</v>
      </c>
      <c r="D11" s="69">
        <f t="array" ref="D11">RTD("tickerplantrtdserver",,"FWRC1#JPYINR#Month End Rates#0#Ask%4")</f>
        <v>3.6964000000000001</v>
      </c>
      <c r="E11" s="69">
        <f t="array" ref="E11">RTD("tickerplantrtdserver",,"FWRC1#JPYINR#Month End Rates#0#Ask%5")</f>
        <v>4.2960000000000003</v>
      </c>
      <c r="F11" s="69">
        <f t="array" ref="F11">RTD("tickerplantrtdserver",,"FWRC1#JPYINR#Month End Rates#0#Ask%6")</f>
        <v>4.4283999999999999</v>
      </c>
      <c r="G11" s="69">
        <f t="array" ref="G11">RTD("tickerplantrtdserver",,"FWRC1#JPYINR#Month End Rates#0#Ask%7")</f>
        <v>4.6417999999999999</v>
      </c>
      <c r="H11" s="69">
        <f t="array" ref="H11">RTD("tickerplantrtdserver",,"FWRC1#JPYINR#Month End Rates#0#Ask%8")</f>
        <v>4.6227</v>
      </c>
      <c r="I11" s="69">
        <f t="array" ref="I11">RTD("tickerplantrtdserver",,"FWRC1#JPYINR#Month End Rates#0#Ask%9")</f>
        <v>4.6402000000000001</v>
      </c>
      <c r="J11" s="69">
        <f t="array" ref="J11">RTD("tickerplantrtdserver",,"FWRC1#JPYINR#Month End Rates#0#Ask%10")</f>
        <v>4.9543999999999997</v>
      </c>
      <c r="K11" s="69">
        <f t="array" ref="K11">RTD("tickerplantrtdserver",,"FWRC1#JPYINR#Month End Rates#0#Ask%11")</f>
        <v>4.9169</v>
      </c>
      <c r="L11" s="69">
        <f t="array" ref="L11">RTD("tickerplantrtdserver",,"FWRC1#JPYINR#Month End Rates#0#Ask%12")</f>
        <v>4.9340999999999999</v>
      </c>
      <c r="M11" s="69">
        <f t="array" ref="M11">RTD("tickerplantrtdserver",,"FWRC1#JPYINR#Month End Rates#0#Ask%13")</f>
        <v>4.9275000000000002</v>
      </c>
      <c r="N11" s="69">
        <f t="array" ref="N11">RTD("tickerplantrtdserver",,"FWRC1#JPYINR#Month End Rates#0#Ask%14")</f>
        <v>4.9263000000000003</v>
      </c>
      <c r="O11" s="70">
        <f t="array" ref="O11">RTD("tickerplantrtdserver",,"FWRC1#JPYINR#Month End Rates#0#Ask%15")</f>
        <v>4.9048999999999996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6" spans="1:2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6"/>
  <sheetViews>
    <sheetView workbookViewId="0">
      <selection activeCell="H20" sqref="H20"/>
    </sheetView>
  </sheetViews>
  <sheetFormatPr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RTD("tickerplantrtdserver",,"FWRC1#EURUSD#Month Wise Rates#0#S#Desc.2")</f>
        <v>TN</v>
      </c>
      <c r="D1" s="76" t="str">
        <f t="array" ref="D1">RTD("tickerplantrtdserver",,"FWRC1#EURUSD#Month Wise Rates#0#S#Desc.7")</f>
        <v>1M</v>
      </c>
      <c r="E1" s="76" t="str">
        <f t="array" ref="E1">RTD("tickerplantrtdserver",,"FWRC1#EURUSD#Month Wise Rates#0#S#Desc.8")</f>
        <v>2M</v>
      </c>
      <c r="F1" s="76" t="str">
        <f t="array" ref="F1">RTD("tickerplantrtdserver",,"FWRC1#EURUSD#Month Wise Rates#0#S#Desc.9")</f>
        <v>3M</v>
      </c>
      <c r="G1" s="76" t="str">
        <f t="array" ref="G1">RTD("tickerplantrtdserver",,"FWRC1#EURUSD#Month Wise Rates#0#S#Desc.10")</f>
        <v>4M</v>
      </c>
      <c r="H1" s="76" t="str">
        <f t="array" ref="H1">RTD("tickerplantrtdserver",,"FWRC1#EURUSD#Month Wise Rates#0#S#Desc.11")</f>
        <v>5M</v>
      </c>
      <c r="I1" s="76" t="str">
        <f t="array" ref="I1">RTD("tickerplantrtdserver",,"FWRC1#EURUSD#Month Wise Rates#0#S#Desc.12")</f>
        <v>6M</v>
      </c>
      <c r="J1" s="76" t="str">
        <f t="array" ref="J1">RTD("tickerplantrtdserver",,"FWRC1#EURUSD#Month Wise Rates#0#S#Desc.13")</f>
        <v>7M</v>
      </c>
      <c r="K1" s="76" t="str">
        <f t="array" ref="K1">RTD("tickerplantrtdserver",,"FWRC1#EURUSD#Month Wise Rates#0#S#Desc.14")</f>
        <v>8M</v>
      </c>
      <c r="L1" s="76" t="str">
        <f t="array" ref="L1">RTD("tickerplantrtdserver",,"FWRC1#EURUSD#Month Wise Rates#0#S#Desc.15")</f>
        <v>9M</v>
      </c>
      <c r="M1" s="76" t="str">
        <f t="array" ref="M1">RTD("tickerplantrtdserver",,"FWRC1#EURUSD#Month Wise Rates#0#S#Desc.16")</f>
        <v>10M</v>
      </c>
      <c r="N1" s="76" t="str">
        <f t="array" ref="N1">RTD("tickerplantrtdserver",,"FWRC1#EURUSD#Month Wise Rates#0#S#Desc.17")</f>
        <v>11M</v>
      </c>
      <c r="O1" s="77" t="str">
        <f t="array" ref="O1">RTD("tickerplantrtdserver",,"FWRC1#EURUSD#Month Wise Rates#0#S#Desc.18")</f>
        <v>12M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RTD("tickerplantrtdserver",,"FWRC1#EURUSD#Month Wise Rates#0#S#PillarDate2")</f>
        <v>24-Sep-2020</v>
      </c>
      <c r="D2" s="71" t="str">
        <f t="array" ref="D2">RTD("tickerplantrtdserver",,"FWRC1#EURUSD#Month Wise Rates#0#S#PillarDate7")</f>
        <v>26-Oct-2020</v>
      </c>
      <c r="E2" s="71" t="str">
        <f t="array" ref="E2">RTD("tickerplantrtdserver",,"FWRC1#EURUSD#Month Wise Rates#0#S#PillarDate8")</f>
        <v>24-Nov-2020</v>
      </c>
      <c r="F2" s="71" t="str">
        <f t="array" ref="F2">RTD("tickerplantrtdserver",,"FWRC1#EURUSD#Month Wise Rates#0#S#PillarDate9")</f>
        <v>24-Dec-2020</v>
      </c>
      <c r="G2" s="71" t="str">
        <f t="array" ref="G2">RTD("tickerplantrtdserver",,"FWRC1#EURUSD#Month Wise Rates#0#S#PillarDate10")</f>
        <v>25-Jan-2021</v>
      </c>
      <c r="H2" s="71" t="str">
        <f t="array" ref="H2">RTD("tickerplantrtdserver",,"FWRC1#EURUSD#Month Wise Rates#0#S#PillarDate11")</f>
        <v>24-Feb-2021</v>
      </c>
      <c r="I2" s="71" t="str">
        <f t="array" ref="I2">RTD("tickerplantrtdserver",,"FWRC1#EURUSD#Month Wise Rates#0#S#PillarDate12")</f>
        <v>24-Mar-2021</v>
      </c>
      <c r="J2" s="71" t="str">
        <f t="array" ref="J2">RTD("tickerplantrtdserver",,"FWRC1#EURUSD#Month Wise Rates#0#S#PillarDate13")</f>
        <v>26-Apr-2021</v>
      </c>
      <c r="K2" s="71" t="str">
        <f t="array" ref="K2">RTD("tickerplantrtdserver",,"FWRC1#EURUSD#Month Wise Rates#0#S#PillarDate14")</f>
        <v>24-May-2021</v>
      </c>
      <c r="L2" s="71" t="str">
        <f t="array" ref="L2">RTD("tickerplantrtdserver",,"FWRC1#EURUSD#Month Wise Rates#0#S#PillarDate15")</f>
        <v>24-Jun-2021</v>
      </c>
      <c r="M2" s="71" t="str">
        <f t="array" ref="M2">RTD("tickerplantrtdserver",,"FWRC1#EURUSD#Month Wise Rates#0#S#PillarDate16")</f>
        <v>26-Jul-2021</v>
      </c>
      <c r="N2" s="71" t="str">
        <f t="array" ref="N2">RTD("tickerplantrtdserver",,"FWRC1#EURUSD#Month Wise Rates#0#S#PillarDate17")</f>
        <v>24-Aug-2021</v>
      </c>
      <c r="O2" s="75" t="str">
        <f t="array" ref="O2">RTD("tickerplantrtdserver",,"FWRC1#EURUSD#Month Wise Rates#0#S#PillarDate18")</f>
        <v>24-Sep-2021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>
        <f t="array" ref="C4">RTD("tickerplantrtdserver",,"FWRC1#EURUSD#Month Wise Rates#0#BidPrice2")</f>
        <v>0.19</v>
      </c>
      <c r="D4" s="65">
        <f t="array" ref="D4">RTD("tickerplantrtdserver",,"FWRC1#EURUSD#Month Wise Rates#0#BidPrice7")</f>
        <v>7.98</v>
      </c>
      <c r="E4" s="65">
        <f t="array" ref="E4">RTD("tickerplantrtdserver",,"FWRC1#EURUSD#Month Wise Rates#0#BidPrice8")</f>
        <v>15.02</v>
      </c>
      <c r="F4" s="65">
        <f t="array" ref="F4">RTD("tickerplantrtdserver",,"FWRC1#EURUSD#Month Wise Rates#0#BidPrice9")</f>
        <v>22.5</v>
      </c>
      <c r="G4" s="65">
        <f t="array" ref="G4">RTD("tickerplantrtdserver",,"FWRC1#EURUSD#Month Wise Rates#0#BidPrice10")</f>
        <v>34.5</v>
      </c>
      <c r="H4" s="65">
        <f t="array" ref="H4">RTD("tickerplantrtdserver",,"FWRC1#EURUSD#Month Wise Rates#0#BidPrice11")</f>
        <v>41.89</v>
      </c>
      <c r="I4" s="65">
        <f t="array" ref="I4">RTD("tickerplantrtdserver",,"FWRC1#EURUSD#Month Wise Rates#0#BidPrice12")</f>
        <v>48.84</v>
      </c>
      <c r="J4" s="65">
        <f t="array" ref="J4">RTD("tickerplantrtdserver",,"FWRC1#EURUSD#Month Wise Rates#0#BidPrice13")</f>
        <v>57.44</v>
      </c>
      <c r="K4" s="65">
        <f t="array" ref="K4">RTD("tickerplantrtdserver",,"FWRC1#EURUSD#Month Wise Rates#0#BidPrice14")</f>
        <v>64.8</v>
      </c>
      <c r="L4" s="65">
        <f t="array" ref="L4">RTD("tickerplantrtdserver",,"FWRC1#EURUSD#Month Wise Rates#0#BidPrice15")</f>
        <v>72.91</v>
      </c>
      <c r="M4" s="65">
        <f t="array" ref="M4">RTD("tickerplantrtdserver",,"FWRC1#EURUSD#Month Wise Rates#0#BidPrice16")</f>
        <v>81.819999999999993</v>
      </c>
      <c r="N4" s="65">
        <f t="array" ref="N4">RTD("tickerplantrtdserver",,"FWRC1#EURUSD#Month Wise Rates#0#BidPrice17")</f>
        <v>89.69</v>
      </c>
      <c r="O4" s="67">
        <f t="array" ref="O4">RTD("tickerplantrtdserver",,"FWRC1#EURUSD#Month Wise Rates#0#BidPrice18")</f>
        <v>98.02</v>
      </c>
      <c r="P4" s="20"/>
    </row>
    <row r="5" spans="1:18" s="14" customFormat="1" x14ac:dyDescent="0.25">
      <c r="A5" s="159" t="s">
        <v>48</v>
      </c>
      <c r="B5" s="160"/>
      <c r="C5" s="65">
        <f t="array" ref="C5">RTD("tickerplantrtdserver",,"FWRC1#EURUSD#Month Wise Rates#0#AskPrice2")</f>
        <v>0.25</v>
      </c>
      <c r="D5" s="65">
        <f t="array" ref="D5">RTD("tickerplantrtdserver",,"FWRC1#EURUSD#Month Wise Rates#0#AskPrice7")</f>
        <v>8.18</v>
      </c>
      <c r="E5" s="65">
        <f t="array" ref="E5">RTD("tickerplantrtdserver",,"FWRC1#EURUSD#Month Wise Rates#0#AskPrice8")</f>
        <v>15.42</v>
      </c>
      <c r="F5" s="65">
        <f t="array" ref="F5">RTD("tickerplantrtdserver",,"FWRC1#EURUSD#Month Wise Rates#0#AskPrice9")</f>
        <v>22.83</v>
      </c>
      <c r="G5" s="65">
        <f t="array" ref="G5">RTD("tickerplantrtdserver",,"FWRC1#EURUSD#Month Wise Rates#0#AskPrice10")</f>
        <v>34.75</v>
      </c>
      <c r="H5" s="65">
        <f t="array" ref="H5">RTD("tickerplantrtdserver",,"FWRC1#EURUSD#Month Wise Rates#0#AskPrice11")</f>
        <v>42.3</v>
      </c>
      <c r="I5" s="65">
        <f t="array" ref="I5">RTD("tickerplantrtdserver",,"FWRC1#EURUSD#Month Wise Rates#0#AskPrice12")</f>
        <v>49.45</v>
      </c>
      <c r="J5" s="65">
        <f t="array" ref="J5">RTD("tickerplantrtdserver",,"FWRC1#EURUSD#Month Wise Rates#0#AskPrice13")</f>
        <v>58.55</v>
      </c>
      <c r="K5" s="65">
        <f t="array" ref="K5">RTD("tickerplantrtdserver",,"FWRC1#EURUSD#Month Wise Rates#0#AskPrice14")</f>
        <v>67</v>
      </c>
      <c r="L5" s="65">
        <f t="array" ref="L5">RTD("tickerplantrtdserver",,"FWRC1#EURUSD#Month Wise Rates#0#AskPrice15")</f>
        <v>75.41</v>
      </c>
      <c r="M5" s="65">
        <f t="array" ref="M5">RTD("tickerplantrtdserver",,"FWRC1#EURUSD#Month Wise Rates#0#AskPrice16")</f>
        <v>82.38</v>
      </c>
      <c r="N5" s="65">
        <f t="array" ref="N5">RTD("tickerplantrtdserver",,"FWRC1#EURUSD#Month Wise Rates#0#AskPrice17")</f>
        <v>90.9</v>
      </c>
      <c r="O5" s="67">
        <f t="array" ref="O5">RTD("tickerplantrtdserver",,"FWRC1#EURUSD#Month Wise Rates#0#AskPrice18")</f>
        <v>99.27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64">
        <f t="array" ref="C7">RTD("tickerplantrtdserver",,"FWRC1#EURUSD#Month Wise Rates#0#FwdOutrightBid2")</f>
        <v>1.1729000000000001</v>
      </c>
      <c r="D7" s="64">
        <f t="array" ref="D7">RTD("tickerplantrtdserver",,"FWRC1#EURUSD#Month Wise Rates#0#FwdOutrightBid7")</f>
        <v>1.1737</v>
      </c>
      <c r="E7" s="64">
        <f t="array" ref="E7">RTD("tickerplantrtdserver",,"FWRC1#EURUSD#Month Wise Rates#0#FwdOutrightBid8")</f>
        <v>1.1744000000000001</v>
      </c>
      <c r="F7" s="64">
        <f t="array" ref="F7">RTD("tickerplantrtdserver",,"FWRC1#EURUSD#Month Wise Rates#0#FwdOutrightBid9")</f>
        <v>1.1751</v>
      </c>
      <c r="G7" s="64">
        <f t="array" ref="G7">RTD("tickerplantrtdserver",,"FWRC1#EURUSD#Month Wise Rates#0#FwdOutrightBid10")</f>
        <v>1.1762999999999999</v>
      </c>
      <c r="H7" s="64">
        <f t="array" ref="H7">RTD("tickerplantrtdserver",,"FWRC1#EURUSD#Month Wise Rates#0#FwdOutrightBid11")</f>
        <v>1.1771</v>
      </c>
      <c r="I7" s="64">
        <f t="array" ref="I7">RTD("tickerplantrtdserver",,"FWRC1#EURUSD#Month Wise Rates#0#FwdOutrightBid12")</f>
        <v>1.1778</v>
      </c>
      <c r="J7" s="64">
        <f t="array" ref="J7">RTD("tickerplantrtdserver",,"FWRC1#EURUSD#Month Wise Rates#0#FwdOutrightBid13")</f>
        <v>1.1786000000000001</v>
      </c>
      <c r="K7" s="64">
        <f t="array" ref="K7">RTD("tickerplantrtdserver",,"FWRC1#EURUSD#Month Wise Rates#0#FwdOutrightBid14")</f>
        <v>1.1794</v>
      </c>
      <c r="L7" s="64">
        <f t="array" ref="L7">RTD("tickerplantrtdserver",,"FWRC1#EURUSD#Month Wise Rates#0#FwdOutrightBid15")</f>
        <v>1.1801999999999999</v>
      </c>
      <c r="M7" s="64">
        <f t="array" ref="M7">RTD("tickerplantrtdserver",,"FWRC1#EURUSD#Month Wise Rates#0#FwdOutrightBid16")</f>
        <v>1.1811</v>
      </c>
      <c r="N7" s="64">
        <f t="array" ref="N7">RTD("tickerplantrtdserver",,"FWRC1#EURUSD#Month Wise Rates#0#FwdOutrightBid17")</f>
        <v>1.1818</v>
      </c>
      <c r="O7" s="68">
        <f t="array" ref="O7">RTD("tickerplantrtdserver",,"FWRC1#EURUSD#Month Wise Rates#0#FwdOutrightBid18")</f>
        <v>1.1827000000000001</v>
      </c>
      <c r="P7" s="20"/>
    </row>
    <row r="8" spans="1:18" s="14" customFormat="1" x14ac:dyDescent="0.25">
      <c r="A8" s="159" t="s">
        <v>48</v>
      </c>
      <c r="B8" s="160"/>
      <c r="C8" s="64">
        <f t="array" ref="C8">RTD("tickerplantrtdserver",,"FWRC1#EURUSD#Month Wise Rates#0#FwdOutrightAsk2")</f>
        <v>1.1733</v>
      </c>
      <c r="D8" s="64">
        <f t="array" ref="D8">RTD("tickerplantrtdserver",,"FWRC1#EURUSD#Month Wise Rates#0#FwdOutrightAsk7")</f>
        <v>1.1737</v>
      </c>
      <c r="E8" s="64">
        <f t="array" ref="E8">RTD("tickerplantrtdserver",,"FWRC1#EURUSD#Month Wise Rates#0#FwdOutrightAsk8")</f>
        <v>1.1748000000000001</v>
      </c>
      <c r="F8" s="64">
        <f t="array" ref="F8">RTD("tickerplantrtdserver",,"FWRC1#EURUSD#Month Wise Rates#0#FwdOutrightAsk9")</f>
        <v>1.1752</v>
      </c>
      <c r="G8" s="64">
        <f t="array" ref="G8">RTD("tickerplantrtdserver",,"FWRC1#EURUSD#Month Wise Rates#0#FwdOutrightAsk10")</f>
        <v>1.1763999999999999</v>
      </c>
      <c r="H8" s="64">
        <f t="array" ref="H8">RTD("tickerplantrtdserver",,"FWRC1#EURUSD#Month Wise Rates#0#FwdOutrightAsk11")</f>
        <v>1.1772</v>
      </c>
      <c r="I8" s="64">
        <f t="array" ref="I8">RTD("tickerplantrtdserver",,"FWRC1#EURUSD#Month Wise Rates#0#FwdOutrightAsk12")</f>
        <v>1.1778999999999999</v>
      </c>
      <c r="J8" s="64">
        <f t="array" ref="J8">RTD("tickerplantrtdserver",,"FWRC1#EURUSD#Month Wise Rates#0#FwdOutrightAsk13")</f>
        <v>1.1788000000000001</v>
      </c>
      <c r="K8" s="64">
        <f t="array" ref="K8">RTD("tickerplantrtdserver",,"FWRC1#EURUSD#Month Wise Rates#0#FwdOutrightAsk14")</f>
        <v>1.1796</v>
      </c>
      <c r="L8" s="64">
        <f t="array" ref="L8">RTD("tickerplantrtdserver",,"FWRC1#EURUSD#Month Wise Rates#0#FwdOutrightAsk15")</f>
        <v>1.1805000000000001</v>
      </c>
      <c r="M8" s="64">
        <f t="array" ref="M8">RTD("tickerplantrtdserver",,"FWRC1#EURUSD#Month Wise Rates#0#FwdOutrightAsk16")</f>
        <v>1.1811</v>
      </c>
      <c r="N8" s="64">
        <f t="array" ref="N8">RTD("tickerplantrtdserver",,"FWRC1#EURUSD#Month Wise Rates#0#FwdOutrightAsk17")</f>
        <v>1.1820999999999999</v>
      </c>
      <c r="O8" s="68">
        <f t="array" ref="O8">RTD("tickerplantrtdserver",,"FWRC1#EURUSD#Month Wise Rates#0#FwdOutrightAsk18")</f>
        <v>1.1829000000000001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>
        <f>RTD("tickerplantrtdserver",,"FWRC1#EURUSD#Month Wise Rates#0#Bid%2")</f>
        <v>0.59109999999999996</v>
      </c>
      <c r="D10" s="65">
        <f t="array" ref="D10">RTD("tickerplantrtdserver",,"FWRC1#EURUSD#Month Wise Rates#0#Bid%7")</f>
        <v>0.77600000000000002</v>
      </c>
      <c r="E10" s="65">
        <f t="array" ref="E10">RTD("tickerplantrtdserver",,"FWRC1#EURUSD#Month Wise Rates#0#Bid%8")</f>
        <v>0.76600000000000001</v>
      </c>
      <c r="F10" s="65">
        <f t="array" ref="F10">RTD("tickerplantrtdserver",,"FWRC1#EURUSD#Month Wise Rates#0#Bid%9")</f>
        <v>0.76939999999999997</v>
      </c>
      <c r="G10" s="65">
        <f t="array" ref="G10">RTD("tickerplantrtdserver",,"FWRC1#EURUSD#Month Wise Rates#0#Bid%10")</f>
        <v>0.87290000000000001</v>
      </c>
      <c r="H10" s="65">
        <f t="array" ref="H10">RTD("tickerplantrtdserver",,"FWRC1#EURUSD#Month Wise Rates#0#Bid%11")</f>
        <v>0.85199999999999998</v>
      </c>
      <c r="I10" s="65">
        <f t="array" ref="I10">RTD("tickerplantrtdserver",,"FWRC1#EURUSD#Month Wise Rates#0#Bid%12")</f>
        <v>0.8397</v>
      </c>
      <c r="J10" s="65">
        <f t="array" ref="J10">RTD("tickerplantrtdserver",,"FWRC1#EURUSD#Month Wise Rates#0#Bid%13")</f>
        <v>0.83520000000000005</v>
      </c>
      <c r="K10" s="65">
        <f t="array" ref="K10">RTD("tickerplantrtdserver",,"FWRC1#EURUSD#Month Wise Rates#0#Bid%14")</f>
        <v>0.83330000000000004</v>
      </c>
      <c r="L10" s="65">
        <f t="array" ref="L10">RTD("tickerplantrtdserver",,"FWRC1#EURUSD#Month Wise Rates#0#Bid%15")</f>
        <v>0.83109999999999995</v>
      </c>
      <c r="M10" s="65">
        <f t="array" ref="M10">RTD("tickerplantrtdserver",,"FWRC1#EURUSD#Month Wise Rates#0#Bid%16")</f>
        <v>0.83479999999999999</v>
      </c>
      <c r="N10" s="65">
        <f t="array" ref="N10">RTD("tickerplantrtdserver",,"FWRC1#EURUSD#Month Wise Rates#0#Bid%17")</f>
        <v>0.83560000000000001</v>
      </c>
      <c r="O10" s="67">
        <f t="array" ref="O10">RTD("tickerplantrtdserver",,"FWRC1#EURUSD#Month Wise Rates#0#Bid%18")</f>
        <v>0.8357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RTD("tickerplantrtdserver",,"FWRC1#EURUSD#Month Wise Rates#0#Ask%2")</f>
        <v>0.77800000000000002</v>
      </c>
      <c r="D11" s="69">
        <f t="array" ref="D11">RTD("tickerplantrtdserver",,"FWRC1#EURUSD#Month Wise Rates#0#Ask%7")</f>
        <v>0.79549999999999998</v>
      </c>
      <c r="E11" s="69">
        <f t="array" ref="E11">RTD("tickerplantrtdserver",,"FWRC1#EURUSD#Month Wise Rates#0#Ask%8")</f>
        <v>0.78669999999999995</v>
      </c>
      <c r="F11" s="69">
        <f t="array" ref="F11">RTD("tickerplantrtdserver",,"FWRC1#EURUSD#Month Wise Rates#0#Ask%9")</f>
        <v>0.78069999999999995</v>
      </c>
      <c r="G11" s="69">
        <f t="array" ref="G11">RTD("tickerplantrtdserver",,"FWRC1#EURUSD#Month Wise Rates#0#Ask%10")</f>
        <v>0.87919999999999998</v>
      </c>
      <c r="H11" s="69">
        <f t="array" ref="H11">RTD("tickerplantrtdserver",,"FWRC1#EURUSD#Month Wise Rates#0#Ask%11")</f>
        <v>0.86040000000000005</v>
      </c>
      <c r="I11" s="69">
        <f t="array" ref="I11">RTD("tickerplantrtdserver",,"FWRC1#EURUSD#Month Wise Rates#0#Ask%12")</f>
        <v>0.85019999999999996</v>
      </c>
      <c r="J11" s="69">
        <f t="array" ref="J11">RTD("tickerplantrtdserver",,"FWRC1#EURUSD#Month Wise Rates#0#Ask%13")</f>
        <v>0.85140000000000005</v>
      </c>
      <c r="K11" s="69">
        <f t="array" ref="K11">RTD("tickerplantrtdserver",,"FWRC1#EURUSD#Month Wise Rates#0#Ask%14")</f>
        <v>0.86160000000000003</v>
      </c>
      <c r="L11" s="69">
        <f t="array" ref="L11">RTD("tickerplantrtdserver",,"FWRC1#EURUSD#Month Wise Rates#0#Ask%15")</f>
        <v>0.85960000000000003</v>
      </c>
      <c r="M11" s="69">
        <f t="array" ref="M11">RTD("tickerplantrtdserver",,"FWRC1#EURUSD#Month Wise Rates#0#Ask%16")</f>
        <v>0.84050000000000002</v>
      </c>
      <c r="N11" s="69">
        <f t="array" ref="N11">RTD("tickerplantrtdserver",,"FWRC1#EURUSD#Month Wise Rates#0#Ask%17")</f>
        <v>0.84689999999999999</v>
      </c>
      <c r="O11" s="70">
        <f t="array" ref="O11">RTD("tickerplantrtdserver",,"FWRC1#EURUSD#Month Wise Rates#0#Ask%18")</f>
        <v>0.84640000000000004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58"/>
      <c r="G15" s="13"/>
      <c r="H15" s="58"/>
      <c r="I15" s="58"/>
      <c r="J15" s="58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58"/>
      <c r="E16" s="58"/>
      <c r="G16" s="15"/>
      <c r="H16" s="58"/>
      <c r="I16" s="58"/>
      <c r="J16" s="58"/>
      <c r="L16" s="13"/>
      <c r="P16" s="13"/>
    </row>
    <row r="17" spans="1:20" s="14" customFormat="1" x14ac:dyDescent="0.25">
      <c r="A17" s="13"/>
      <c r="B17" s="21"/>
      <c r="C17" s="21"/>
      <c r="D17" s="58"/>
      <c r="E17" s="58"/>
      <c r="G17" s="13"/>
      <c r="H17" s="58"/>
      <c r="I17" s="58"/>
      <c r="J17" s="58"/>
      <c r="L17" s="15"/>
      <c r="M17" s="15"/>
      <c r="N17" s="15"/>
      <c r="P17" s="15"/>
      <c r="Q17" s="15"/>
      <c r="R17" s="15"/>
    </row>
    <row r="18" spans="1:20" s="14" customFormat="1" x14ac:dyDescent="0.25">
      <c r="A18" s="15"/>
      <c r="B18" s="21"/>
      <c r="C18" s="21"/>
      <c r="D18" s="58"/>
      <c r="E18" s="58"/>
      <c r="G18" s="15"/>
      <c r="H18" s="58"/>
      <c r="I18" s="58"/>
      <c r="J18" s="58"/>
      <c r="L18" s="13"/>
      <c r="P18" s="13"/>
    </row>
    <row r="19" spans="1:20" s="14" customFormat="1" x14ac:dyDescent="0.25">
      <c r="A19" s="13"/>
      <c r="B19" s="21"/>
      <c r="C19" s="21"/>
      <c r="D19" s="58"/>
      <c r="E19" s="58"/>
      <c r="G19" s="13"/>
      <c r="H19" s="58"/>
      <c r="I19" s="58"/>
      <c r="J19" s="58"/>
      <c r="L19" s="15"/>
      <c r="M19" s="15"/>
      <c r="N19" s="15"/>
      <c r="P19" s="15"/>
      <c r="Q19" s="15"/>
      <c r="R19" s="15"/>
    </row>
    <row r="20" spans="1:20" s="14" customFormat="1" x14ac:dyDescent="0.25">
      <c r="A20" s="15"/>
      <c r="B20" s="21"/>
      <c r="C20" s="21"/>
      <c r="D20" s="58"/>
      <c r="E20" s="58"/>
      <c r="G20" s="15"/>
      <c r="H20" s="58"/>
      <c r="I20" s="58"/>
      <c r="J20" s="58"/>
      <c r="L20" s="13"/>
      <c r="P20" s="13"/>
    </row>
    <row r="21" spans="1:20" x14ac:dyDescent="0.25">
      <c r="A21" s="13"/>
      <c r="B21" s="21"/>
      <c r="C21" s="21"/>
      <c r="D21" s="58"/>
      <c r="E21" s="58"/>
      <c r="F21" s="14"/>
      <c r="G21" s="13"/>
      <c r="H21" s="58"/>
      <c r="I21" s="58"/>
      <c r="J21" s="58"/>
      <c r="K21" s="14"/>
      <c r="L21" s="15"/>
      <c r="M21" s="15"/>
      <c r="N21" s="15"/>
      <c r="O21" s="14"/>
      <c r="P21" s="15"/>
      <c r="Q21" s="15"/>
      <c r="R21" s="15"/>
      <c r="S21" s="14"/>
      <c r="T21" s="14"/>
    </row>
    <row r="22" spans="1:20" x14ac:dyDescent="0.25">
      <c r="A22" s="15"/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3"/>
      <c r="M22" s="14"/>
      <c r="N22" s="14"/>
      <c r="O22" s="14"/>
      <c r="P22" s="13"/>
      <c r="Q22" s="14"/>
      <c r="R22" s="14"/>
      <c r="S22" s="14"/>
      <c r="T22" s="14"/>
    </row>
    <row r="23" spans="1:20" x14ac:dyDescent="0.25">
      <c r="A23" s="13"/>
      <c r="B23" s="21"/>
      <c r="C23" s="21"/>
      <c r="D23" s="58"/>
      <c r="E23" s="58"/>
      <c r="F23" s="14"/>
      <c r="G23" s="13"/>
      <c r="H23" s="58"/>
      <c r="I23" s="58"/>
      <c r="J23" s="58"/>
      <c r="K23" s="14"/>
      <c r="L23" s="15"/>
      <c r="M23" s="15"/>
      <c r="N23" s="15"/>
      <c r="O23" s="14"/>
      <c r="P23" s="15"/>
      <c r="Q23" s="15"/>
      <c r="R23" s="15"/>
      <c r="S23" s="14"/>
      <c r="T23" s="14"/>
    </row>
    <row r="24" spans="1:20" s="2" customFormat="1" x14ac:dyDescent="0.25">
      <c r="A24" s="15"/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14"/>
      <c r="P24" s="13"/>
      <c r="Q24" s="14"/>
      <c r="R24" s="14"/>
      <c r="S24" s="14"/>
      <c r="T24" s="14"/>
    </row>
    <row r="25" spans="1:20" x14ac:dyDescent="0.25">
      <c r="A25" s="13"/>
      <c r="B25" s="21"/>
      <c r="C25" s="21"/>
      <c r="D25" s="58"/>
      <c r="E25" s="58"/>
      <c r="F25" s="14"/>
      <c r="G25" s="13"/>
      <c r="H25" s="58"/>
      <c r="I25" s="58"/>
      <c r="J25" s="58"/>
      <c r="K25" s="14"/>
      <c r="L25" s="15"/>
      <c r="M25" s="15"/>
      <c r="N25" s="15"/>
      <c r="O25" s="14"/>
      <c r="P25" s="15"/>
      <c r="Q25" s="15"/>
      <c r="R25" s="15"/>
      <c r="S25" s="14"/>
      <c r="T25" s="14"/>
    </row>
    <row r="26" spans="1:20" x14ac:dyDescent="0.25">
      <c r="A26" s="15"/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  <c r="O26" s="14"/>
      <c r="P26" s="13"/>
      <c r="Q26" s="14"/>
      <c r="R26" s="14"/>
      <c r="S26" s="14"/>
      <c r="T26" s="14"/>
    </row>
    <row r="27" spans="1:20" x14ac:dyDescent="0.25">
      <c r="A27" s="13"/>
      <c r="B27" s="21"/>
      <c r="C27" s="21"/>
      <c r="D27" s="58"/>
      <c r="E27" s="58"/>
      <c r="F27" s="14"/>
      <c r="G27" s="13"/>
      <c r="H27" s="58"/>
      <c r="I27" s="58"/>
      <c r="J27" s="58"/>
      <c r="K27" s="14"/>
      <c r="L27" s="15"/>
      <c r="M27" s="15"/>
      <c r="N27" s="15"/>
      <c r="O27" s="14"/>
      <c r="P27" s="15"/>
      <c r="Q27" s="15"/>
      <c r="R27" s="15"/>
      <c r="S27" s="14"/>
      <c r="T27" s="14"/>
    </row>
    <row r="28" spans="1:20" x14ac:dyDescent="0.25">
      <c r="A28" s="15"/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3"/>
      <c r="M28" s="14"/>
      <c r="N28" s="14"/>
      <c r="O28" s="14"/>
      <c r="P28" s="13"/>
      <c r="Q28" s="14"/>
      <c r="R28" s="14"/>
      <c r="S28" s="14"/>
      <c r="T28" s="14"/>
    </row>
    <row r="29" spans="1:20" x14ac:dyDescent="0.25">
      <c r="A29" s="13"/>
      <c r="B29" s="21"/>
      <c r="C29" s="21"/>
      <c r="D29" s="58"/>
      <c r="E29" s="58"/>
      <c r="F29" s="14"/>
      <c r="G29" s="13"/>
      <c r="H29" s="58"/>
      <c r="I29" s="58"/>
      <c r="J29" s="58"/>
      <c r="K29" s="14"/>
      <c r="L29" s="15"/>
      <c r="M29" s="15"/>
      <c r="N29" s="15"/>
      <c r="O29" s="14"/>
      <c r="P29" s="15"/>
      <c r="Q29" s="15"/>
      <c r="R29" s="15"/>
      <c r="S29" s="14"/>
      <c r="T29" s="14"/>
    </row>
    <row r="30" spans="1:20" x14ac:dyDescent="0.25">
      <c r="A30" s="15"/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  <c r="O30" s="14"/>
      <c r="P30" s="13"/>
      <c r="Q30" s="14"/>
      <c r="R30" s="14"/>
      <c r="S30" s="14"/>
      <c r="T30" s="14"/>
    </row>
    <row r="31" spans="1:20" x14ac:dyDescent="0.25">
      <c r="A31" s="13"/>
      <c r="B31" s="21"/>
      <c r="C31" s="21"/>
      <c r="D31" s="58"/>
      <c r="E31" s="58"/>
      <c r="F31" s="14"/>
      <c r="G31" s="13"/>
      <c r="H31" s="58"/>
      <c r="I31" s="58"/>
      <c r="J31" s="58"/>
      <c r="K31" s="14"/>
      <c r="L31" s="15"/>
      <c r="M31" s="15"/>
      <c r="N31" s="15"/>
      <c r="O31" s="14"/>
      <c r="P31" s="15"/>
      <c r="Q31" s="15"/>
      <c r="R31" s="15"/>
      <c r="S31" s="14"/>
      <c r="T31" s="14"/>
    </row>
    <row r="32" spans="1:20" x14ac:dyDescent="0.25">
      <c r="A32" s="15"/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  <c r="O32" s="14"/>
      <c r="P32" s="13"/>
      <c r="Q32" s="14"/>
      <c r="R32" s="14"/>
      <c r="S32" s="14"/>
      <c r="T32" s="14"/>
    </row>
    <row r="33" spans="1:20" x14ac:dyDescent="0.25">
      <c r="A33" s="13"/>
      <c r="B33" s="21"/>
      <c r="C33" s="21"/>
      <c r="D33" s="58"/>
      <c r="E33" s="58"/>
      <c r="F33" s="14"/>
      <c r="G33" s="13"/>
      <c r="H33" s="58"/>
      <c r="I33" s="58"/>
      <c r="J33" s="58"/>
      <c r="K33" s="14"/>
      <c r="L33" s="15"/>
      <c r="M33" s="15"/>
      <c r="N33" s="15"/>
      <c r="O33" s="14"/>
      <c r="P33" s="15"/>
      <c r="Q33" s="15"/>
      <c r="R33" s="15"/>
      <c r="S33" s="14"/>
      <c r="T33" s="14"/>
    </row>
    <row r="34" spans="1:20" x14ac:dyDescent="0.25">
      <c r="A34" s="15"/>
      <c r="B34" s="21"/>
      <c r="C34" s="21"/>
      <c r="D34" s="58"/>
      <c r="E34" s="58"/>
      <c r="F34" s="14"/>
      <c r="G34" s="15"/>
      <c r="H34" s="58"/>
      <c r="I34" s="58"/>
      <c r="J34" s="58"/>
      <c r="K34" s="14"/>
      <c r="L34" s="13"/>
      <c r="M34" s="14"/>
      <c r="N34" s="14"/>
      <c r="O34" s="14"/>
      <c r="P34" s="13"/>
      <c r="Q34" s="14"/>
      <c r="R34" s="14"/>
      <c r="S34" s="14"/>
      <c r="T34" s="14"/>
    </row>
    <row r="36" spans="1:20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36"/>
  <sheetViews>
    <sheetView workbookViewId="0">
      <selection activeCell="L16" sqref="L16"/>
    </sheetView>
  </sheetViews>
  <sheetFormatPr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RTD("tickerplantrtdserver",,"FWRC1#GBPUSD#Month Wise Rates#0#S#Desc.2")</f>
        <v>TN</v>
      </c>
      <c r="D1" s="76" t="str">
        <f t="array" ref="D1">RTD("tickerplantrtdserver",,"FWRC1#GBPUSD#Month Wise Rates#0#S#Desc.7")</f>
        <v>1M</v>
      </c>
      <c r="E1" s="76" t="str">
        <f t="array" ref="E1">RTD("tickerplantrtdserver",,"FWRC1#GBPUSD#Month Wise Rates#0#S#Desc.8")</f>
        <v>2M</v>
      </c>
      <c r="F1" s="76" t="str">
        <f t="array" ref="F1">RTD("tickerplantrtdserver",,"FWRC1#GBPUSD#Month Wise Rates#0#S#Desc.9")</f>
        <v>3M</v>
      </c>
      <c r="G1" s="76" t="str">
        <f t="array" ref="G1">RTD("tickerplantrtdserver",,"FWRC1#GBPUSD#Month Wise Rates#0#S#Desc.10")</f>
        <v>4M</v>
      </c>
      <c r="H1" s="76" t="str">
        <f t="array" ref="H1">RTD("tickerplantrtdserver",,"FWRC1#GBPUSD#Month Wise Rates#0#S#Desc.11")</f>
        <v>5M</v>
      </c>
      <c r="I1" s="76" t="str">
        <f t="array" ref="I1">RTD("tickerplantrtdserver",,"FWRC1#GBPUSD#Month Wise Rates#0#S#Desc.12")</f>
        <v>6M</v>
      </c>
      <c r="J1" s="76" t="str">
        <f t="array" ref="J1">RTD("tickerplantrtdserver",,"FWRC1#GBPUSD#Month Wise Rates#0#S#Desc.13")</f>
        <v>7M</v>
      </c>
      <c r="K1" s="76" t="str">
        <f t="array" ref="K1">RTD("tickerplantrtdserver",,"FWRC1#GBPUSD#Month Wise Rates#0#S#Desc.14")</f>
        <v>8M</v>
      </c>
      <c r="L1" s="76" t="str">
        <f t="array" ref="L1">RTD("tickerplantrtdserver",,"FWRC1#GBPUSD#Month Wise Rates#0#S#Desc.15")</f>
        <v>9M</v>
      </c>
      <c r="M1" s="76" t="str">
        <f t="array" ref="M1">RTD("tickerplantrtdserver",,"FWRC1#GBPUSD#Month Wise Rates#0#S#Desc.16")</f>
        <v>10M</v>
      </c>
      <c r="N1" s="76" t="str">
        <f t="array" ref="N1">RTD("tickerplantrtdserver",,"FWRC1#GBPUSD#Month Wise Rates#0#S#Desc.17")</f>
        <v>11M</v>
      </c>
      <c r="O1" s="77" t="str">
        <f t="array" ref="O1">RTD("tickerplantrtdserver",,"FWRC1#GBPUSD#Month Wise Rates#0#S#Desc.18")</f>
        <v>12M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RTD("tickerplantrtdserver",,"FWRC1#GBPUSD#Month Wise Rates#0#S#PillarDate2")</f>
        <v>24-Sep-2020</v>
      </c>
      <c r="D2" s="71" t="str">
        <f t="array" ref="D2">RTD("tickerplantrtdserver",,"FWRC1#GBPUSD#Month Wise Rates#0#S#PillarDate7")</f>
        <v>26-Oct-2020</v>
      </c>
      <c r="E2" s="71" t="str">
        <f t="array" ref="E2">RTD("tickerplantrtdserver",,"FWRC1#GBPUSD#Month Wise Rates#0#S#PillarDate8")</f>
        <v>24-Nov-2020</v>
      </c>
      <c r="F2" s="71" t="str">
        <f t="array" ref="F2">RTD("tickerplantrtdserver",,"FWRC1#GBPUSD#Month Wise Rates#0#S#PillarDate9")</f>
        <v>24-Dec-2020</v>
      </c>
      <c r="G2" s="71" t="str">
        <f t="array" ref="G2">RTD("tickerplantrtdserver",,"FWRC1#GBPUSD#Month Wise Rates#0#S#PillarDate10")</f>
        <v>25-Jan-2021</v>
      </c>
      <c r="H2" s="71" t="str">
        <f t="array" ref="H2">RTD("tickerplantrtdserver",,"FWRC1#GBPUSD#Month Wise Rates#0#S#PillarDate11")</f>
        <v>24-Feb-2021</v>
      </c>
      <c r="I2" s="71" t="str">
        <f t="array" ref="I2">RTD("tickerplantrtdserver",,"FWRC1#GBPUSD#Month Wise Rates#0#S#PillarDate12")</f>
        <v>24-Mar-2021</v>
      </c>
      <c r="J2" s="71" t="str">
        <f t="array" ref="J2">RTD("tickerplantrtdserver",,"FWRC1#GBPUSD#Month Wise Rates#0#S#PillarDate13")</f>
        <v>26-Apr-2021</v>
      </c>
      <c r="K2" s="71" t="str">
        <f t="array" ref="K2">RTD("tickerplantrtdserver",,"FWRC1#GBPUSD#Month Wise Rates#0#S#PillarDate14")</f>
        <v>24-May-2021</v>
      </c>
      <c r="L2" s="71" t="str">
        <f t="array" ref="L2">RTD("tickerplantrtdserver",,"FWRC1#GBPUSD#Month Wise Rates#0#S#PillarDate15")</f>
        <v>24-Jun-2021</v>
      </c>
      <c r="M2" s="71" t="str">
        <f t="array" ref="M2">RTD("tickerplantrtdserver",,"FWRC1#GBPUSD#Month Wise Rates#0#S#PillarDate16")</f>
        <v>26-Jul-2021</v>
      </c>
      <c r="N2" s="71" t="str">
        <f t="array" ref="N2">RTD("tickerplantrtdserver",,"FWRC1#GBPUSD#Month Wise Rates#0#S#PillarDate17")</f>
        <v>24-Aug-2021</v>
      </c>
      <c r="O2" s="75" t="str">
        <f t="array" ref="O2">RTD("tickerplantrtdserver",,"FWRC1#GBPUSD#Month Wise Rates#0#S#PillarDate18")</f>
        <v>24-Sep-2021</v>
      </c>
      <c r="P2" s="30"/>
    </row>
    <row r="3" spans="1:18" s="14" customFormat="1" x14ac:dyDescent="0.25">
      <c r="A3" s="161" t="s">
        <v>4</v>
      </c>
      <c r="B3" s="16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  <c r="P3" s="15"/>
    </row>
    <row r="4" spans="1:18" s="14" customFormat="1" x14ac:dyDescent="0.25">
      <c r="A4" s="159" t="s">
        <v>47</v>
      </c>
      <c r="B4" s="160"/>
      <c r="C4" s="65">
        <f t="array" ref="C4">RTD("tickerplantrtdserver",,"FWRC1#GBPUSD#Month Wise Rates#0#BidPrice2")</f>
        <v>1.4999999999999999E-2</v>
      </c>
      <c r="D4" s="65">
        <f t="array" ref="D4">RTD("tickerplantrtdserver",,"FWRC1#GBPUSD#Month Wise Rates#0#BidPrice7")</f>
        <v>2</v>
      </c>
      <c r="E4" s="65">
        <f t="array" ref="E4">RTD("tickerplantrtdserver",,"FWRC1#GBPUSD#Month Wise Rates#0#BidPrice8")</f>
        <v>3.74</v>
      </c>
      <c r="F4" s="65">
        <f t="array" ref="F4">RTD("tickerplantrtdserver",,"FWRC1#GBPUSD#Month Wise Rates#0#BidPrice9")</f>
        <v>5.4</v>
      </c>
      <c r="G4" s="65">
        <f t="array" ref="G4">RTD("tickerplantrtdserver",,"FWRC1#GBPUSD#Month Wise Rates#0#BidPrice10")</f>
        <v>11.4</v>
      </c>
      <c r="H4" s="65">
        <f t="array" ref="H4">RTD("tickerplantrtdserver",,"FWRC1#GBPUSD#Month Wise Rates#0#BidPrice11")</f>
        <v>13</v>
      </c>
      <c r="I4" s="65">
        <f t="array" ref="I4">RTD("tickerplantrtdserver",,"FWRC1#GBPUSD#Month Wise Rates#0#BidPrice12")</f>
        <v>14.36</v>
      </c>
      <c r="J4" s="65">
        <f t="array" ref="J4">RTD("tickerplantrtdserver",,"FWRC1#GBPUSD#Month Wise Rates#0#BidPrice13")</f>
        <v>16.14</v>
      </c>
      <c r="K4" s="65">
        <f t="array" ref="K4">RTD("tickerplantrtdserver",,"FWRC1#GBPUSD#Month Wise Rates#0#BidPrice14")</f>
        <v>17.73</v>
      </c>
      <c r="L4" s="65">
        <f t="array" ref="L4">RTD("tickerplantrtdserver",,"FWRC1#GBPUSD#Month Wise Rates#0#BidPrice15")</f>
        <v>20.12</v>
      </c>
      <c r="M4" s="65">
        <f t="array" ref="M4">RTD("tickerplantrtdserver",,"FWRC1#GBPUSD#Month Wise Rates#0#BidPrice16")</f>
        <v>21.94</v>
      </c>
      <c r="N4" s="65">
        <f t="array" ref="N4">RTD("tickerplantrtdserver",,"FWRC1#GBPUSD#Month Wise Rates#0#BidPrice17")</f>
        <v>24.1</v>
      </c>
      <c r="O4" s="67">
        <f t="array" ref="O4">RTD("tickerplantrtdserver",,"FWRC1#GBPUSD#Month Wise Rates#0#BidPrice18")</f>
        <v>26.1</v>
      </c>
      <c r="P4" s="20"/>
    </row>
    <row r="5" spans="1:18" s="14" customFormat="1" x14ac:dyDescent="0.25">
      <c r="A5" s="159" t="s">
        <v>48</v>
      </c>
      <c r="B5" s="160"/>
      <c r="C5" s="65">
        <f t="array" ref="C5">RTD("tickerplantrtdserver",,"FWRC1#GBPUSD#Month Wise Rates#0#AskPrice2")</f>
        <v>7.4999999999999997E-2</v>
      </c>
      <c r="D5" s="65">
        <f t="array" ref="D5">RTD("tickerplantrtdserver",,"FWRC1#GBPUSD#Month Wise Rates#0#AskPrice7")</f>
        <v>2.2999999999999998</v>
      </c>
      <c r="E5" s="65">
        <f t="array" ref="E5">RTD("tickerplantrtdserver",,"FWRC1#GBPUSD#Month Wise Rates#0#AskPrice8")</f>
        <v>4.24</v>
      </c>
      <c r="F5" s="65">
        <f t="array" ref="F5">RTD("tickerplantrtdserver",,"FWRC1#GBPUSD#Month Wise Rates#0#AskPrice9")</f>
        <v>6.1</v>
      </c>
      <c r="G5" s="65">
        <f t="array" ref="G5">RTD("tickerplantrtdserver",,"FWRC1#GBPUSD#Month Wise Rates#0#AskPrice10")</f>
        <v>11.9</v>
      </c>
      <c r="H5" s="65">
        <f t="array" ref="H5">RTD("tickerplantrtdserver",,"FWRC1#GBPUSD#Month Wise Rates#0#AskPrice11")</f>
        <v>13.5</v>
      </c>
      <c r="I5" s="65">
        <f t="array" ref="I5">RTD("tickerplantrtdserver",,"FWRC1#GBPUSD#Month Wise Rates#0#AskPrice12")</f>
        <v>15.24</v>
      </c>
      <c r="J5" s="65">
        <f t="array" ref="J5">RTD("tickerplantrtdserver",,"FWRC1#GBPUSD#Month Wise Rates#0#AskPrice13")</f>
        <v>17.649999999999999</v>
      </c>
      <c r="K5" s="65">
        <f t="array" ref="K5">RTD("tickerplantrtdserver",,"FWRC1#GBPUSD#Month Wise Rates#0#AskPrice14")</f>
        <v>19.420000000000002</v>
      </c>
      <c r="L5" s="65">
        <f t="array" ref="L5">RTD("tickerplantrtdserver",,"FWRC1#GBPUSD#Month Wise Rates#0#AskPrice15")</f>
        <v>22.27</v>
      </c>
      <c r="M5" s="65">
        <f t="array" ref="M5">RTD("tickerplantrtdserver",,"FWRC1#GBPUSD#Month Wise Rates#0#AskPrice16")</f>
        <v>23.85</v>
      </c>
      <c r="N5" s="65">
        <f t="array" ref="N5">RTD("tickerplantrtdserver",,"FWRC1#GBPUSD#Month Wise Rates#0#AskPrice17")</f>
        <v>25.7</v>
      </c>
      <c r="O5" s="67">
        <f t="array" ref="O5">RTD("tickerplantrtdserver",,"FWRC1#GBPUSD#Month Wise Rates#0#AskPrice18")</f>
        <v>28.1</v>
      </c>
      <c r="P5" s="20"/>
    </row>
    <row r="6" spans="1:18" s="14" customFormat="1" x14ac:dyDescent="0.25">
      <c r="A6" s="161" t="s">
        <v>3</v>
      </c>
      <c r="B6" s="16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6"/>
      <c r="P6" s="20"/>
    </row>
    <row r="7" spans="1:18" s="14" customFormat="1" x14ac:dyDescent="0.25">
      <c r="A7" s="159" t="s">
        <v>47</v>
      </c>
      <c r="B7" s="160"/>
      <c r="C7" s="64">
        <f t="array" ref="C7">RTD("tickerplantrtdserver",,"FWRC1#GBPUSD#Month Wise Rates#0#FwdOutrightBid2")</f>
        <v>1.28</v>
      </c>
      <c r="D7" s="64">
        <f t="array" ref="D7">RTD("tickerplantrtdserver",,"FWRC1#GBPUSD#Month Wise Rates#0#FwdOutrightBid7")</f>
        <v>1.2802</v>
      </c>
      <c r="E7" s="64">
        <f t="array" ref="E7">RTD("tickerplantrtdserver",,"FWRC1#GBPUSD#Month Wise Rates#0#FwdOutrightBid8")</f>
        <v>1.2804</v>
      </c>
      <c r="F7" s="64">
        <f t="array" ref="F7">RTD("tickerplantrtdserver",,"FWRC1#GBPUSD#Month Wise Rates#0#FwdOutrightBid9")</f>
        <v>1.2806</v>
      </c>
      <c r="G7" s="64">
        <f t="array" ref="G7">RTD("tickerplantrtdserver",,"FWRC1#GBPUSD#Month Wise Rates#0#FwdOutrightBid10")</f>
        <v>1.2811999999999999</v>
      </c>
      <c r="H7" s="64">
        <f t="array" ref="H7">RTD("tickerplantrtdserver",,"FWRC1#GBPUSD#Month Wise Rates#0#FwdOutrightBid11")</f>
        <v>1.2813000000000001</v>
      </c>
      <c r="I7" s="64">
        <f t="array" ref="I7">RTD("tickerplantrtdserver",,"FWRC1#GBPUSD#Month Wise Rates#0#FwdOutrightBid12")</f>
        <v>1.2815000000000001</v>
      </c>
      <c r="J7" s="64">
        <f t="array" ref="J7">RTD("tickerplantrtdserver",,"FWRC1#GBPUSD#Month Wise Rates#0#FwdOutrightBid13")</f>
        <v>1.2815000000000001</v>
      </c>
      <c r="K7" s="64">
        <f t="array" ref="K7">RTD("tickerplantrtdserver",,"FWRC1#GBPUSD#Month Wise Rates#0#FwdOutrightBid14")</f>
        <v>1.2818000000000001</v>
      </c>
      <c r="L7" s="64">
        <f t="array" ref="L7">RTD("tickerplantrtdserver",,"FWRC1#GBPUSD#Month Wise Rates#0#FwdOutrightBid15")</f>
        <v>1.2821</v>
      </c>
      <c r="M7" s="64">
        <f t="array" ref="M7">RTD("tickerplantrtdserver",,"FWRC1#GBPUSD#Month Wise Rates#0#FwdOutrightBid16")</f>
        <v>1.2822</v>
      </c>
      <c r="N7" s="64">
        <f t="array" ref="N7">RTD("tickerplantrtdserver",,"FWRC1#GBPUSD#Month Wise Rates#0#FwdOutrightBid17")</f>
        <v>1.2825</v>
      </c>
      <c r="O7" s="68">
        <f t="array" ref="O7">RTD("tickerplantrtdserver",,"FWRC1#GBPUSD#Month Wise Rates#0#FwdOutrightBid18")</f>
        <v>1.2827</v>
      </c>
      <c r="P7" s="20"/>
    </row>
    <row r="8" spans="1:18" s="14" customFormat="1" x14ac:dyDescent="0.25">
      <c r="A8" s="159" t="s">
        <v>48</v>
      </c>
      <c r="B8" s="160"/>
      <c r="C8" s="64">
        <f t="array" ref="C8">RTD("tickerplantrtdserver",,"FWRC1#GBPUSD#Month Wise Rates#0#FwdOutrightAsk2")</f>
        <v>1.2801</v>
      </c>
      <c r="D8" s="64">
        <f t="array" ref="D8">RTD("tickerplantrtdserver",,"FWRC1#GBPUSD#Month Wise Rates#0#FwdOutrightAsk7")</f>
        <v>1.2804</v>
      </c>
      <c r="E8" s="64">
        <f t="array" ref="E8">RTD("tickerplantrtdserver",,"FWRC1#GBPUSD#Month Wise Rates#0#FwdOutrightAsk8")</f>
        <v>1.2806</v>
      </c>
      <c r="F8" s="64">
        <f t="array" ref="F8">RTD("tickerplantrtdserver",,"FWRC1#GBPUSD#Month Wise Rates#0#FwdOutrightAsk9")</f>
        <v>1.2807999999999999</v>
      </c>
      <c r="G8" s="64">
        <f t="array" ref="G8">RTD("tickerplantrtdserver",,"FWRC1#GBPUSD#Month Wise Rates#0#FwdOutrightAsk10")</f>
        <v>1.2813000000000001</v>
      </c>
      <c r="H8" s="64">
        <f t="array" ref="H8">RTD("tickerplantrtdserver",,"FWRC1#GBPUSD#Month Wise Rates#0#FwdOutrightAsk11")</f>
        <v>1.2815000000000001</v>
      </c>
      <c r="I8" s="64">
        <f t="array" ref="I8">RTD("tickerplantrtdserver",,"FWRC1#GBPUSD#Month Wise Rates#0#FwdOutrightAsk12")</f>
        <v>1.2817000000000001</v>
      </c>
      <c r="J8" s="64">
        <f t="array" ref="J8">RTD("tickerplantrtdserver",,"FWRC1#GBPUSD#Month Wise Rates#0#FwdOutrightAsk13")</f>
        <v>1.2817000000000001</v>
      </c>
      <c r="K8" s="64">
        <f t="array" ref="K8">RTD("tickerplantrtdserver",,"FWRC1#GBPUSD#Month Wise Rates#0#FwdOutrightAsk14")</f>
        <v>1.2821</v>
      </c>
      <c r="L8" s="64">
        <f t="array" ref="L8">RTD("tickerplantrtdserver",,"FWRC1#GBPUSD#Month Wise Rates#0#FwdOutrightAsk15")</f>
        <v>1.2824</v>
      </c>
      <c r="M8" s="64">
        <f t="array" ref="M8">RTD("tickerplantrtdserver",,"FWRC1#GBPUSD#Month Wise Rates#0#FwdOutrightAsk16")</f>
        <v>1.2825</v>
      </c>
      <c r="N8" s="64">
        <f t="array" ref="N8">RTD("tickerplantrtdserver",,"FWRC1#GBPUSD#Month Wise Rates#0#FwdOutrightAsk17")</f>
        <v>1.2827</v>
      </c>
      <c r="O8" s="68">
        <f t="array" ref="O8">RTD("tickerplantrtdserver",,"FWRC1#GBPUSD#Month Wise Rates#0#FwdOutrightAsk18")</f>
        <v>1.2829999999999999</v>
      </c>
    </row>
    <row r="9" spans="1:18" s="14" customFormat="1" x14ac:dyDescent="0.25">
      <c r="A9" s="161" t="s">
        <v>2</v>
      </c>
      <c r="B9" s="16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6"/>
    </row>
    <row r="10" spans="1:18" s="14" customFormat="1" x14ac:dyDescent="0.25">
      <c r="A10" s="159" t="s">
        <v>47</v>
      </c>
      <c r="B10" s="160"/>
      <c r="C10" s="65">
        <f t="array" ref="C10">RTD("tickerplantrtdserver",,"FWRC1#GBPUSD#Month Wise Rates#0#Bid%2")</f>
        <v>4.2799999999999998E-2</v>
      </c>
      <c r="D10" s="65">
        <f t="array" ref="D10">RTD("tickerplantrtdserver",,"FWRC1#GBPUSD#Month Wise Rates#0#Bid%7")</f>
        <v>0.1782</v>
      </c>
      <c r="E10" s="65">
        <f t="array" ref="E10">RTD("tickerplantrtdserver",,"FWRC1#GBPUSD#Month Wise Rates#0#Bid%8")</f>
        <v>0.17480000000000001</v>
      </c>
      <c r="F10" s="65">
        <f t="array" ref="F10">RTD("tickerplantrtdserver",,"FWRC1#GBPUSD#Month Wise Rates#0#Bid%9")</f>
        <v>0.16919999999999999</v>
      </c>
      <c r="G10" s="65">
        <f t="array" ref="G10">RTD("tickerplantrtdserver",,"FWRC1#GBPUSD#Month Wise Rates#0#Bid%10")</f>
        <v>0.26429999999999998</v>
      </c>
      <c r="H10" s="65">
        <f t="array" ref="H10">RTD("tickerplantrtdserver",,"FWRC1#GBPUSD#Month Wise Rates#0#Bid%11")</f>
        <v>0.24229999999999999</v>
      </c>
      <c r="I10" s="65">
        <f t="array" ref="I10">RTD("tickerplantrtdserver",,"FWRC1#GBPUSD#Month Wise Rates#0#Bid%12")</f>
        <v>0.22620000000000001</v>
      </c>
      <c r="J10" s="65">
        <f t="array" ref="J10">RTD("tickerplantrtdserver",,"FWRC1#GBPUSD#Month Wise Rates#0#Bid%13")</f>
        <v>0.21510000000000001</v>
      </c>
      <c r="K10" s="65">
        <f t="array" ref="K10">RTD("tickerplantrtdserver",,"FWRC1#GBPUSD#Month Wise Rates#0#Bid%14")</f>
        <v>0.2089</v>
      </c>
      <c r="L10" s="65">
        <f t="array" ref="L10">RTD("tickerplantrtdserver",,"FWRC1#GBPUSD#Month Wise Rates#0#Bid%15")</f>
        <v>0.21010000000000001</v>
      </c>
      <c r="M10" s="65">
        <f t="array" ref="M10">RTD("tickerplantrtdserver",,"FWRC1#GBPUSD#Month Wise Rates#0#Bid%16")</f>
        <v>0.2051</v>
      </c>
      <c r="N10" s="65">
        <f t="array" ref="N10">RTD("tickerplantrtdserver",,"FWRC1#GBPUSD#Month Wise Rates#0#Bid%17")</f>
        <v>0.20569999999999999</v>
      </c>
      <c r="O10" s="67">
        <f t="array" ref="O10">RTD("tickerplantrtdserver",,"FWRC1#GBPUSD#Month Wise Rates#0#Bid%18")</f>
        <v>0.2039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RTD("tickerplantrtdserver",,"FWRC1#GBPUSD#Month Wise Rates#0#Ask%2")</f>
        <v>0.21390000000000001</v>
      </c>
      <c r="D11" s="69">
        <f t="array" ref="D11">RTD("tickerplantrtdserver",,"FWRC1#GBPUSD#Month Wise Rates#0#Ask%7")</f>
        <v>0.20499999999999999</v>
      </c>
      <c r="E11" s="69">
        <f t="array" ref="E11">RTD("tickerplantrtdserver",,"FWRC1#GBPUSD#Month Wise Rates#0#Ask%8")</f>
        <v>0.19819999999999999</v>
      </c>
      <c r="F11" s="69">
        <f t="array" ref="F11">RTD("tickerplantrtdserver",,"FWRC1#GBPUSD#Month Wise Rates#0#Ask%9")</f>
        <v>0.19109999999999999</v>
      </c>
      <c r="G11" s="69">
        <f t="array" ref="G11">RTD("tickerplantrtdserver",,"FWRC1#GBPUSD#Month Wise Rates#0#Ask%10")</f>
        <v>0.27589999999999998</v>
      </c>
      <c r="H11" s="69">
        <f t="array" ref="H11">RTD("tickerplantrtdserver",,"FWRC1#GBPUSD#Month Wise Rates#0#Ask%11")</f>
        <v>0.25159999999999999</v>
      </c>
      <c r="I11" s="69">
        <f t="array" ref="I11">RTD("tickerplantrtdserver",,"FWRC1#GBPUSD#Month Wise Rates#0#Ask%12")</f>
        <v>0.24010000000000001</v>
      </c>
      <c r="J11" s="69">
        <f t="array" ref="J11">RTD("tickerplantrtdserver",,"FWRC1#GBPUSD#Month Wise Rates#0#Ask%13")</f>
        <v>0.23519999999999999</v>
      </c>
      <c r="K11" s="69">
        <f t="array" ref="K11">RTD("tickerplantrtdserver",,"FWRC1#GBPUSD#Month Wise Rates#0#Ask%14")</f>
        <v>0.2288</v>
      </c>
      <c r="L11" s="69">
        <f t="array" ref="L11">RTD("tickerplantrtdserver",,"FWRC1#GBPUSD#Month Wise Rates#0#Ask%15")</f>
        <v>0.2326</v>
      </c>
      <c r="M11" s="69">
        <f t="array" ref="M11">RTD("tickerplantrtdserver",,"FWRC1#GBPUSD#Month Wise Rates#0#Ask%16")</f>
        <v>0.223</v>
      </c>
      <c r="N11" s="69">
        <f t="array" ref="N11">RTD("tickerplantrtdserver",,"FWRC1#GBPUSD#Month Wise Rates#0#Ask%17")</f>
        <v>0.21940000000000001</v>
      </c>
      <c r="O11" s="70">
        <f t="array" ref="O11">RTD("tickerplantrtdserver",,"FWRC1#GBPUSD#Month Wise Rates#0#Ask%18")</f>
        <v>0.2195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31"/>
      <c r="R14" s="31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5"/>
      <c r="R15" s="15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6" spans="1:16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>
      <selection activeCell="Q10" sqref="Q10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7" t="s">
        <v>6</v>
      </c>
      <c r="B1" s="158"/>
      <c r="C1" s="76" t="str">
        <f t="array" ref="C1">RTD("tickerplantrtdserver",,"FWRC1#USDJPY#Month Wise Rates#0#S#Desc.2")</f>
        <v>TN</v>
      </c>
      <c r="D1" s="76" t="str">
        <f t="array" ref="D1">RTD("tickerplantrtdserver",,"FWRC1#USDJPY#Month Wise Rates#0#S#Desc.7")</f>
        <v>1M</v>
      </c>
      <c r="E1" s="76" t="str">
        <f t="array" ref="E1">RTD("tickerplantrtdserver",,"FWRC1#USDJPY#Month Wise Rates#0#S#Desc.8")</f>
        <v>2M</v>
      </c>
      <c r="F1" s="76" t="str">
        <f t="array" ref="F1">RTD("tickerplantrtdserver",,"FWRC1#USDJPY#Month Wise Rates#0#S#Desc.9")</f>
        <v>3M</v>
      </c>
      <c r="G1" s="76" t="str">
        <f t="array" ref="G1">RTD("tickerplantrtdserver",,"FWRC1#USDJPY#Month Wise Rates#0#S#Desc.10")</f>
        <v>4M</v>
      </c>
      <c r="H1" s="76" t="str">
        <f t="array" ref="H1">RTD("tickerplantrtdserver",,"FWRC1#USDJPY#Month Wise Rates#0#S#Desc.11")</f>
        <v>5M</v>
      </c>
      <c r="I1" s="76" t="str">
        <f t="array" ref="I1">RTD("tickerplantrtdserver",,"FWRC1#USDJPY#Month Wise Rates#0#S#Desc.12")</f>
        <v>6M</v>
      </c>
      <c r="J1" s="76" t="str">
        <f t="array" ref="J1">RTD("tickerplantrtdserver",,"FWRC1#USDJPY#Month Wise Rates#0#S#Desc.13")</f>
        <v>7M</v>
      </c>
      <c r="K1" s="76" t="str">
        <f t="array" ref="K1">RTD("tickerplantrtdserver",,"FWRC1#USDJPY#Month Wise Rates#0#S#Desc.14")</f>
        <v>8M</v>
      </c>
      <c r="L1" s="76" t="str">
        <f t="array" ref="L1">RTD("tickerplantrtdserver",,"FWRC1#USDJPY#Month Wise Rates#0#S#Desc.15")</f>
        <v>9M</v>
      </c>
      <c r="M1" s="76" t="str">
        <f t="array" ref="M1">RTD("tickerplantrtdserver",,"FWRC1#USDJPY#Month Wise Rates#0#S#Desc.16")</f>
        <v>10M</v>
      </c>
      <c r="N1" s="76" t="str">
        <f t="array" ref="N1">RTD("tickerplantrtdserver",,"FWRC1#USDJPY#Month Wise Rates#0#S#Desc.17")</f>
        <v>11M</v>
      </c>
      <c r="O1" s="77" t="str">
        <f t="array" ref="O1">RTD("tickerplantrtdserver",,"FWRC1#USDJPY#Month Wise Rates#0#S#Desc.18")</f>
        <v>12M</v>
      </c>
    </row>
    <row r="2" spans="1:18" s="14" customFormat="1" ht="15.75" customHeight="1" x14ac:dyDescent="0.25">
      <c r="A2" s="159" t="s">
        <v>5</v>
      </c>
      <c r="B2" s="160"/>
      <c r="C2" s="71" t="str">
        <f t="array" ref="C2">RTD("tickerplantrtdserver",,"FWRC1#USDJPY#Month Wise Rates#0#S#PillarDate2")</f>
        <v>24-Sep-2020</v>
      </c>
      <c r="D2" s="71" t="str">
        <f t="array" ref="D2">RTD("tickerplantrtdserver",,"FWRC1#USDJPY#Month Wise Rates#0#S#PillarDate7")</f>
        <v>26-Oct-2020</v>
      </c>
      <c r="E2" s="71" t="str">
        <f t="array" ref="E2">RTD("tickerplantrtdserver",,"FWRC1#USDJPY#Month Wise Rates#0#S#PillarDate8")</f>
        <v>24-Nov-2020</v>
      </c>
      <c r="F2" s="71" t="str">
        <f t="array" ref="F2">RTD("tickerplantrtdserver",,"FWRC1#USDJPY#Month Wise Rates#0#S#PillarDate9")</f>
        <v>24-Dec-2020</v>
      </c>
      <c r="G2" s="71" t="str">
        <f t="array" ref="G2">RTD("tickerplantrtdserver",,"FWRC1#USDJPY#Month Wise Rates#0#S#PillarDate10")</f>
        <v>25-Jan-2021</v>
      </c>
      <c r="H2" s="71" t="str">
        <f t="array" ref="H2">RTD("tickerplantrtdserver",,"FWRC1#USDJPY#Month Wise Rates#0#S#PillarDate11")</f>
        <v>24-Feb-2021</v>
      </c>
      <c r="I2" s="71" t="str">
        <f t="array" ref="I2">RTD("tickerplantrtdserver",,"FWRC1#USDJPY#Month Wise Rates#0#S#PillarDate12")</f>
        <v>24-Mar-2021</v>
      </c>
      <c r="J2" s="71" t="str">
        <f t="array" ref="J2">RTD("tickerplantrtdserver",,"FWRC1#USDJPY#Month Wise Rates#0#S#PillarDate13")</f>
        <v>26-Apr-2021</v>
      </c>
      <c r="K2" s="71" t="str">
        <f t="array" ref="K2">RTD("tickerplantrtdserver",,"FWRC1#USDJPY#Month Wise Rates#0#S#PillarDate14")</f>
        <v>24-May-2021</v>
      </c>
      <c r="L2" s="71" t="str">
        <f t="array" ref="L2">RTD("tickerplantrtdserver",,"FWRC1#USDJPY#Month Wise Rates#0#S#PillarDate15")</f>
        <v>24-Jun-2021</v>
      </c>
      <c r="M2" s="71" t="str">
        <f t="array" ref="M2">RTD("tickerplantrtdserver",,"FWRC1#USDJPY#Month Wise Rates#0#S#PillarDate16")</f>
        <v>26-Jul-2021</v>
      </c>
      <c r="N2" s="71" t="str">
        <f t="array" ref="N2">RTD("tickerplantrtdserver",,"FWRC1#USDJPY#Month Wise Rates#0#S#PillarDate17")</f>
        <v>24-Aug-2021</v>
      </c>
      <c r="O2" s="75" t="str">
        <f t="array" ref="O2">RTD("tickerplantrtdserver",,"FWRC1#USDJPY#Month Wise Rates#0#S#PillarDate18")</f>
        <v>24-Sep-2021</v>
      </c>
      <c r="P2" s="30"/>
    </row>
    <row r="3" spans="1:18" s="14" customFormat="1" x14ac:dyDescent="0.25">
      <c r="A3" s="161" t="s">
        <v>4</v>
      </c>
      <c r="B3" s="162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8"/>
      <c r="P3" s="15"/>
    </row>
    <row r="4" spans="1:18" s="14" customFormat="1" x14ac:dyDescent="0.25">
      <c r="A4" s="159" t="s">
        <v>47</v>
      </c>
      <c r="B4" s="160"/>
      <c r="C4" s="65">
        <f t="array" ref="C4">RTD("tickerplantrtdserver",,"FWRC1#USDJPY#Month Wise Rates#0#BidPrice2")</f>
        <v>-0.13</v>
      </c>
      <c r="D4" s="65">
        <f t="array" ref="D4">RTD("tickerplantrtdserver",,"FWRC1#USDJPY#Month Wise Rates#0#BidPrice7")</f>
        <v>-4.76</v>
      </c>
      <c r="E4" s="65">
        <f t="array" ref="E4">RTD("tickerplantrtdserver",,"FWRC1#USDJPY#Month Wise Rates#0#BidPrice8")</f>
        <v>-8.2799999999999994</v>
      </c>
      <c r="F4" s="65">
        <f t="array" ref="F4">RTD("tickerplantrtdserver",,"FWRC1#USDJPY#Month Wise Rates#0#BidPrice9")</f>
        <v>-12.36</v>
      </c>
      <c r="G4" s="65">
        <f t="array" ref="G4">RTD("tickerplantrtdserver",,"FWRC1#USDJPY#Month Wise Rates#0#BidPrice10")</f>
        <v>-22.29</v>
      </c>
      <c r="H4" s="65">
        <f t="array" ref="H4">RTD("tickerplantrtdserver",,"FWRC1#USDJPY#Month Wise Rates#0#BidPrice11")</f>
        <v>-26.14</v>
      </c>
      <c r="I4" s="65">
        <f t="array" ref="I4">RTD("tickerplantrtdserver",,"FWRC1#USDJPY#Month Wise Rates#0#BidPrice12")</f>
        <v>-30.27</v>
      </c>
      <c r="J4" s="65">
        <f t="array" ref="J4">RTD("tickerplantrtdserver",,"FWRC1#USDJPY#Month Wise Rates#0#BidPrice13")</f>
        <v>-36.549999999999997</v>
      </c>
      <c r="K4" s="65">
        <f t="array" ref="K4">RTD("tickerplantrtdserver",,"FWRC1#USDJPY#Month Wise Rates#0#BidPrice14")</f>
        <v>-39.71</v>
      </c>
      <c r="L4" s="65">
        <f t="array" ref="L4">RTD("tickerplantrtdserver",,"FWRC1#USDJPY#Month Wise Rates#0#BidPrice15")</f>
        <v>-45.36</v>
      </c>
      <c r="M4" s="65">
        <f t="array" ref="M4">RTD("tickerplantrtdserver",,"FWRC1#USDJPY#Month Wise Rates#0#BidPrice16")</f>
        <v>-49.81</v>
      </c>
      <c r="N4" s="65">
        <f t="array" ref="N4">RTD("tickerplantrtdserver",,"FWRC1#USDJPY#Month Wise Rates#0#BidPrice17")</f>
        <v>-55.3</v>
      </c>
      <c r="O4" s="67">
        <f t="array" ref="O4">RTD("tickerplantrtdserver",,"FWRC1#USDJPY#Month Wise Rates#0#BidPrice18")</f>
        <v>-59.24</v>
      </c>
      <c r="P4" s="20"/>
    </row>
    <row r="5" spans="1:18" s="14" customFormat="1" x14ac:dyDescent="0.25">
      <c r="A5" s="159" t="s">
        <v>48</v>
      </c>
      <c r="B5" s="160"/>
      <c r="C5" s="65">
        <f t="array" ref="C5">RTD("tickerplantrtdserver",,"FWRC1#USDJPY#Month Wise Rates#0#AskPrice2")</f>
        <v>-0.05</v>
      </c>
      <c r="D5" s="65">
        <f t="array" ref="D5">RTD("tickerplantrtdserver",,"FWRC1#USDJPY#Month Wise Rates#0#AskPrice7")</f>
        <v>-4.66</v>
      </c>
      <c r="E5" s="65">
        <f t="array" ref="E5">RTD("tickerplantrtdserver",,"FWRC1#USDJPY#Month Wise Rates#0#AskPrice8")</f>
        <v>-7.99</v>
      </c>
      <c r="F5" s="65">
        <f t="array" ref="F5">RTD("tickerplantrtdserver",,"FWRC1#USDJPY#Month Wise Rates#0#AskPrice9")</f>
        <v>-12.11</v>
      </c>
      <c r="G5" s="65">
        <f t="array" ref="G5">RTD("tickerplantrtdserver",,"FWRC1#USDJPY#Month Wise Rates#0#AskPrice10")</f>
        <v>-20.79</v>
      </c>
      <c r="H5" s="65">
        <f t="array" ref="H5">RTD("tickerplantrtdserver",,"FWRC1#USDJPY#Month Wise Rates#0#AskPrice11")</f>
        <v>-24.64</v>
      </c>
      <c r="I5" s="65">
        <f t="array" ref="I5">RTD("tickerplantrtdserver",,"FWRC1#USDJPY#Month Wise Rates#0#AskPrice12")</f>
        <v>-28.77</v>
      </c>
      <c r="J5" s="65">
        <f t="array" ref="J5">RTD("tickerplantrtdserver",,"FWRC1#USDJPY#Month Wise Rates#0#AskPrice13")</f>
        <v>-34.19</v>
      </c>
      <c r="K5" s="65">
        <f t="array" ref="K5">RTD("tickerplantrtdserver",,"FWRC1#USDJPY#Month Wise Rates#0#AskPrice14")</f>
        <v>-37.71</v>
      </c>
      <c r="L5" s="65">
        <f t="array" ref="L5">RTD("tickerplantrtdserver",,"FWRC1#USDJPY#Month Wise Rates#0#AskPrice15")</f>
        <v>-43.36</v>
      </c>
      <c r="M5" s="65">
        <f t="array" ref="M5">RTD("tickerplantrtdserver",,"FWRC1#USDJPY#Month Wise Rates#0#AskPrice16")</f>
        <v>-48.31</v>
      </c>
      <c r="N5" s="65">
        <f t="array" ref="N5">RTD("tickerplantrtdserver",,"FWRC1#USDJPY#Month Wise Rates#0#AskPrice17")</f>
        <v>-51.8</v>
      </c>
      <c r="O5" s="67">
        <f t="array" ref="O5">RTD("tickerplantrtdserver",,"FWRC1#USDJPY#Month Wise Rates#0#AskPrice18")</f>
        <v>-57.24</v>
      </c>
      <c r="P5" s="20"/>
    </row>
    <row r="6" spans="1:18" s="14" customFormat="1" x14ac:dyDescent="0.25">
      <c r="A6" s="161" t="s">
        <v>3</v>
      </c>
      <c r="B6" s="162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8"/>
      <c r="P6" s="20"/>
    </row>
    <row r="7" spans="1:18" s="14" customFormat="1" x14ac:dyDescent="0.25">
      <c r="A7" s="159" t="s">
        <v>47</v>
      </c>
      <c r="B7" s="160"/>
      <c r="C7" s="65">
        <f t="array" ref="C7">RTD("tickerplantrtdserver",,"FWRC1#USDJPY#Month Wise Rates#0#FwdOutrightBid2")</f>
        <v>104.66249999999999</v>
      </c>
      <c r="D7" s="65">
        <f t="array" ref="D7">RTD("tickerplantrtdserver",,"FWRC1#USDJPY#Month Wise Rates#0#FwdOutrightBid7")</f>
        <v>104.6144</v>
      </c>
      <c r="E7" s="65">
        <f t="array" ref="E7">RTD("tickerplantrtdserver",,"FWRC1#USDJPY#Month Wise Rates#0#FwdOutrightBid8")</f>
        <v>104.5792</v>
      </c>
      <c r="F7" s="65">
        <f t="array" ref="F7">RTD("tickerplantrtdserver",,"FWRC1#USDJPY#Month Wise Rates#0#FwdOutrightBid9")</f>
        <v>104.5384</v>
      </c>
      <c r="G7" s="65">
        <f t="array" ref="G7">RTD("tickerplantrtdserver",,"FWRC1#USDJPY#Month Wise Rates#0#FwdOutrightBid10")</f>
        <v>104.4371</v>
      </c>
      <c r="H7" s="65">
        <f t="array" ref="H7">RTD("tickerplantrtdserver",,"FWRC1#USDJPY#Month Wise Rates#0#FwdOutrightBid11")</f>
        <v>104.4006</v>
      </c>
      <c r="I7" s="65">
        <f t="array" ref="I7">RTD("tickerplantrtdserver",,"FWRC1#USDJPY#Month Wise Rates#0#FwdOutrightBid12")</f>
        <v>104.3593</v>
      </c>
      <c r="J7" s="65">
        <f t="array" ref="J7">RTD("tickerplantrtdserver",,"FWRC1#USDJPY#Month Wise Rates#0#FwdOutrightBid13")</f>
        <v>104.29349999999999</v>
      </c>
      <c r="K7" s="65">
        <f t="array" ref="K7">RTD("tickerplantrtdserver",,"FWRC1#USDJPY#Month Wise Rates#0#FwdOutrightBid14")</f>
        <v>104.2649</v>
      </c>
      <c r="L7" s="65">
        <f t="array" ref="L7">RTD("tickerplantrtdserver",,"FWRC1#USDJPY#Month Wise Rates#0#FwdOutrightBid15")</f>
        <v>104.2114</v>
      </c>
      <c r="M7" s="65">
        <f t="array" ref="M7">RTD("tickerplantrtdserver",,"FWRC1#USDJPY#Month Wise Rates#0#FwdOutrightBid16")</f>
        <v>104.1669</v>
      </c>
      <c r="N7" s="65">
        <f t="array" ref="N7">RTD("tickerplantrtdserver",,"FWRC1#USDJPY#Month Wise Rates#0#FwdOutrightBid17")</f>
        <v>104.113</v>
      </c>
      <c r="O7" s="67">
        <f t="array" ref="O7">RTD("tickerplantrtdserver",,"FWRC1#USDJPY#Month Wise Rates#0#FwdOutrightBid18")</f>
        <v>104.0776</v>
      </c>
      <c r="P7" s="20"/>
    </row>
    <row r="8" spans="1:18" s="14" customFormat="1" x14ac:dyDescent="0.25">
      <c r="A8" s="159" t="s">
        <v>48</v>
      </c>
      <c r="B8" s="160"/>
      <c r="C8" s="65">
        <f t="array" ref="C8">RTD("tickerplantrtdserver",,"FWRC1#USDJPY#Month Wise Rates#0#FwdOutrightAsk2")</f>
        <v>104.6683</v>
      </c>
      <c r="D8" s="65">
        <f t="array" ref="D8">RTD("tickerplantrtdserver",,"FWRC1#USDJPY#Month Wise Rates#0#FwdOutrightAsk7")</f>
        <v>104.6204</v>
      </c>
      <c r="E8" s="65">
        <f t="array" ref="E8">RTD("tickerplantrtdserver",,"FWRC1#USDJPY#Month Wise Rates#0#FwdOutrightAsk8")</f>
        <v>104.58710000000001</v>
      </c>
      <c r="F8" s="65">
        <f t="array" ref="F8">RTD("tickerplantrtdserver",,"FWRC1#USDJPY#Month Wise Rates#0#FwdOutrightAsk9")</f>
        <v>104.5509</v>
      </c>
      <c r="G8" s="65">
        <f t="array" ref="G8">RTD("tickerplantrtdserver",,"FWRC1#USDJPY#Month Wise Rates#0#FwdOutrightAsk10")</f>
        <v>104.49209999999999</v>
      </c>
      <c r="H8" s="65">
        <f t="array" ref="H8">RTD("tickerplantrtdserver",,"FWRC1#USDJPY#Month Wise Rates#0#FwdOutrightAsk11")</f>
        <v>104.4166</v>
      </c>
      <c r="I8" s="65">
        <f t="array" ref="I8">RTD("tickerplantrtdserver",,"FWRC1#USDJPY#Month Wise Rates#0#FwdOutrightAsk12")</f>
        <v>104.3793</v>
      </c>
      <c r="J8" s="65">
        <f t="array" ref="J8">RTD("tickerplantrtdserver",,"FWRC1#USDJPY#Month Wise Rates#0#FwdOutrightAsk13")</f>
        <v>104.3241</v>
      </c>
      <c r="K8" s="65">
        <f t="array" ref="K8">RTD("tickerplantrtdserver",,"FWRC1#USDJPY#Month Wise Rates#0#FwdOutrightAsk14")</f>
        <v>104.2899</v>
      </c>
      <c r="L8" s="65">
        <f t="array" ref="L8">RTD("tickerplantrtdserver",,"FWRC1#USDJPY#Month Wise Rates#0#FwdOutrightAsk15")</f>
        <v>104.2334</v>
      </c>
      <c r="M8" s="65">
        <f t="array" ref="M8">RTD("tickerplantrtdserver",,"FWRC1#USDJPY#Month Wise Rates#0#FwdOutrightAsk16")</f>
        <v>104.18389999999999</v>
      </c>
      <c r="N8" s="65">
        <f t="array" ref="N8">RTD("tickerplantrtdserver",,"FWRC1#USDJPY#Month Wise Rates#0#FwdOutrightAsk17")</f>
        <v>104.149</v>
      </c>
      <c r="O8" s="67">
        <f t="array" ref="O8">RTD("tickerplantrtdserver",,"FWRC1#USDJPY#Month Wise Rates#0#FwdOutrightAsk18")</f>
        <v>104.13760000000001</v>
      </c>
    </row>
    <row r="9" spans="1:18" s="14" customFormat="1" x14ac:dyDescent="0.25">
      <c r="A9" s="161" t="s">
        <v>2</v>
      </c>
      <c r="B9" s="162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8"/>
    </row>
    <row r="10" spans="1:18" s="14" customFormat="1" x14ac:dyDescent="0.25">
      <c r="A10" s="159" t="s">
        <v>47</v>
      </c>
      <c r="B10" s="160"/>
      <c r="C10" s="65">
        <f t="array" ref="C10">RTD("tickerplantrtdserver",,"FWRC1#USDJPY#Month Wise Rates#0#Bid%2")</f>
        <v>-0.45329999999999998</v>
      </c>
      <c r="D10" s="65">
        <f t="array" ref="D10">RTD("tickerplantrtdserver",,"FWRC1#USDJPY#Month Wise Rates#0#Bid%7")</f>
        <v>-0.51870000000000005</v>
      </c>
      <c r="E10" s="65">
        <f t="array" ref="E10">RTD("tickerplantrtdserver",,"FWRC1#USDJPY#Month Wise Rates#0#Bid%8")</f>
        <v>-0.47339999999999999</v>
      </c>
      <c r="F10" s="65">
        <f t="array" ref="F10">RTD("tickerplantrtdserver",,"FWRC1#USDJPY#Month Wise Rates#0#Bid%9")</f>
        <v>-0.47360000000000002</v>
      </c>
      <c r="G10" s="65">
        <f t="array" ref="G10">RTD("tickerplantrtdserver",,"FWRC1#USDJPY#Month Wise Rates#0#Bid%10")</f>
        <v>-0.63180000000000003</v>
      </c>
      <c r="H10" s="65">
        <f t="array" ref="H10">RTD("tickerplantrtdserver",,"FWRC1#USDJPY#Month Wise Rates#0#Bid%11")</f>
        <v>-0.5958</v>
      </c>
      <c r="I10" s="65">
        <f t="array" ref="I10">RTD("tickerplantrtdserver",,"FWRC1#USDJPY#Month Wise Rates#0#Bid%12")</f>
        <v>-0.58320000000000005</v>
      </c>
      <c r="J10" s="65">
        <f t="array" ref="J10">RTD("tickerplantrtdserver",,"FWRC1#USDJPY#Month Wise Rates#0#Bid%13")</f>
        <v>-0.59560000000000002</v>
      </c>
      <c r="K10" s="65">
        <f t="array" ref="K10">RTD("tickerplantrtdserver",,"FWRC1#USDJPY#Month Wise Rates#0#Bid%14")</f>
        <v>-0.57220000000000004</v>
      </c>
      <c r="L10" s="65">
        <f t="array" ref="L10">RTD("tickerplantrtdserver",,"FWRC1#USDJPY#Month Wise Rates#0#Bid%15")</f>
        <v>-0.57940000000000003</v>
      </c>
      <c r="M10" s="65">
        <f t="array" ref="M10">RTD("tickerplantrtdserver",,"FWRC1#USDJPY#Month Wise Rates#0#Bid%16")</f>
        <v>-0.56950000000000001</v>
      </c>
      <c r="N10" s="65">
        <f t="array" ref="N10">RTD("tickerplantrtdserver",,"FWRC1#USDJPY#Month Wise Rates#0#Bid%17")</f>
        <v>-0.57740000000000002</v>
      </c>
      <c r="O10" s="67">
        <f t="array" ref="O10">RTD("tickerplantrtdserver",,"FWRC1#USDJPY#Month Wise Rates#0#Bid%18")</f>
        <v>-0.56579999999999997</v>
      </c>
    </row>
    <row r="11" spans="1:18" s="14" customFormat="1" ht="15.75" thickBot="1" x14ac:dyDescent="0.3">
      <c r="A11" s="163" t="s">
        <v>48</v>
      </c>
      <c r="B11" s="164"/>
      <c r="C11" s="69">
        <f t="array" ref="C11">RTD("tickerplantrtdserver",,"FWRC1#USDJPY#Month Wise Rates#0#Ask%2")</f>
        <v>-0.1744</v>
      </c>
      <c r="D11" s="69">
        <f t="array" ref="D11">RTD("tickerplantrtdserver",,"FWRC1#USDJPY#Month Wise Rates#0#Ask%7")</f>
        <v>-0.50790000000000002</v>
      </c>
      <c r="E11" s="69">
        <f t="array" ref="E11">RTD("tickerplantrtdserver",,"FWRC1#USDJPY#Month Wise Rates#0#Ask%8")</f>
        <v>-0.45679999999999998</v>
      </c>
      <c r="F11" s="69">
        <f t="array" ref="F11">RTD("tickerplantrtdserver",,"FWRC1#USDJPY#Month Wise Rates#0#Ask%9")</f>
        <v>-0.46410000000000001</v>
      </c>
      <c r="G11" s="69">
        <f t="array" ref="G11">RTD("tickerplantrtdserver",,"FWRC1#USDJPY#Month Wise Rates#0#Ask%10")</f>
        <v>-0.58950000000000002</v>
      </c>
      <c r="H11" s="69">
        <f t="array" ref="H11">RTD("tickerplantrtdserver",,"FWRC1#USDJPY#Month Wise Rates#0#Ask%11")</f>
        <v>-0.56159999999999999</v>
      </c>
      <c r="I11" s="69">
        <f t="array" ref="I11">RTD("tickerplantrtdserver",,"FWRC1#USDJPY#Month Wise Rates#0#Ask%12")</f>
        <v>-0.55430000000000001</v>
      </c>
      <c r="J11" s="69">
        <f t="array" ref="J11">RTD("tickerplantrtdserver",,"FWRC1#USDJPY#Month Wise Rates#0#Ask%13")</f>
        <v>-0.55720000000000003</v>
      </c>
      <c r="K11" s="69">
        <f t="array" ref="K11">RTD("tickerplantrtdserver",,"FWRC1#USDJPY#Month Wise Rates#0#Ask%14")</f>
        <v>-0.54339999999999999</v>
      </c>
      <c r="L11" s="69">
        <f t="array" ref="L11">RTD("tickerplantrtdserver",,"FWRC1#USDJPY#Month Wise Rates#0#Ask%15")</f>
        <v>-0.55389999999999995</v>
      </c>
      <c r="M11" s="69">
        <f t="array" ref="M11">RTD("tickerplantrtdserver",,"FWRC1#USDJPY#Month Wise Rates#0#Ask%16")</f>
        <v>-0.5524</v>
      </c>
      <c r="N11" s="69">
        <f t="array" ref="N11">RTD("tickerplantrtdserver",,"FWRC1#USDJPY#Month Wise Rates#0#Ask%17")</f>
        <v>-0.54079999999999995</v>
      </c>
      <c r="O11" s="70">
        <f t="array" ref="O11">RTD("tickerplantrtdserver",,"FWRC1#USDJPY#Month Wise Rates#0#Ask%18")</f>
        <v>-0.54690000000000005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L14" s="20"/>
      <c r="M14" s="20"/>
      <c r="N14" s="20"/>
      <c r="P14" s="31"/>
      <c r="Q14" s="31"/>
      <c r="R14" s="31"/>
    </row>
    <row r="15" spans="1:18" s="14" customFormat="1" x14ac:dyDescent="0.25">
      <c r="A15" s="13"/>
      <c r="B15" s="21"/>
      <c r="C15" s="21"/>
      <c r="D15" s="20"/>
      <c r="E15" s="20"/>
      <c r="G15" s="13"/>
      <c r="H15" s="20"/>
      <c r="I15" s="20"/>
      <c r="J15" s="20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21"/>
      <c r="C19" s="21"/>
      <c r="D19" s="58"/>
      <c r="E19" s="58"/>
      <c r="G19" s="15"/>
      <c r="H19" s="58"/>
      <c r="I19" s="58"/>
      <c r="J19" s="58"/>
      <c r="L19" s="15"/>
      <c r="P19" s="15"/>
    </row>
    <row r="20" spans="1:16" s="14" customFormat="1" x14ac:dyDescent="0.25">
      <c r="B20" s="21"/>
      <c r="C20" s="21"/>
      <c r="D20" s="58"/>
      <c r="E20" s="58"/>
      <c r="G20" s="15"/>
      <c r="H20" s="58"/>
      <c r="I20" s="58"/>
      <c r="J20" s="58"/>
      <c r="L20" s="13"/>
    </row>
    <row r="21" spans="1:16" x14ac:dyDescent="0.25">
      <c r="B21" s="21"/>
      <c r="C21" s="21"/>
      <c r="D21" s="58"/>
      <c r="E21" s="58"/>
      <c r="F21" s="14"/>
      <c r="G21" s="15"/>
      <c r="H21" s="58"/>
      <c r="I21" s="58"/>
      <c r="J21" s="58"/>
      <c r="K21" s="14"/>
      <c r="L21" s="13"/>
      <c r="M21" s="14"/>
      <c r="N21" s="14"/>
    </row>
    <row r="22" spans="1:16" x14ac:dyDescent="0.25"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5"/>
      <c r="M22" s="14"/>
      <c r="N22" s="14"/>
    </row>
    <row r="23" spans="1:16" x14ac:dyDescent="0.25">
      <c r="B23" s="21"/>
      <c r="C23" s="21"/>
      <c r="D23" s="58"/>
      <c r="E23" s="58"/>
      <c r="F23" s="14"/>
      <c r="G23" s="15"/>
      <c r="H23" s="58"/>
      <c r="I23" s="58"/>
      <c r="J23" s="58"/>
      <c r="K23" s="14"/>
      <c r="L23" s="13"/>
      <c r="M23" s="14"/>
      <c r="N23" s="14"/>
      <c r="O23" s="2"/>
    </row>
    <row r="24" spans="1:16" s="2" customFormat="1" x14ac:dyDescent="0.25"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3"/>
    </row>
    <row r="25" spans="1:16" x14ac:dyDescent="0.25">
      <c r="B25" s="21"/>
      <c r="C25" s="21"/>
      <c r="D25" s="58"/>
      <c r="E25" s="58"/>
      <c r="F25" s="14"/>
      <c r="G25" s="15"/>
      <c r="H25" s="58"/>
      <c r="I25" s="58"/>
      <c r="J25" s="58"/>
      <c r="K25" s="14"/>
      <c r="L25" s="15"/>
      <c r="M25" s="14"/>
      <c r="N25" s="14"/>
    </row>
    <row r="26" spans="1:16" x14ac:dyDescent="0.25"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</row>
    <row r="27" spans="1:16" x14ac:dyDescent="0.25">
      <c r="B27" s="21"/>
      <c r="C27" s="21"/>
      <c r="D27" s="58"/>
      <c r="E27" s="58"/>
      <c r="F27" s="14"/>
      <c r="G27" s="15"/>
      <c r="H27" s="58"/>
      <c r="I27" s="58"/>
      <c r="J27" s="58"/>
      <c r="K27" s="14"/>
      <c r="L27" s="13"/>
      <c r="M27" s="14"/>
      <c r="N27" s="14"/>
    </row>
    <row r="28" spans="1:16" x14ac:dyDescent="0.25"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5"/>
      <c r="M28" s="14"/>
      <c r="N28" s="14"/>
    </row>
    <row r="29" spans="1:16" x14ac:dyDescent="0.25">
      <c r="B29" s="21"/>
      <c r="C29" s="21"/>
      <c r="D29" s="58"/>
      <c r="E29" s="58"/>
      <c r="F29" s="14"/>
      <c r="G29" s="15"/>
      <c r="H29" s="58"/>
      <c r="I29" s="58"/>
      <c r="J29" s="58"/>
      <c r="K29" s="14"/>
      <c r="L29" s="13"/>
      <c r="M29" s="14"/>
      <c r="N29" s="14"/>
    </row>
    <row r="30" spans="1:16" x14ac:dyDescent="0.25"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</row>
    <row r="31" spans="1:16" x14ac:dyDescent="0.25">
      <c r="B31" s="21"/>
      <c r="C31" s="21"/>
      <c r="D31" s="58"/>
      <c r="E31" s="58"/>
      <c r="F31" s="14"/>
      <c r="G31" s="15"/>
      <c r="H31" s="58"/>
      <c r="I31" s="58"/>
      <c r="J31" s="58"/>
      <c r="K31" s="14"/>
      <c r="L31" s="15"/>
      <c r="M31" s="14"/>
      <c r="N31" s="14"/>
    </row>
    <row r="32" spans="1:16" x14ac:dyDescent="0.25"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</row>
    <row r="33" spans="1:14" x14ac:dyDescent="0.25">
      <c r="B33" s="21"/>
      <c r="C33" s="21"/>
      <c r="D33" s="58"/>
      <c r="E33" s="58"/>
      <c r="F33" s="14"/>
      <c r="G33" s="15"/>
      <c r="H33" s="58"/>
      <c r="I33" s="58"/>
      <c r="J33" s="58"/>
      <c r="K33" s="14"/>
      <c r="L33" s="13"/>
      <c r="M33" s="14"/>
      <c r="N33" s="14"/>
    </row>
    <row r="36" spans="1:14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15"/>
  <sheetViews>
    <sheetView workbookViewId="0"/>
  </sheetViews>
  <sheetFormatPr defaultRowHeight="15" x14ac:dyDescent="0.25"/>
  <cols>
    <col min="2" max="2" width="9.140625" style="78"/>
  </cols>
  <sheetData>
    <row r="1" spans="1:18" ht="15.75" thickBot="1" x14ac:dyDescent="0.3">
      <c r="C1" s="171" t="s">
        <v>13</v>
      </c>
      <c r="D1" s="169"/>
      <c r="E1" s="169" t="s">
        <v>12</v>
      </c>
      <c r="F1" s="169"/>
      <c r="G1" s="169" t="s">
        <v>11</v>
      </c>
      <c r="H1" s="169"/>
      <c r="I1" s="169" t="s">
        <v>10</v>
      </c>
      <c r="J1" s="169"/>
      <c r="K1" s="169" t="s">
        <v>9</v>
      </c>
      <c r="L1" s="169"/>
      <c r="M1" s="169" t="s">
        <v>8</v>
      </c>
      <c r="N1" s="169"/>
      <c r="O1" s="169" t="s">
        <v>7</v>
      </c>
      <c r="P1" s="170"/>
    </row>
    <row r="2" spans="1:18" ht="15.75" thickBot="1" x14ac:dyDescent="0.3">
      <c r="B2" s="80" t="s">
        <v>53</v>
      </c>
      <c r="C2" s="82" t="s">
        <v>26</v>
      </c>
      <c r="D2" s="79" t="s">
        <v>24</v>
      </c>
      <c r="E2" s="79" t="s">
        <v>26</v>
      </c>
      <c r="F2" s="79" t="s">
        <v>24</v>
      </c>
      <c r="G2" s="79" t="s">
        <v>26</v>
      </c>
      <c r="H2" s="79" t="s">
        <v>24</v>
      </c>
      <c r="I2" s="79" t="s">
        <v>26</v>
      </c>
      <c r="J2" s="79" t="s">
        <v>24</v>
      </c>
      <c r="K2" s="79" t="s">
        <v>26</v>
      </c>
      <c r="L2" s="79" t="s">
        <v>24</v>
      </c>
      <c r="M2" s="79" t="s">
        <v>26</v>
      </c>
      <c r="N2" s="79" t="s">
        <v>24</v>
      </c>
      <c r="O2" s="79" t="s">
        <v>26</v>
      </c>
      <c r="P2" s="85" t="s">
        <v>24</v>
      </c>
      <c r="Q2" s="57"/>
      <c r="R2" s="57"/>
    </row>
    <row r="3" spans="1:18" ht="15.75" thickBot="1" x14ac:dyDescent="0.3">
      <c r="A3" t="s">
        <v>42</v>
      </c>
      <c r="B3" s="98">
        <v>2</v>
      </c>
      <c r="C3" s="86">
        <f t="array" ref="C3">RTD("tickerplantrtdserver",,"FWRC1#USDINR#Month Wise Rates#0#BidPrice0")</f>
        <v>73.59</v>
      </c>
      <c r="D3" s="87">
        <f t="array" ref="D3">RTD("tickerplantrtdserver",,"FWRC1#USDINR#Month Wise Rates#0#AskPrice0")</f>
        <v>73.599999999999994</v>
      </c>
      <c r="E3" s="87">
        <f t="array" ref="E3">RTD("tickerplantrtdserver",,"FWRC1#EURINR#Month Wise Rates#0#BidPrice0")</f>
        <v>86.3125</v>
      </c>
      <c r="F3" s="87">
        <f t="array" ref="F3">RTD("tickerplantrtdserver",,"FWRC1#EURINR#Month Wise Rates#0#AskPrice0")</f>
        <v>86.33</v>
      </c>
      <c r="G3" s="87">
        <f t="array" ref="G3">RTD("tickerplantrtdserver",,"FWRC1#GBPINR#Month Wise Rates#0#BidPrice0")</f>
        <v>94.182500000000005</v>
      </c>
      <c r="H3" s="87">
        <f t="array" ref="H3">RTD("tickerplantrtdserver",,"FWRC1#GBPINR#Month Wise Rates#0#AskPrice0")</f>
        <v>94.21</v>
      </c>
      <c r="I3" s="88">
        <f t="array" ref="I3">RTD("tickerplantrtdserver",,"FWRC1#JPYINR#Month Wise Rates#0#BidPrice0")</f>
        <v>70.307500000000005</v>
      </c>
      <c r="J3" s="88">
        <f t="array" ref="J3">RTD("tickerplantrtdserver",,"FWRC1#JPYINR#Month Wise Rates#0#AskPrice0")</f>
        <v>70.325000000000003</v>
      </c>
      <c r="K3" s="88">
        <f t="array" ref="K3">RTD("tickerplantrtdserver",,"FWRC1#EURUSD#Month Wise Rates#0#BidPrice0")</f>
        <v>1.1729000000000001</v>
      </c>
      <c r="L3" s="88">
        <f t="array" ref="L3">RTD("tickerplantrtdserver",,"FWRC1#EURUSD#Month Wise Rates#0#AskPrice0")</f>
        <v>1.1729000000000001</v>
      </c>
      <c r="M3" s="88">
        <f t="array" ref="M3">RTD("tickerplantrtdserver",,"FWRC1#GBPUSD#Month Wise Rates#0#BidPrice0")</f>
        <v>1.27976</v>
      </c>
      <c r="N3" s="88">
        <f t="array" ref="N3">RTD("tickerplantrtdserver",,"FWRC1#GBPUSD#Month Wise Rates#0#AskPrice0")</f>
        <v>1.2799700000000001</v>
      </c>
      <c r="O3" s="89">
        <f t="array" ref="O3">RTD("tickerplantrtdserver",,"FWRC1#USDJPY#Month Wise Rates#0#BidPrice0")</f>
        <v>104.666</v>
      </c>
      <c r="P3" s="90">
        <f t="array" ref="P3">RTD("tickerplantrtdserver",,"FWRC1#USDJPY#Month Wise Rates#0#AskPrice0")</f>
        <v>104.667</v>
      </c>
    </row>
    <row r="4" spans="1:18" ht="15" customHeight="1" x14ac:dyDescent="0.25">
      <c r="A4" s="101" t="s">
        <v>36</v>
      </c>
      <c r="B4" s="99">
        <v>33</v>
      </c>
      <c r="C4" s="91">
        <f t="array" ref="C4">RTD("tickerplantrtdserver",,"FWRC1#USDINR#Month Wise Rates#0#BidPrice7")</f>
        <v>24.6983</v>
      </c>
      <c r="D4" s="83">
        <f t="array" ref="D4">RTD("tickerplantrtdserver",,"FWRC1#USDINR#Month Wise Rates#0#AskPrice7")</f>
        <v>25.8017</v>
      </c>
      <c r="E4" s="81">
        <f t="array" ref="E4">RTD("tickerplantrtdserver",,"FWRC1#EURINR#Month Wise Rates#0#BidPrice7")</f>
        <v>34.207000000000001</v>
      </c>
      <c r="F4" s="81">
        <f t="array" ref="F4">RTD("tickerplantrtdserver",,"FWRC1#EURINR#Month Wise Rates#0#AskPrice7")</f>
        <v>35.681600000000003</v>
      </c>
      <c r="G4" s="81">
        <f>RTD("tickerplantrtdserver",,"FWRC1#GBPINR#Month Wise Rates#0#BidPrice7")/100</f>
        <v>32.362710999999997</v>
      </c>
      <c r="H4" s="81">
        <f>RTD("tickerplantrtdserver",,"FWRC1#GBPINR#Month Wise Rates#0#AskPrice7")/100</f>
        <v>34.032766000000002</v>
      </c>
      <c r="I4" s="84" t="e">
        <f>RTD("tickerplantrtdserver",,"FWRC1#JPYINR#Month Wise Rates#0#BidPrice7")/100</f>
        <v>#VALUE!</v>
      </c>
      <c r="J4" s="84" t="e">
        <f>RTD("tickerplantrtdserver",,"FWRC1#JPYINR#Month Wise Rates#0#AskPrice7")/100</f>
        <v>#VALUE!</v>
      </c>
      <c r="K4" s="84">
        <f t="array" ref="K4">RTD("tickerplantrtdserver",,"FWRC1#EURUSD#Month Wise Rates#0#BidPrice7")</f>
        <v>7.98</v>
      </c>
      <c r="L4" s="84">
        <f t="array" ref="L4">RTD("tickerplantrtdserver",,"FWRC1#EURUSD#Month Wise Rates#0#AskPrice7")</f>
        <v>8.18</v>
      </c>
      <c r="M4" s="84">
        <f t="array" ref="M4">RTD("tickerplantrtdserver",,"FWRC1#GBPUSD#Month Wise Rates#0#BidPrice7")</f>
        <v>2</v>
      </c>
      <c r="N4" s="84">
        <f t="array" ref="N4">RTD("tickerplantrtdserver",,"FWRC1#GBPUSD#Month Wise Rates#0#AskPrice7")</f>
        <v>2.2999999999999998</v>
      </c>
      <c r="O4" s="84">
        <f t="array" ref="O4">RTD("tickerplantrtdserver",,"FWRC1#USDJPY#Month Wise Rates#0#BidPrice7")</f>
        <v>-4.76</v>
      </c>
      <c r="P4" s="92">
        <f t="array" ref="P4">RTD("tickerplantrtdserver",,"FWRC1#USDJPY#Month Wise Rates#0#AskPrice7")</f>
        <v>-4.66</v>
      </c>
    </row>
    <row r="5" spans="1:18" x14ac:dyDescent="0.25">
      <c r="A5" s="102" t="s">
        <v>37</v>
      </c>
      <c r="B5" s="99">
        <v>61</v>
      </c>
      <c r="C5" s="93">
        <f t="array" ref="C5">RTD("tickerplantrtdserver",,"FWRC1#USDINR#Month Wise Rates#0#BidPrice8")</f>
        <v>47.396599999999999</v>
      </c>
      <c r="D5" s="81">
        <f t="array" ref="D5">RTD("tickerplantrtdserver",,"FWRC1#USDINR#Month Wise Rates#0#AskPrice8")</f>
        <v>48.396599999999999</v>
      </c>
      <c r="E5" s="81">
        <f t="array" ref="E5">RTD("tickerplantrtdserver",,"FWRC1#EURINR#Month Wise Rates#0#BidPrice8")</f>
        <v>64.322500000000005</v>
      </c>
      <c r="F5" s="81">
        <f t="array" ref="F5">RTD("tickerplantrtdserver",,"FWRC1#EURINR#Month Wise Rates#0#AskPrice8")</f>
        <v>65.801000000000002</v>
      </c>
      <c r="G5" s="81">
        <f>RTD("tickerplantrtdserver",,"FWRC1#GBPINR#Month Wise Rates#0#BidPrice8")/100</f>
        <v>60.809502000000002</v>
      </c>
      <c r="H5" s="81">
        <f>RTD("tickerplantrtdserver",,"FWRC1#GBPINR#Month Wise Rates#0#AskPrice8")/100</f>
        <v>62.463732</v>
      </c>
      <c r="I5" s="84">
        <f>RTD("tickerplantrtdserver",,"FWRC1#JPYINR#Month Wise Rates#0#BidPrice8")/100</f>
        <v>48.714104999999996</v>
      </c>
      <c r="J5" s="84">
        <f>RTD("tickerplantrtdserver",,"FWRC1#JPYINR#Month Wise Rates#0#AskPrice8")/100</f>
        <v>49.887999000000001</v>
      </c>
      <c r="K5" s="84">
        <f t="array" ref="K5">RTD("tickerplantrtdserver",,"FWRC1#EURUSD#Month Wise Rates#0#BidPrice8")</f>
        <v>15.02</v>
      </c>
      <c r="L5" s="84">
        <f t="array" ref="L5">RTD("tickerplantrtdserver",,"FWRC1#EURUSD#Month Wise Rates#0#AskPrice8")</f>
        <v>15.42</v>
      </c>
      <c r="M5" s="84">
        <f t="array" ref="M5">RTD("tickerplantrtdserver",,"FWRC1#GBPUSD#Month Wise Rates#0#BidPrice8")</f>
        <v>3.74</v>
      </c>
      <c r="N5" s="84">
        <f t="array" ref="N5">RTD("tickerplantrtdserver",,"FWRC1#GBPUSD#Month Wise Rates#0#AskPrice8")</f>
        <v>4.24</v>
      </c>
      <c r="O5" s="84">
        <f t="array" ref="O5">RTD("tickerplantrtdserver",,"FWRC1#USDJPY#Month Wise Rates#0#BidPrice8")</f>
        <v>-8.2799999999999994</v>
      </c>
      <c r="P5" s="92">
        <f t="array" ref="P5">RTD("tickerplantrtdserver",,"FWRC1#USDJPY#Month Wise Rates#0#AskPrice8")</f>
        <v>-7.99</v>
      </c>
    </row>
    <row r="6" spans="1:18" x14ac:dyDescent="0.25">
      <c r="A6" s="102" t="s">
        <v>35</v>
      </c>
      <c r="B6" s="99">
        <v>92</v>
      </c>
      <c r="C6" s="93">
        <f t="array" ref="C6">RTD("tickerplantrtdserver",,"FWRC1#USDINR#Month Wise Rates#0#BidPrice9")</f>
        <v>70.992599999999996</v>
      </c>
      <c r="D6" s="81">
        <f t="array" ref="D6">RTD("tickerplantrtdserver",,"FWRC1#USDINR#Month Wise Rates#0#AskPrice9")</f>
        <v>72.786799999999999</v>
      </c>
      <c r="E6" s="81" t="str">
        <f t="array" ref="E6">RTD("tickerplantrtdserver",,"FWRC1#EURINR#Month Wise Rates#0#BidPrice9")</f>
        <v/>
      </c>
      <c r="F6" s="81" t="str">
        <f t="array" ref="F6">RTD("tickerplantrtdserver",,"FWRC1#EURINR#Month Wise Rates#0#AskPrice9")</f>
        <v/>
      </c>
      <c r="G6" s="81">
        <f>RTD("tickerplantrtdserver",,"FWRC1#GBPINR#Month Wise Rates#0#BidPrice9")/100</f>
        <v>94.209483999999989</v>
      </c>
      <c r="H6" s="81">
        <f>RTD("tickerplantrtdserver",,"FWRC1#GBPINR#Month Wise Rates#0#AskPrice9")/100</f>
        <v>97.008945999999995</v>
      </c>
      <c r="I6" s="84">
        <f>RTD("tickerplantrtdserver",,"FWRC1#JPYINR#Month Wise Rates#0#BidPrice9")/100</f>
        <v>75.313468</v>
      </c>
      <c r="J6" s="84">
        <f>RTD("tickerplantrtdserver",,"FWRC1#JPYINR#Month Wise Rates#0#AskPrice9")/100</f>
        <v>77.183599000000001</v>
      </c>
      <c r="K6" s="84">
        <f t="array" ref="K6">RTD("tickerplantrtdserver",,"FWRC1#EURUSD#Month Wise Rates#0#BidPrice9")</f>
        <v>22.5</v>
      </c>
      <c r="L6" s="84">
        <f t="array" ref="L6">RTD("tickerplantrtdserver",,"FWRC1#EURUSD#Month Wise Rates#0#AskPrice9")</f>
        <v>22.83</v>
      </c>
      <c r="M6" s="84">
        <f t="array" ref="M6">RTD("tickerplantrtdserver",,"FWRC1#GBPUSD#Month Wise Rates#0#BidPrice9")</f>
        <v>5.4</v>
      </c>
      <c r="N6" s="84">
        <f t="array" ref="N6">RTD("tickerplantrtdserver",,"FWRC1#GBPUSD#Month Wise Rates#0#AskPrice9")</f>
        <v>6.1</v>
      </c>
      <c r="O6" s="84">
        <f t="array" ref="O6">RTD("tickerplantrtdserver",,"FWRC1#USDJPY#Month Wise Rates#0#BidPrice9")</f>
        <v>-12.36</v>
      </c>
      <c r="P6" s="92">
        <f t="array" ref="P6">RTD("tickerplantrtdserver",,"FWRC1#USDJPY#Month Wise Rates#0#AskPrice9")</f>
        <v>-12.11</v>
      </c>
    </row>
    <row r="7" spans="1:18" x14ac:dyDescent="0.25">
      <c r="A7" s="102" t="s">
        <v>38</v>
      </c>
      <c r="B7" s="99">
        <v>125</v>
      </c>
      <c r="C7" s="93">
        <f t="array" ref="C7">RTD("tickerplantrtdserver",,"FWRC1#USDINR#Month Wise Rates#0#BidPrice10")</f>
        <v>97.620699999999999</v>
      </c>
      <c r="D7" s="81">
        <f t="array" ref="D7">RTD("tickerplantrtdserver",,"FWRC1#USDINR#Month Wise Rates#0#AskPrice10")</f>
        <v>99.189700000000002</v>
      </c>
      <c r="E7" s="81">
        <f t="array" ref="E7">RTD("tickerplantrtdserver",,"FWRC1#EURINR#Month Wise Rates#0#BidPrice10")</f>
        <v>140.25389999999999</v>
      </c>
      <c r="F7" s="81">
        <f t="array" ref="F7">RTD("tickerplantrtdserver",,"FWRC1#EURINR#Month Wise Rates#0#AskPrice10")</f>
        <v>142.4785</v>
      </c>
      <c r="G7" s="81">
        <f>RTD("tickerplantrtdserver",,"FWRC1#GBPINR#Month Wise Rates#0#BidPrice10")/100</f>
        <v>133.44528200000002</v>
      </c>
      <c r="H7" s="81">
        <f>RTD("tickerplantrtdserver",,"FWRC1#GBPINR#Month Wise Rates#0#AskPrice10")/100</f>
        <v>135.878928</v>
      </c>
      <c r="I7" s="84">
        <f>RTD("tickerplantrtdserver",,"FWRC1#JPYINR#Month Wise Rates#0#BidPrice10")/100</f>
        <v>107.363573</v>
      </c>
      <c r="J7" s="84">
        <f>RTD("tickerplantrtdserver",,"FWRC1#JPYINR#Month Wise Rates#0#AskPrice10")/100</f>
        <v>109.939426</v>
      </c>
      <c r="K7" s="84">
        <f t="array" ref="K7">RTD("tickerplantrtdserver",,"FWRC1#EURUSD#Month Wise Rates#0#BidPrice10")</f>
        <v>34.5</v>
      </c>
      <c r="L7" s="84">
        <f t="array" ref="L7">RTD("tickerplantrtdserver",,"FWRC1#EURUSD#Month Wise Rates#0#AskPrice10")</f>
        <v>34.75</v>
      </c>
      <c r="M7" s="84">
        <f t="array" ref="M7">RTD("tickerplantrtdserver",,"FWRC1#GBPUSD#Month Wise Rates#0#BidPrice10")</f>
        <v>11.4</v>
      </c>
      <c r="N7" s="84">
        <f t="array" ref="N7">RTD("tickerplantrtdserver",,"FWRC1#GBPUSD#Month Wise Rates#0#AskPrice10")</f>
        <v>11.9</v>
      </c>
      <c r="O7" s="84">
        <f t="array" ref="O7">RTD("tickerplantrtdserver",,"FWRC1#USDJPY#Month Wise Rates#0#BidPrice10")</f>
        <v>-22.29</v>
      </c>
      <c r="P7" s="92">
        <f t="array" ref="P7">RTD("tickerplantrtdserver",,"FWRC1#USDJPY#Month Wise Rates#0#AskPrice10")</f>
        <v>-20.79</v>
      </c>
    </row>
    <row r="8" spans="1:18" x14ac:dyDescent="0.25">
      <c r="A8" s="102" t="s">
        <v>39</v>
      </c>
      <c r="B8" s="99">
        <v>153</v>
      </c>
      <c r="C8" s="93">
        <f t="array" ref="C8">RTD("tickerplantrtdserver",,"FWRC1#USDINR#Month Wise Rates#0#BidPrice11")</f>
        <v>122.3571</v>
      </c>
      <c r="D8" s="81">
        <f t="array" ref="D8">RTD("tickerplantrtdserver",,"FWRC1#USDINR#Month Wise Rates#0#AskPrice11")</f>
        <v>123.8571</v>
      </c>
      <c r="E8" s="81" t="str">
        <f t="array" ref="E8">RTD("tickerplantrtdserver",,"FWRC1#EURINR#Month Wise Rates#0#BidPrice11")</f>
        <v/>
      </c>
      <c r="F8" s="81" t="str">
        <f t="array" ref="F8">RTD("tickerplantrtdserver",,"FWRC1#EURINR#Month Wise Rates#0#AskPrice11")</f>
        <v/>
      </c>
      <c r="G8" s="81">
        <f>RTD("tickerplantrtdserver",,"FWRC1#GBPINR#Month Wise Rates#0#BidPrice11")/100</f>
        <v>166.34285199999999</v>
      </c>
      <c r="H8" s="81">
        <f>RTD("tickerplantrtdserver",,"FWRC1#GBPINR#Month Wise Rates#0#AskPrice11")/100</f>
        <v>168.702224</v>
      </c>
      <c r="I8" s="84">
        <f>RTD("tickerplantrtdserver",,"FWRC1#JPYINR#Month Wise Rates#0#BidPrice11")/100</f>
        <v>133.88477699999999</v>
      </c>
      <c r="J8" s="84">
        <f>RTD("tickerplantrtdserver",,"FWRC1#JPYINR#Month Wise Rates#0#AskPrice11")/100</f>
        <v>136.360119</v>
      </c>
      <c r="K8" s="84">
        <f t="array" ref="K8">RTD("tickerplantrtdserver",,"FWRC1#EURUSD#Month Wise Rates#0#BidPrice11")</f>
        <v>41.89</v>
      </c>
      <c r="L8" s="84">
        <f t="array" ref="L8">RTD("tickerplantrtdserver",,"FWRC1#EURUSD#Month Wise Rates#0#AskPrice11")</f>
        <v>42.3</v>
      </c>
      <c r="M8" s="84">
        <f t="array" ref="M8">RTD("tickerplantrtdserver",,"FWRC1#GBPUSD#Month Wise Rates#0#BidPrice11")</f>
        <v>13</v>
      </c>
      <c r="N8" s="84">
        <f t="array" ref="N8">RTD("tickerplantrtdserver",,"FWRC1#GBPUSD#Month Wise Rates#0#AskPrice11")</f>
        <v>13.5</v>
      </c>
      <c r="O8" s="84">
        <f t="array" ref="O8">RTD("tickerplantrtdserver",,"FWRC1#USDJPY#Month Wise Rates#0#BidPrice11")</f>
        <v>-26.14</v>
      </c>
      <c r="P8" s="92">
        <f t="array" ref="P8">RTD("tickerplantrtdserver",,"FWRC1#USDJPY#Month Wise Rates#0#AskPrice11")</f>
        <v>-24.64</v>
      </c>
    </row>
    <row r="9" spans="1:18" x14ac:dyDescent="0.25">
      <c r="A9" s="102" t="s">
        <v>34</v>
      </c>
      <c r="B9" s="99">
        <v>184</v>
      </c>
      <c r="C9" s="93">
        <f t="array" ref="C9">RTD("tickerplantrtdserver",,"FWRC1#USDINR#Month Wise Rates#0#BidPrice12")</f>
        <v>146.06059999999999</v>
      </c>
      <c r="D9" s="81">
        <f t="array" ref="D9">RTD("tickerplantrtdserver",,"FWRC1#USDINR#Month Wise Rates#0#AskPrice12")</f>
        <v>147.56059999999999</v>
      </c>
      <c r="E9" s="81" t="str">
        <f t="array" ref="E9">RTD("tickerplantrtdserver",,"FWRC1#EURINR#Month Wise Rates#0#BidPrice12")</f>
        <v/>
      </c>
      <c r="F9" s="81" t="str">
        <f t="array" ref="F9">RTD("tickerplantrtdserver",,"FWRC1#EURINR#Month Wise Rates#0#AskPrice12")</f>
        <v/>
      </c>
      <c r="G9" s="81">
        <f>RTD("tickerplantrtdserver",,"FWRC1#GBPINR#Month Wise Rates#0#BidPrice12")/100</f>
        <v>197.72022899999999</v>
      </c>
      <c r="H9" s="81">
        <f>RTD("tickerplantrtdserver",,"FWRC1#GBPINR#Month Wise Rates#0#AskPrice12")/100</f>
        <v>200.37811500000001</v>
      </c>
      <c r="I9" s="84">
        <f>RTD("tickerplantrtdserver",,"FWRC1#JPYINR#Month Wise Rates#0#BidPrice12")/100</f>
        <v>159.18105299999999</v>
      </c>
      <c r="J9" s="84">
        <f>RTD("tickerplantrtdserver",,"FWRC1#JPYINR#Month Wise Rates#0#AskPrice12")/100</f>
        <v>161.659018</v>
      </c>
      <c r="K9" s="84">
        <f t="array" ref="K9">RTD("tickerplantrtdserver",,"FWRC1#EURUSD#Month Wise Rates#0#BidPrice12")</f>
        <v>48.84</v>
      </c>
      <c r="L9" s="84">
        <f t="array" ref="L9">RTD("tickerplantrtdserver",,"FWRC1#EURUSD#Month Wise Rates#0#AskPrice12")</f>
        <v>49.45</v>
      </c>
      <c r="M9" s="84">
        <f t="array" ref="M9">RTD("tickerplantrtdserver",,"FWRC1#GBPUSD#Month Wise Rates#0#BidPrice12")</f>
        <v>14.36</v>
      </c>
      <c r="N9" s="84">
        <f t="array" ref="N9">RTD("tickerplantrtdserver",,"FWRC1#GBPUSD#Month Wise Rates#0#AskPrice12")</f>
        <v>15.24</v>
      </c>
      <c r="O9" s="84">
        <f t="array" ref="O9">RTD("tickerplantrtdserver",,"FWRC1#USDJPY#Month Wise Rates#0#BidPrice12")</f>
        <v>-30.27</v>
      </c>
      <c r="P9" s="92">
        <f t="array" ref="P9">RTD("tickerplantrtdserver",,"FWRC1#USDJPY#Month Wise Rates#0#AskPrice12")</f>
        <v>-28.77</v>
      </c>
    </row>
    <row r="10" spans="1:18" x14ac:dyDescent="0.25">
      <c r="A10" s="102" t="s">
        <v>43</v>
      </c>
      <c r="B10" s="99">
        <v>215</v>
      </c>
      <c r="C10" s="93">
        <f t="array" ref="C10">RTD("tickerplantrtdserver",,"FWRC1#USDINR#Month Wise Rates#0#BidPrice13")</f>
        <v>185.8</v>
      </c>
      <c r="D10" s="81">
        <f t="array" ref="D10">RTD("tickerplantrtdserver",,"FWRC1#USDINR#Month Wise Rates#0#AskPrice13")</f>
        <v>187.3</v>
      </c>
      <c r="E10" s="81">
        <f t="array" ref="E10">RTD("tickerplantrtdserver",,"FWRC1#EURINR#Month Wise Rates#0#BidPrice13")</f>
        <v>261.47629999999998</v>
      </c>
      <c r="F10" s="81">
        <f t="array" ref="F10">RTD("tickerplantrtdserver",,"FWRC1#EURINR#Month Wise Rates#0#AskPrice13")</f>
        <v>265.89580000000001</v>
      </c>
      <c r="G10" s="81">
        <f>RTD("tickerplantrtdserver",,"FWRC1#GBPINR#Month Wise Rates#0#BidPrice13")/100</f>
        <v>249.96972099999999</v>
      </c>
      <c r="H10" s="81">
        <f>RTD("tickerplantrtdserver",,"FWRC1#GBPINR#Month Wise Rates#0#AskPrice13")/100</f>
        <v>253.07060399999997</v>
      </c>
      <c r="I10" s="84">
        <f>RTD("tickerplantrtdserver",,"FWRC1#JPYINR#Month Wise Rates#0#BidPrice13")/100</f>
        <v>201.04859300000001</v>
      </c>
      <c r="J10" s="84">
        <f>RTD("tickerplantrtdserver",,"FWRC1#JPYINR#Month Wise Rates#0#AskPrice13")/100</f>
        <v>203.88256000000001</v>
      </c>
      <c r="K10" s="84">
        <f t="array" ref="K10">RTD("tickerplantrtdserver",,"FWRC1#EURUSD#Month Wise Rates#0#BidPrice13")</f>
        <v>57.44</v>
      </c>
      <c r="L10" s="84">
        <f t="array" ref="L10">RTD("tickerplantrtdserver",,"FWRC1#EURUSD#Month Wise Rates#0#AskPrice13")</f>
        <v>58.55</v>
      </c>
      <c r="M10" s="84">
        <f t="array" ref="M10">RTD("tickerplantrtdserver",,"FWRC1#GBPUSD#Month Wise Rates#0#BidPrice13")</f>
        <v>16.14</v>
      </c>
      <c r="N10" s="84">
        <f t="array" ref="N10">RTD("tickerplantrtdserver",,"FWRC1#GBPUSD#Month Wise Rates#0#AskPrice13")</f>
        <v>17.649999999999999</v>
      </c>
      <c r="O10" s="84">
        <f t="array" ref="O10">RTD("tickerplantrtdserver",,"FWRC1#USDJPY#Month Wise Rates#0#BidPrice13")</f>
        <v>-36.549999999999997</v>
      </c>
      <c r="P10" s="92">
        <f t="array" ref="P10">RTD("tickerplantrtdserver",,"FWRC1#USDJPY#Month Wise Rates#0#AskPrice13")</f>
        <v>-34.19</v>
      </c>
    </row>
    <row r="11" spans="1:18" x14ac:dyDescent="0.25">
      <c r="A11" s="102" t="s">
        <v>44</v>
      </c>
      <c r="B11" s="99">
        <v>245</v>
      </c>
      <c r="C11" s="93">
        <f t="array" ref="C11">RTD("tickerplantrtdserver",,"FWRC1#USDINR#Month Wise Rates#0#BidPrice14")</f>
        <v>209.5806</v>
      </c>
      <c r="D11" s="81">
        <f t="array" ref="D11">RTD("tickerplantrtdserver",,"FWRC1#USDINR#Month Wise Rates#0#AskPrice14")</f>
        <v>211.0806</v>
      </c>
      <c r="E11" s="81">
        <f t="array" ref="E11">RTD("tickerplantrtdserver",,"FWRC1#EURINR#Month Wise Rates#0#BidPrice14")</f>
        <v>294.84660000000002</v>
      </c>
      <c r="F11" s="81">
        <f t="array" ref="F11">RTD("tickerplantrtdserver",,"FWRC1#EURINR#Month Wise Rates#0#AskPrice14")</f>
        <v>298.29239999999999</v>
      </c>
      <c r="G11" s="81">
        <f>RTD("tickerplantrtdserver",,"FWRC1#GBPINR#Month Wise Rates#0#BidPrice14")/100</f>
        <v>281.70321899999999</v>
      </c>
      <c r="H11" s="81">
        <f>RTD("tickerplantrtdserver",,"FWRC1#GBPINR#Month Wise Rates#0#AskPrice14")/100</f>
        <v>284.917869</v>
      </c>
      <c r="I11" s="84">
        <f>RTD("tickerplantrtdserver",,"FWRC1#JPYINR#Month Wise Rates#0#BidPrice14")/100</f>
        <v>226.38402099999999</v>
      </c>
      <c r="J11" s="84">
        <f>RTD("tickerplantrtdserver",,"FWRC1#JPYINR#Month Wise Rates#0#AskPrice14")/100</f>
        <v>229.241872</v>
      </c>
      <c r="K11" s="84">
        <f t="array" ref="K11">RTD("tickerplantrtdserver",,"FWRC1#EURUSD#Month Wise Rates#0#BidPrice14")</f>
        <v>64.8</v>
      </c>
      <c r="L11" s="84">
        <f t="array" ref="L11">RTD("tickerplantrtdserver",,"FWRC1#EURUSD#Month Wise Rates#0#AskPrice14")</f>
        <v>67</v>
      </c>
      <c r="M11" s="84">
        <f t="array" ref="M11">RTD("tickerplantrtdserver",,"FWRC1#GBPUSD#Month Wise Rates#0#BidPrice14")</f>
        <v>17.73</v>
      </c>
      <c r="N11" s="84">
        <f t="array" ref="N11">RTD("tickerplantrtdserver",,"FWRC1#GBPUSD#Month Wise Rates#0#AskPrice14")</f>
        <v>19.420000000000002</v>
      </c>
      <c r="O11" s="84">
        <f t="array" ref="O11">RTD("tickerplantrtdserver",,"FWRC1#USDJPY#Month Wise Rates#0#BidPrice14")</f>
        <v>-39.71</v>
      </c>
      <c r="P11" s="92">
        <f t="array" ref="P11">RTD("tickerplantrtdserver",,"FWRC1#USDJPY#Month Wise Rates#0#AskPrice14")</f>
        <v>-37.71</v>
      </c>
    </row>
    <row r="12" spans="1:18" x14ac:dyDescent="0.25">
      <c r="A12" s="102" t="s">
        <v>40</v>
      </c>
      <c r="B12" s="99">
        <v>278</v>
      </c>
      <c r="C12" s="93">
        <f t="array" ref="C12">RTD("tickerplantrtdserver",,"FWRC1#USDINR#Month Wise Rates#0#BidPrice15")</f>
        <v>237</v>
      </c>
      <c r="D12" s="81">
        <f t="array" ref="D12">RTD("tickerplantrtdserver",,"FWRC1#USDINR#Month Wise Rates#0#AskPrice15")</f>
        <v>238.5</v>
      </c>
      <c r="E12" s="81">
        <f t="array" ref="E12">RTD("tickerplantrtdserver",,"FWRC1#EURINR#Month Wise Rates#0#BidPrice15")</f>
        <v>333.39049999999997</v>
      </c>
      <c r="F12" s="81">
        <f t="array" ref="F12">RTD("tickerplantrtdserver",,"FWRC1#EURINR#Month Wise Rates#0#AskPrice15")</f>
        <v>337.0729</v>
      </c>
      <c r="G12" s="81">
        <f>RTD("tickerplantrtdserver",,"FWRC1#GBPINR#Month Wise Rates#0#BidPrice15")/100</f>
        <v>318.58767</v>
      </c>
      <c r="H12" s="81">
        <f>RTD("tickerplantrtdserver",,"FWRC1#GBPINR#Month Wise Rates#0#AskPrice15")/100</f>
        <v>321.16802000000001</v>
      </c>
      <c r="I12" s="84">
        <f>RTD("tickerplantrtdserver",,"FWRC1#JPYINR#Month Wise Rates#0#BidPrice15")/100</f>
        <v>255.83998599999998</v>
      </c>
      <c r="J12" s="84">
        <f>RTD("tickerplantrtdserver",,"FWRC1#JPYINR#Month Wise Rates#0#AskPrice15")/100</f>
        <v>258.70826799999998</v>
      </c>
      <c r="K12" s="84">
        <f t="array" ref="K12">RTD("tickerplantrtdserver",,"FWRC1#EURUSD#Month Wise Rates#0#BidPrice15")</f>
        <v>72.91</v>
      </c>
      <c r="L12" s="84">
        <f t="array" ref="L12">RTD("tickerplantrtdserver",,"FWRC1#EURUSD#Month Wise Rates#0#AskPrice15")</f>
        <v>75.41</v>
      </c>
      <c r="M12" s="84">
        <f t="array" ref="M12">RTD("tickerplantrtdserver",,"FWRC1#GBPUSD#Month Wise Rates#0#BidPrice15")</f>
        <v>20.12</v>
      </c>
      <c r="N12" s="84">
        <f t="array" ref="N12">RTD("tickerplantrtdserver",,"FWRC1#GBPUSD#Month Wise Rates#0#AskPrice15")</f>
        <v>22.27</v>
      </c>
      <c r="O12" s="84">
        <f t="array" ref="O12">RTD("tickerplantrtdserver",,"FWRC1#USDJPY#Month Wise Rates#0#BidPrice15")</f>
        <v>-45.36</v>
      </c>
      <c r="P12" s="92">
        <f t="array" ref="P12">RTD("tickerplantrtdserver",,"FWRC1#USDJPY#Month Wise Rates#0#AskPrice15")</f>
        <v>-43.36</v>
      </c>
    </row>
    <row r="13" spans="1:18" x14ac:dyDescent="0.25">
      <c r="A13" s="102" t="s">
        <v>45</v>
      </c>
      <c r="B13" s="99">
        <v>306</v>
      </c>
      <c r="C13" s="93">
        <f t="array" ref="C13">RTD("tickerplantrtdserver",,"FWRC1#USDINR#Month Wise Rates#0#BidPrice16")</f>
        <v>265.0333</v>
      </c>
      <c r="D13" s="81">
        <f t="array" ref="D13">RTD("tickerplantrtdserver",,"FWRC1#USDINR#Month Wise Rates#0#AskPrice16")</f>
        <v>266.5333</v>
      </c>
      <c r="E13" s="81">
        <f t="array" ref="E13">RTD("tickerplantrtdserver",,"FWRC1#EURINR#Month Wise Rates#0#BidPrice16")</f>
        <v>373.1465</v>
      </c>
      <c r="F13" s="81">
        <f t="array" ref="F13">RTD("tickerplantrtdserver",,"FWRC1#EURINR#Month Wise Rates#0#AskPrice16")</f>
        <v>378.74529999999999</v>
      </c>
      <c r="G13" s="81">
        <f>RTD("tickerplantrtdserver",,"FWRC1#GBPINR#Month Wise Rates#0#BidPrice16")/100</f>
        <v>356.04668199999998</v>
      </c>
      <c r="H13" s="81">
        <f>RTD("tickerplantrtdserver",,"FWRC1#GBPINR#Month Wise Rates#0#AskPrice16")/100</f>
        <v>359.24550399999998</v>
      </c>
      <c r="I13" s="84">
        <f>RTD("tickerplantrtdserver",,"FWRC1#JPYINR#Month Wise Rates#0#BidPrice16")/100</f>
        <v>287.050026</v>
      </c>
      <c r="J13" s="84">
        <f>RTD("tickerplantrtdserver",,"FWRC1#JPYINR#Month Wise Rates#0#AskPrice16")/100</f>
        <v>289.557008</v>
      </c>
      <c r="K13" s="84">
        <f t="array" ref="K13">RTD("tickerplantrtdserver",,"FWRC1#EURUSD#Month Wise Rates#0#BidPrice16")</f>
        <v>81.819999999999993</v>
      </c>
      <c r="L13" s="84">
        <f t="array" ref="L13">RTD("tickerplantrtdserver",,"FWRC1#EURUSD#Month Wise Rates#0#AskPrice16")</f>
        <v>82.38</v>
      </c>
      <c r="M13" s="84">
        <f t="array" ref="M13">RTD("tickerplantrtdserver",,"FWRC1#GBPUSD#Month Wise Rates#0#BidPrice16")</f>
        <v>21.94</v>
      </c>
      <c r="N13" s="84">
        <f t="array" ref="N13">RTD("tickerplantrtdserver",,"FWRC1#GBPUSD#Month Wise Rates#0#AskPrice16")</f>
        <v>23.85</v>
      </c>
      <c r="O13" s="84">
        <f t="array" ref="O13">RTD("tickerplantrtdserver",,"FWRC1#USDJPY#Month Wise Rates#0#BidPrice16")</f>
        <v>-49.81</v>
      </c>
      <c r="P13" s="92">
        <f t="array" ref="P13">RTD("tickerplantrtdserver",,"FWRC1#USDJPY#Month Wise Rates#0#AskPrice16")</f>
        <v>-48.31</v>
      </c>
    </row>
    <row r="14" spans="1:18" x14ac:dyDescent="0.25">
      <c r="A14" s="102" t="s">
        <v>46</v>
      </c>
      <c r="B14" s="99">
        <v>335</v>
      </c>
      <c r="C14" s="93">
        <f t="array" ref="C14">RTD("tickerplantrtdserver",,"FWRC1#USDINR#Month Wise Rates#0#BidPrice17")</f>
        <v>289.59379999999999</v>
      </c>
      <c r="D14" s="81">
        <f t="array" ref="D14">RTD("tickerplantrtdserver",,"FWRC1#USDINR#Month Wise Rates#0#AskPrice17")</f>
        <v>291.09379999999999</v>
      </c>
      <c r="E14" s="81">
        <f t="array" ref="E14">RTD("tickerplantrtdserver",,"FWRC1#EURINR#Month Wise Rates#0#BidPrice17")</f>
        <v>407.62220000000002</v>
      </c>
      <c r="F14" s="81">
        <f t="array" ref="F14">RTD("tickerplantrtdserver",,"FWRC1#EURINR#Month Wise Rates#0#AskPrice17")</f>
        <v>411.3227</v>
      </c>
      <c r="G14" s="81">
        <f>RTD("tickerplantrtdserver",,"FWRC1#GBPINR#Month Wise Rates#0#BidPrice17")/100</f>
        <v>389.15951000000001</v>
      </c>
      <c r="H14" s="81">
        <f>RTD("tickerplantrtdserver",,"FWRC1#GBPINR#Month Wise Rates#0#AskPrice17")/100</f>
        <v>392.35361399999999</v>
      </c>
      <c r="I14" s="84">
        <f>RTD("tickerplantrtdserver",,"FWRC1#JPYINR#Month Wise Rates#0#BidPrice17")/100</f>
        <v>312.40266600000001</v>
      </c>
      <c r="J14" s="84">
        <f>RTD("tickerplantrtdserver",,"FWRC1#JPYINR#Month Wise Rates#0#AskPrice17")/100</f>
        <v>316.32565</v>
      </c>
      <c r="K14" s="84">
        <f t="array" ref="K14">RTD("tickerplantrtdserver",,"FWRC1#EURUSD#Month Wise Rates#0#BidPrice17")</f>
        <v>89.69</v>
      </c>
      <c r="L14" s="84">
        <f t="array" ref="L14">RTD("tickerplantrtdserver",,"FWRC1#EURUSD#Month Wise Rates#0#AskPrice17")</f>
        <v>90.9</v>
      </c>
      <c r="M14" s="84">
        <f t="array" ref="M14">RTD("tickerplantrtdserver",,"FWRC1#GBPUSD#Month Wise Rates#0#BidPrice17")</f>
        <v>24.1</v>
      </c>
      <c r="N14" s="84">
        <f t="array" ref="N14">RTD("tickerplantrtdserver",,"FWRC1#GBPUSD#Month Wise Rates#0#AskPrice17")</f>
        <v>25.7</v>
      </c>
      <c r="O14" s="84">
        <f t="array" ref="O14">RTD("tickerplantrtdserver",,"FWRC1#USDJPY#Month Wise Rates#0#BidPrice17")</f>
        <v>-55.3</v>
      </c>
      <c r="P14" s="92">
        <f t="array" ref="P14">RTD("tickerplantrtdserver",,"FWRC1#USDJPY#Month Wise Rates#0#AskPrice17")</f>
        <v>-51.8</v>
      </c>
    </row>
    <row r="15" spans="1:18" ht="15.75" thickBot="1" x14ac:dyDescent="0.3">
      <c r="A15" s="103" t="s">
        <v>33</v>
      </c>
      <c r="B15" s="100">
        <v>365</v>
      </c>
      <c r="C15" s="94">
        <f t="array" ref="C15">RTD("tickerplantrtdserver",,"FWRC1#USDINR#Month Wise Rates#0#BidPrice18")</f>
        <v>315.75</v>
      </c>
      <c r="D15" s="95">
        <f t="array" ref="D15">RTD("tickerplantrtdserver",,"FWRC1#USDINR#Month Wise Rates#0#AskPrice18")</f>
        <v>317.25</v>
      </c>
      <c r="E15" s="95">
        <f t="array" ref="E15">RTD("tickerplantrtdserver",,"FWRC1#EURINR#Month Wise Rates#0#BidPrice18")</f>
        <v>445.56290000000001</v>
      </c>
      <c r="F15" s="95">
        <f t="array" ref="F15">RTD("tickerplantrtdserver",,"FWRC1#EURINR#Month Wise Rates#0#AskPrice18")</f>
        <v>449.57990000000001</v>
      </c>
      <c r="G15" s="95">
        <f>RTD("tickerplantrtdserver",,"FWRC1#GBPINR#Month Wise Rates#0#BidPrice18")/100</f>
        <v>424.244775</v>
      </c>
      <c r="H15" s="95">
        <f>RTD("tickerplantrtdserver",,"FWRC1#GBPINR#Month Wise Rates#0#AskPrice18")/100</f>
        <v>427.77362699999998</v>
      </c>
      <c r="I15" s="96">
        <f>RTD("tickerplantrtdserver",,"FWRC1#JPYINR#Month Wise Rates#0#BidPrice18")/100</f>
        <v>342.067117</v>
      </c>
      <c r="J15" s="96">
        <f>RTD("tickerplantrtdserver",,"FWRC1#JPYINR#Month Wise Rates#0#AskPrice18")/100</f>
        <v>344.94104500000003</v>
      </c>
      <c r="K15" s="96">
        <f t="array" ref="K15">RTD("tickerplantrtdserver",,"FWRC1#EURUSD#Month Wise Rates#0#BidPrice18")</f>
        <v>98.02</v>
      </c>
      <c r="L15" s="96">
        <f t="array" ref="L15">RTD("tickerplantrtdserver",,"FWRC1#EURUSD#Month Wise Rates#0#AskPrice18")</f>
        <v>99.27</v>
      </c>
      <c r="M15" s="96">
        <f t="array" ref="M15">RTD("tickerplantrtdserver",,"FWRC1#GBPUSD#Month Wise Rates#0#BidPrice18")</f>
        <v>26.1</v>
      </c>
      <c r="N15" s="96">
        <f t="array" ref="N15">RTD("tickerplantrtdserver",,"FWRC1#GBPUSD#Month Wise Rates#0#AskPrice18")</f>
        <v>28.1</v>
      </c>
      <c r="O15" s="96">
        <f t="array" ref="O15">RTD("tickerplantrtdserver",,"FWRC1#USDJPY#Month Wise Rates#0#BidPrice18")</f>
        <v>-59.24</v>
      </c>
      <c r="P15" s="97">
        <f t="array" ref="P15">RTD("tickerplantrtdserver",,"FWRC1#USDJPY#Month Wise Rates#0#AskPrice18")</f>
        <v>-57.24</v>
      </c>
    </row>
  </sheetData>
  <mergeCells count="7">
    <mergeCell ref="O1:P1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39"/>
  <sheetViews>
    <sheetView topLeftCell="A13" workbookViewId="0">
      <selection activeCell="H29" sqref="H29"/>
    </sheetView>
  </sheetViews>
  <sheetFormatPr defaultRowHeight="18" customHeight="1" x14ac:dyDescent="0.15"/>
  <cols>
    <col min="1" max="1" width="13.28515625" style="125" bestFit="1" customWidth="1"/>
    <col min="2" max="16384" width="9.140625" style="113"/>
  </cols>
  <sheetData>
    <row r="1" spans="1:7" ht="18" customHeight="1" thickBot="1" x14ac:dyDescent="0.2">
      <c r="A1" s="110" t="s">
        <v>14</v>
      </c>
      <c r="B1" s="111" t="s">
        <v>20</v>
      </c>
      <c r="C1" s="111" t="s">
        <v>19</v>
      </c>
      <c r="D1" s="111" t="s">
        <v>18</v>
      </c>
      <c r="E1" s="112" t="s">
        <v>54</v>
      </c>
    </row>
    <row r="2" spans="1:7" ht="18" customHeight="1" x14ac:dyDescent="0.15">
      <c r="A2" s="114" t="str">
        <f>RTD("tickerplantrtdserver",,"17#1#1#6069#USDINRCOMP#S#Descr.")</f>
        <v>USDINRCOMP</v>
      </c>
      <c r="B2" s="115">
        <f>RTD("tickerplantrtdserver",,"17#1#1#6069#USDINRCOMP#Open")</f>
        <v>73.484999999999999</v>
      </c>
      <c r="C2" s="115">
        <f>RTD("tickerplantrtdserver",,"17#1#1#6069#USDINRCOMP#High")</f>
        <v>73.62</v>
      </c>
      <c r="D2" s="115">
        <f>RTD("tickerplantrtdserver",,"17#1#1#6069#USDINRCOMP#Low")</f>
        <v>73.38</v>
      </c>
      <c r="E2" s="116">
        <f>RTD("tickerplantrtdserver",,"17#1#1#6069#USDINRCOMP#LTP")</f>
        <v>73.59</v>
      </c>
    </row>
    <row r="3" spans="1:7" ht="18" customHeight="1" x14ac:dyDescent="0.15">
      <c r="A3" s="117" t="str">
        <f>RTD("tickerplantrtdserver",,"17#3#1#5949#EURINRCOMP#S#Descr.")</f>
        <v>EURINRCOMP</v>
      </c>
      <c r="B3" s="118">
        <f>RTD("tickerplantrtdserver",,"17#3#1#5949#EURINRCOMP#Open")</f>
        <v>86.462500000000006</v>
      </c>
      <c r="C3" s="118">
        <f>RTD("tickerplantrtdserver",,"17#3#1#5949#EURINRCOMP#High")</f>
        <v>86.495000000000005</v>
      </c>
      <c r="D3" s="118">
        <f>RTD("tickerplantrtdserver",,"17#3#1#5949#EURINRCOMP#Low")</f>
        <v>86.224999999999994</v>
      </c>
      <c r="E3" s="119">
        <f>RTD("tickerplantrtdserver",,"17#3#1#5949#EURINRCOMP#LTP")</f>
        <v>86.3125</v>
      </c>
    </row>
    <row r="4" spans="1:7" ht="18" customHeight="1" x14ac:dyDescent="0.15">
      <c r="A4" s="117" t="str">
        <f>RTD("tickerplantrtdserver",,"17#3#1#6031#GBPINRCOMP#S#Descr.")</f>
        <v>GBPINRCOMP</v>
      </c>
      <c r="B4" s="118">
        <f>RTD("tickerplantrtdserver",,"17#3#1#6031#GBPINRCOMP#Open")</f>
        <v>94.192499999999995</v>
      </c>
      <c r="C4" s="118">
        <f>RTD("tickerplantrtdserver",,"17#3#1#6031#GBPINRCOMP#High")</f>
        <v>94.227500000000006</v>
      </c>
      <c r="D4" s="118">
        <f>RTD("tickerplantrtdserver",,"17#3#1#6031#GBPINRCOMP#Low")</f>
        <v>93.56</v>
      </c>
      <c r="E4" s="119">
        <f>RTD("tickerplantrtdserver",,"17#3#1#6031#GBPINRCOMP#LTP")</f>
        <v>94.182500000000005</v>
      </c>
    </row>
    <row r="5" spans="1:7" ht="18" customHeight="1" x14ac:dyDescent="0.15">
      <c r="A5" s="117" t="str">
        <f>RTD("tickerplantrtdserver",,"17#3#1#5978#JPYINRCOMP#S#Descr.")</f>
        <v>JPYINRCOMP</v>
      </c>
      <c r="B5" s="118">
        <f>RTD("tickerplantrtdserver",,"17#3#1#5978#JPYINRCOMP#Open")</f>
        <v>70.295000000000002</v>
      </c>
      <c r="C5" s="118">
        <f>RTD("tickerplantrtdserver",,"17#3#1#5978#JPYINRCOMP#High")</f>
        <v>70.332499999999996</v>
      </c>
      <c r="D5" s="118">
        <f>RTD("tickerplantrtdserver",,"17#3#1#5978#JPYINRCOMP#Low")</f>
        <v>70.1875</v>
      </c>
      <c r="E5" s="119">
        <f>RTD("tickerplantrtdserver",,"17#3#1#5978#JPYINRCOMP#LTP")</f>
        <v>70.307500000000005</v>
      </c>
      <c r="G5" s="172" t="s">
        <v>59</v>
      </c>
    </row>
    <row r="6" spans="1:7" ht="18" customHeight="1" x14ac:dyDescent="0.15">
      <c r="A6" s="117" t="str">
        <f>RTD("tickerplantrtdserver",,"17#3#1#6056#CHFINRCOMP#S#Descr.")</f>
        <v>CHFINRCOMP</v>
      </c>
      <c r="B6" s="118">
        <f>RTD("tickerplantrtdserver",,"17#3#1#6056#CHFINRCOMP#Open")</f>
        <v>80.337500000000006</v>
      </c>
      <c r="C6" s="118">
        <f>RTD("tickerplantrtdserver",,"17#3#1#6056#CHFINRCOMP#High")</f>
        <v>80.367500000000007</v>
      </c>
      <c r="D6" s="118">
        <f>RTD("tickerplantrtdserver",,"17#3#1#6056#CHFINRCOMP#Low")</f>
        <v>80.167500000000004</v>
      </c>
      <c r="E6" s="119">
        <f>RTD("tickerplantrtdserver",,"17#3#1#6056#CHFINRCOMP#LTP")</f>
        <v>80.262500000000003</v>
      </c>
      <c r="G6" s="172"/>
    </row>
    <row r="7" spans="1:7" ht="18" customHeight="1" x14ac:dyDescent="0.15">
      <c r="A7" s="117" t="str">
        <f>RTD("tickerplantrtdserver",,"17#3#1#5921#CADINRCOMP#S#Descr.")</f>
        <v>CADINRCOMP</v>
      </c>
      <c r="B7" s="118">
        <f>RTD("tickerplantrtdserver",,"17#3#1#5921#CADINRCOMP#Open")</f>
        <v>55.225000000000001</v>
      </c>
      <c r="C7" s="118">
        <f>RTD("tickerplantrtdserver",,"17#3#1#5921#CADINRCOMP#High")</f>
        <v>55.252499999999998</v>
      </c>
      <c r="D7" s="118">
        <f>RTD("tickerplantrtdserver",,"17#3#1#5921#CADINRCOMP#Low")</f>
        <v>55.097499999999997</v>
      </c>
      <c r="E7" s="119">
        <f>RTD("tickerplantrtdserver",,"17#3#1#5921#CADINRCOMP#LTP")</f>
        <v>55.207500000000003</v>
      </c>
      <c r="G7" s="172"/>
    </row>
    <row r="8" spans="1:7" ht="18" customHeight="1" x14ac:dyDescent="0.15">
      <c r="A8" s="117" t="str">
        <f>RTD("tickerplantrtdserver",,"17#3#1#5903#AUDINRCOMP#S#Descr.")</f>
        <v>AUDINRCOMP</v>
      </c>
      <c r="B8" s="118">
        <f>RTD("tickerplantrtdserver",,"17#3#1#5903#AUDINRCOMP#Open")</f>
        <v>53.047499999999999</v>
      </c>
      <c r="C8" s="118">
        <f>RTD("tickerplantrtdserver",,"17#3#1#5903#AUDINRCOMP#High")</f>
        <v>53.082500000000003</v>
      </c>
      <c r="D8" s="118">
        <f>RTD("tickerplantrtdserver",,"17#3#1#5903#AUDINRCOMP#Low")</f>
        <v>52.784999999999997</v>
      </c>
      <c r="E8" s="119">
        <f>RTD("tickerplantrtdserver",,"17#3#1#5903#AUDINRCOMP#LTP")</f>
        <v>52.88</v>
      </c>
      <c r="G8" s="172"/>
    </row>
    <row r="9" spans="1:7" ht="18" customHeight="1" x14ac:dyDescent="0.15">
      <c r="A9" s="117" t="str">
        <f>RTD("tickerplantrtdserver",,"17#3#1#6041#SGDINRCOMP#S#Descr.")</f>
        <v>SGDINRCOMP</v>
      </c>
      <c r="B9" s="118">
        <f>RTD("tickerplantrtdserver",,"17#3#1#6041#SGDINRCOMP#Open")</f>
        <v>53.93</v>
      </c>
      <c r="C9" s="118">
        <f>RTD("tickerplantrtdserver",,"17#3#1#6041#SGDINRCOMP#High")</f>
        <v>53.952500000000001</v>
      </c>
      <c r="D9" s="118">
        <f>RTD("tickerplantrtdserver",,"17#3#1#6041#SGDINRCOMP#Low")</f>
        <v>53.8</v>
      </c>
      <c r="E9" s="119">
        <f>RTD("tickerplantrtdserver",,"17#3#1#6041#SGDINRCOMP#LTP")</f>
        <v>53.912500000000001</v>
      </c>
      <c r="G9" s="172"/>
    </row>
    <row r="10" spans="1:7" ht="18" customHeight="1" x14ac:dyDescent="0.15">
      <c r="A10" s="117" t="str">
        <f>RTD("tickerplantrtdserver",,"12#2#1#5949#SEURUSD#S#Descr.")</f>
        <v>EURUSD</v>
      </c>
      <c r="B10" s="118">
        <f>RTD("tickerplantrtdserver",,"12#2#1#5949#SEURUSD#Open")</f>
        <v>1.17692</v>
      </c>
      <c r="C10" s="118">
        <f>RTD("tickerplantrtdserver",,"12#2#1#5949#SEURUSD#High")</f>
        <v>1.1773800000000001</v>
      </c>
      <c r="D10" s="118">
        <f>RTD("tickerplantrtdserver",,"12#2#1#5949#SEURUSD#Low")</f>
        <v>1.1718500000000001</v>
      </c>
      <c r="E10" s="119">
        <f>RTD("tickerplantrtdserver",,"12#2#1#5949#SEURUSD#LTP")</f>
        <v>1.1729000000000001</v>
      </c>
    </row>
    <row r="11" spans="1:7" ht="18" customHeight="1" x14ac:dyDescent="0.15">
      <c r="A11" s="117" t="str">
        <f>RTD("tickerplantrtdserver",,"12#2#1#6031#SGBPUSD#S#Descr.")</f>
        <v>GBPUSD</v>
      </c>
      <c r="B11" s="118">
        <f>RTD("tickerplantrtdserver",,"12#2#1#6031#SGBPUSD#Open")</f>
        <v>1.28115</v>
      </c>
      <c r="C11" s="118">
        <f>RTD("tickerplantrtdserver",,"12#2#1#6031#SGBPUSD#High")</f>
        <v>1.2824199999999999</v>
      </c>
      <c r="D11" s="118">
        <f>RTD("tickerplantrtdserver",,"12#2#1#6031#SGBPUSD#Low")</f>
        <v>1.27108</v>
      </c>
      <c r="E11" s="119">
        <f>RTD("tickerplantrtdserver",,"12#2#1#6031#SGBPUSD#LTP")</f>
        <v>1.27976</v>
      </c>
    </row>
    <row r="12" spans="1:7" ht="18" customHeight="1" x14ac:dyDescent="0.15">
      <c r="A12" s="117" t="str">
        <f>RTD("tickerplantrtdserver",,"12#2#1#6069#SUSDJPY#S#Descr.")</f>
        <v>USDJPY</v>
      </c>
      <c r="B12" s="120">
        <f>RTD("tickerplantrtdserver",,"12#2#1#6069#SUSDJPY#Open")</f>
        <v>104.67</v>
      </c>
      <c r="C12" s="120">
        <f>RTD("tickerplantrtdserver",,"12#2#1#6069#SUSDJPY#High")</f>
        <v>104.753</v>
      </c>
      <c r="D12" s="120">
        <f>RTD("tickerplantrtdserver",,"12#2#1#6069#SUSDJPY#Low")</f>
        <v>104.404</v>
      </c>
      <c r="E12" s="121">
        <f>RTD("tickerplantrtdserver",,"12#2#1#6069#SUSDJPY#LTP")</f>
        <v>104.666</v>
      </c>
    </row>
    <row r="13" spans="1:7" ht="18" customHeight="1" x14ac:dyDescent="0.15">
      <c r="A13" s="117" t="str">
        <f>RTD("tickerplantrtdserver",,"12#2#1#6069#SUSDCHF#S#Descr.")</f>
        <v>USDCHF</v>
      </c>
      <c r="B13" s="118">
        <f>RTD("tickerplantrtdserver",,"12#2#1#6069#SUSDCHF#Open")</f>
        <v>0.91420000000000001</v>
      </c>
      <c r="C13" s="118">
        <f>RTD("tickerplantrtdserver",,"12#2#1#6069#SUSDCHF#High")</f>
        <v>0.91732999999999998</v>
      </c>
      <c r="D13" s="118">
        <f>RTD("tickerplantrtdserver",,"12#2#1#6069#SUSDCHF#Low")</f>
        <v>0.91329000000000005</v>
      </c>
      <c r="E13" s="119">
        <f>RTD("tickerplantrtdserver",,"12#2#1#6069#SUSDCHF#LTP")</f>
        <v>0.91686000000000001</v>
      </c>
    </row>
    <row r="14" spans="1:7" ht="18" customHeight="1" x14ac:dyDescent="0.15">
      <c r="A14" s="117" t="str">
        <f>RTD("tickerplantrtdserver",,"12#2#1#6069#SUSDCAD#S#Descr.")</f>
        <v>USDCAD</v>
      </c>
      <c r="B14" s="118">
        <f>RTD("tickerplantrtdserver",,"12#2#1#6069#SUSDCAD#Open")</f>
        <v>1.3310999999999999</v>
      </c>
      <c r="C14" s="118">
        <f>RTD("tickerplantrtdserver",,"12#2#1#6069#SUSDCAD#High")</f>
        <v>1.3346</v>
      </c>
      <c r="D14" s="118">
        <f>RTD("tickerplantrtdserver",,"12#2#1#6069#SUSDCAD#Low")</f>
        <v>1.3293999999999999</v>
      </c>
      <c r="E14" s="119">
        <f>RTD("tickerplantrtdserver",,"12#2#1#6069#SUSDCAD#LTP")</f>
        <v>1.33283</v>
      </c>
    </row>
    <row r="15" spans="1:7" ht="18" customHeight="1" x14ac:dyDescent="0.15">
      <c r="A15" s="117" t="str">
        <f>RTD("tickerplantrtdserver",,"12#2#1#5903#SAUDUSD#S#Descr.")</f>
        <v>AUDUSD</v>
      </c>
      <c r="B15" s="118">
        <f>RTD("tickerplantrtdserver",,"12#2#1#5903#SAUDUSD#Open")</f>
        <v>0.72211000000000003</v>
      </c>
      <c r="C15" s="118">
        <f>RTD("tickerplantrtdserver",,"12#2#1#5903#SAUDUSD#High")</f>
        <v>0.72353999999999996</v>
      </c>
      <c r="D15" s="118">
        <f>RTD("tickerplantrtdserver",,"12#2#1#5903#SAUDUSD#Low")</f>
        <v>0.71738999999999997</v>
      </c>
      <c r="E15" s="119">
        <f>RTD("tickerplantrtdserver",,"12#2#1#5903#SAUDUSD#LTP")</f>
        <v>0.71858</v>
      </c>
    </row>
    <row r="16" spans="1:7" ht="18" customHeight="1" thickBot="1" x14ac:dyDescent="0.2">
      <c r="A16" s="122" t="str">
        <f>RTD("tickerplantrtdserver",,"12#2#1#6069#SUSDSGD#S#Descr.")</f>
        <v>USDSGD</v>
      </c>
      <c r="B16" s="123">
        <f>RTD("tickerplantrtdserver",,"12#2#1#6069#SUSDSGD#Open")</f>
        <v>1.3611</v>
      </c>
      <c r="C16" s="123">
        <f>RTD("tickerplantrtdserver",,"12#2#1#6069#SUSDSGD#High")</f>
        <v>1.3656999999999999</v>
      </c>
      <c r="D16" s="123">
        <f>RTD("tickerplantrtdserver",,"12#2#1#6069#SUSDSGD#Low")</f>
        <v>1.3602000000000001</v>
      </c>
      <c r="E16" s="124">
        <f>RTD("tickerplantrtdserver",,"12#2#1#6069#SUSDSGD#LTP")</f>
        <v>1.3645</v>
      </c>
    </row>
    <row r="17" spans="1:16" ht="18" customHeight="1" thickBot="1" x14ac:dyDescent="0.2">
      <c r="B17" s="126"/>
      <c r="C17" s="126"/>
      <c r="D17" s="126"/>
      <c r="E17" s="126"/>
    </row>
    <row r="18" spans="1:16" ht="18" customHeight="1" thickBot="1" x14ac:dyDescent="0.2">
      <c r="A18" s="110" t="s">
        <v>14</v>
      </c>
      <c r="B18" s="111" t="s">
        <v>55</v>
      </c>
      <c r="C18" s="111" t="s">
        <v>36</v>
      </c>
      <c r="D18" s="111" t="s">
        <v>37</v>
      </c>
      <c r="E18" s="111" t="s">
        <v>35</v>
      </c>
      <c r="F18" s="111" t="s">
        <v>38</v>
      </c>
      <c r="G18" s="111" t="s">
        <v>39</v>
      </c>
      <c r="H18" s="111" t="s">
        <v>34</v>
      </c>
      <c r="I18" s="111" t="s">
        <v>43</v>
      </c>
      <c r="J18" s="111" t="s">
        <v>44</v>
      </c>
      <c r="K18" s="111" t="s">
        <v>40</v>
      </c>
      <c r="L18" s="111" t="s">
        <v>45</v>
      </c>
      <c r="M18" s="111" t="s">
        <v>46</v>
      </c>
      <c r="N18" s="112" t="s">
        <v>33</v>
      </c>
    </row>
    <row r="19" spans="1:16" ht="18" customHeight="1" x14ac:dyDescent="0.15">
      <c r="A19" s="114" t="str">
        <f>RTD("tickerplantrtdserver",,"17#1#1#6069#USDINRCOMP#S#Descr.")</f>
        <v>USDINRCOMP</v>
      </c>
      <c r="B19" s="127">
        <f t="array" ref="B19">RTD("tickerplantrtdserver",,"FWRC1#USDINR#Month End Rates#0#Close0")</f>
        <v>73.59</v>
      </c>
      <c r="C19" s="128">
        <f>RTD("tickerplantrtdserver",,"FWRC1#USDINR#Month End Rates#0#Close0")+RTD("tickerplantrtdserver",,"FWRC1#USDINR#Month End Rates#0#Close4")/100</f>
        <v>73.637500000000003</v>
      </c>
      <c r="D19" s="127">
        <f>RTD("tickerplantrtdserver",,"FWRC1#USDINR#Month End Rates#0#Close0")+RTD("tickerplantrtdserver",,"FWRC1#USDINR#Month End Rates#0#Close5")/100</f>
        <v>73.86</v>
      </c>
      <c r="E19" s="129">
        <f>RTD("tickerplantrtdserver",,"FWRC1#USDINR#Month End Rates#0#Close0")+RTD("tickerplantrtdserver",,"FWRC1#USDINR#Month End Rates#0#Close6")/100</f>
        <v>74.087500000000006</v>
      </c>
      <c r="F19" s="129">
        <f>RTD("tickerplantrtdserver",,"FWRC1#USDINR#Month End Rates#0#Close0")+RTD("tickerplantrtdserver",,"FWRC1#USDINR#Month End Rates#0#Close7")/100</f>
        <v>74.355000000000004</v>
      </c>
      <c r="G19" s="129">
        <f>RTD("tickerplantrtdserver",,"FWRC1#USDINR#Month End Rates#0#Close0")+RTD("tickerplantrtdserver",,"FWRC1#USDINR#Month End Rates#0#Close8")/100</f>
        <v>74.600000000000009</v>
      </c>
      <c r="H19" s="129">
        <f>RTD("tickerplantrtdserver",,"FWRC1#USDINR#Month End Rates#0#Close0")+RTD("tickerplantrtdserver",,"FWRC1#USDINR#Month End Rates#0#Close9")/100</f>
        <v>74.83</v>
      </c>
      <c r="I19" s="129">
        <f>RTD("tickerplantrtdserver",,"FWRC1#USDINR#Month End Rates#0#Close0")+RTD("tickerplantrtdserver",,"FWRC1#USDINR#Month End Rates#0#Close10")/100</f>
        <v>75.11</v>
      </c>
      <c r="J19" s="129">
        <f>RTD("tickerplantrtdserver",,"FWRC1#USDINR#Month End Rates#0#Close0")+RTD("tickerplantrtdserver",,"FWRC1#USDINR#Month End Rates#0#Close11")/100</f>
        <v>75.5</v>
      </c>
      <c r="K19" s="129">
        <f>RTD("tickerplantrtdserver",,"FWRC1#USDINR#Month End Rates#0#Close0")+RTD("tickerplantrtdserver",,"FWRC1#USDINR#Month End Rates#0#Close12")/100</f>
        <v>75.740000000000009</v>
      </c>
      <c r="L19" s="129">
        <f>RTD("tickerplantrtdserver",,"FWRC1#USDINR#Month End Rates#0#Close0")+RTD("tickerplantrtdserver",,"FWRC1#USDINR#Month End Rates#0#Close13")/100</f>
        <v>76.015000000000001</v>
      </c>
      <c r="M19" s="129">
        <f>RTD("tickerplantrtdserver",,"FWRC1#USDINR#Month End Rates#0#Close0")+RTD("tickerplantrtdserver",,"FWRC1#USDINR#Month End Rates#0#Close14")/100</f>
        <v>76.275000000000006</v>
      </c>
      <c r="N19" s="130">
        <f>RTD("tickerplantrtdserver",,"FWRC1#USDINR#Month End Rates#0#Close0")+RTD("tickerplantrtdserver",,"FWRC1#USDINR#Month End Rates#0#Close15")/100</f>
        <v>76.545000000000002</v>
      </c>
    </row>
    <row r="20" spans="1:16" ht="18" customHeight="1" x14ac:dyDescent="0.15">
      <c r="A20" s="117" t="str">
        <f>RTD("tickerplantrtdserver",,"17#3#1#5949#EURINRCOMP#S#Descr.")</f>
        <v>EURINRCOMP</v>
      </c>
      <c r="B20" s="131">
        <f t="array" ref="B20">RTD("tickerplantrtdserver",,"FWRC1#EURINR#Month End Rates#0#Close0")</f>
        <v>86.3125</v>
      </c>
      <c r="C20" s="132">
        <f>RTD("tickerplantrtdserver",,"FWRC1#EURINR#Month End Rates#0#Close0")+RTD("tickerplantrtdserver",,"FWRC1#EURINR#Month End Rates#0#Close4")/100</f>
        <v>86.365925000000004</v>
      </c>
      <c r="D20" s="132">
        <f>RTD("tickerplantrtdserver",,"FWRC1#EURINR#Month End Rates#0#Close0")+RTD("tickerplantrtdserver",,"FWRC1#EURINR#Month End Rates#0#Close5")/100</f>
        <v>86.686000000000007</v>
      </c>
      <c r="E20" s="132">
        <f>RTD("tickerplantrtdserver",,"FWRC1#EURINR#Month End Rates#0#Close0")+RTD("tickerplantrtdserver",,"FWRC1#EURINR#Month End Rates#0#Close6")/100</f>
        <v>87.013400000000004</v>
      </c>
      <c r="F20" s="132">
        <f>RTD("tickerplantrtdserver",,"FWRC1#EURINR#Month End Rates#0#Close0")+RTD("tickerplantrtdserver",,"FWRC1#EURINR#Month End Rates#0#Close7")/100</f>
        <v>87.429725000000005</v>
      </c>
      <c r="G20" s="132">
        <f>RTD("tickerplantrtdserver",,"FWRC1#EURINR#Month End Rates#0#Close0")+RTD("tickerplantrtdserver",,"FWRC1#EURINR#Month End Rates#0#Close8")/100</f>
        <v>87.763549999999995</v>
      </c>
      <c r="H20" s="132">
        <f>RTD("tickerplantrtdserver",,"FWRC1#EURINR#Month End Rates#0#Close0")+RTD("tickerplantrtdserver",,"FWRC1#EURINR#Month End Rates#0#Close9")/100</f>
        <v>88.093299999999999</v>
      </c>
      <c r="I20" s="132">
        <f>RTD("tickerplantrtdserver",,"FWRC1#EURINR#Month End Rates#0#Close0")+RTD("tickerplantrtdserver",,"FWRC1#EURINR#Month End Rates#0#Close10")/100</f>
        <v>88.608774999999994</v>
      </c>
      <c r="J20" s="132">
        <f>RTD("tickerplantrtdserver",,"FWRC1#EURINR#Month End Rates#0#Close0")+RTD("tickerplantrtdserver",,"FWRC1#EURINR#Month End Rates#0#Close11")/100</f>
        <v>88.965699999999998</v>
      </c>
      <c r="K20" s="132">
        <f>RTD("tickerplantrtdserver",,"FWRC1#EURINR#Month End Rates#0#Close0")+RTD("tickerplantrtdserver",,"FWRC1#EURINR#Month End Rates#0#Close12")/100</f>
        <v>89.352975000000001</v>
      </c>
      <c r="L20" s="132">
        <f>RTD("tickerplantrtdserver",,"FWRC1#EURINR#Month End Rates#0#Close0")+RTD("tickerplantrtdserver",,"FWRC1#EURINR#Month End Rates#0#Close13")/100</f>
        <v>89.725825</v>
      </c>
      <c r="M20" s="132">
        <f>RTD("tickerplantrtdserver",,"FWRC1#EURINR#Month End Rates#0#Close0")+RTD("tickerplantrtdserver",,"FWRC1#EURINR#Month End Rates#0#Close14")/100</f>
        <v>90.087575000000001</v>
      </c>
      <c r="N20" s="133">
        <f>RTD("tickerplantrtdserver",,"FWRC1#EURINR#Month End Rates#0#Close0")+RTD("tickerplantrtdserver",,"FWRC1#EURINR#Month End Rates#0#Close15")/100</f>
        <v>90.47475</v>
      </c>
    </row>
    <row r="21" spans="1:16" ht="18" customHeight="1" x14ac:dyDescent="0.15">
      <c r="A21" s="117" t="str">
        <f>RTD("tickerplantrtdserver",,"17#3#1#6031#GBPINRCOMP#S#Descr.")</f>
        <v>GBPINRCOMP</v>
      </c>
      <c r="B21" s="132">
        <f t="array" ref="B21">RTD("tickerplantrtdserver",,"FWRC1#GBPINR#Month End Rates#0#Close0")</f>
        <v>94.197500000000005</v>
      </c>
      <c r="C21" s="132">
        <f>RTD("tickerplantrtdserver",,"FWRC1#GBPINR#Month End Rates#0#Close0")+RTD("tickerplantrtdserver",,"FWRC1#GBPINR#Month End Rates#0#Close4")/10000</f>
        <v>94.248066750000007</v>
      </c>
      <c r="D21" s="132">
        <f>RTD("tickerplantrtdserver",,"FWRC1#GBPINR#Month End Rates#0#Close0")+RTD("tickerplantrtdserver",,"FWRC1#GBPINR#Month End Rates#0#Close5")/10000</f>
        <v>94.550587500000006</v>
      </c>
      <c r="E21" s="132">
        <f>RTD("tickerplantrtdserver",,"FWRC1#GBPINR#Month End Rates#0#Close0")+RTD("tickerplantrtdserver",,"FWRC1#GBPINR#Month End Rates#0#Close6")/10000</f>
        <v>94.855003750000009</v>
      </c>
      <c r="F21" s="132">
        <f>RTD("tickerplantrtdserver",,"FWRC1#GBPINR#Month End Rates#0#Close0")+RTD("tickerplantrtdserver",,"FWRC1#GBPINR#Month End Rates#0#Close7")/10000</f>
        <v>95.2607225</v>
      </c>
      <c r="G21" s="132">
        <f>RTD("tickerplantrtdserver",,"FWRC1#GBPINR#Month End Rates#0#Close0")+RTD("tickerplantrtdserver",,"FWRC1#GBPINR#Month End Rates#0#Close8")/10000</f>
        <v>95.5782545</v>
      </c>
      <c r="H21" s="132">
        <f>RTD("tickerplantrtdserver",,"FWRC1#GBPINR#Month End Rates#0#Close0")+RTD("tickerplantrtdserver",,"FWRC1#GBPINR#Month End Rates#0#Close9")/10000</f>
        <v>95.890684250000007</v>
      </c>
      <c r="I21" s="132">
        <f>RTD("tickerplantrtdserver",,"FWRC1#GBPINR#Month End Rates#0#Close0")+RTD("tickerplantrtdserver",,"FWRC1#GBPINR#Month End Rates#0#Close10")/10000</f>
        <v>96.39349575</v>
      </c>
      <c r="J21" s="132">
        <f>RTD("tickerplantrtdserver",,"FWRC1#GBPINR#Month End Rates#0#Close0")+RTD("tickerplantrtdserver",,"FWRC1#GBPINR#Month End Rates#0#Close11")/10000</f>
        <v>96.735157000000001</v>
      </c>
      <c r="K21" s="132">
        <f>RTD("tickerplantrtdserver",,"FWRC1#GBPINR#Month End Rates#0#Close0")+RTD("tickerplantrtdserver",,"FWRC1#GBPINR#Month End Rates#0#Close12")/10000</f>
        <v>97.103299750000005</v>
      </c>
      <c r="L21" s="132">
        <f>RTD("tickerplantrtdserver",,"FWRC1#GBPINR#Month End Rates#0#Close0")+RTD("tickerplantrtdserver",,"FWRC1#GBPINR#Month End Rates#0#Close13")/10000</f>
        <v>97.454451750000004</v>
      </c>
      <c r="M21" s="132">
        <f>RTD("tickerplantrtdserver",,"FWRC1#GBPINR#Month End Rates#0#Close0")+RTD("tickerplantrtdserver",,"FWRC1#GBPINR#Month End Rates#0#Close14")/10000</f>
        <v>97.797808000000003</v>
      </c>
      <c r="N21" s="133">
        <f>RTD("tickerplantrtdserver",,"FWRC1#GBPINR#Month End Rates#0#Close0")+RTD("tickerplantrtdserver",,"FWRC1#GBPINR#Month End Rates#0#Close15")/10000</f>
        <v>98.160992250000007</v>
      </c>
    </row>
    <row r="22" spans="1:16" ht="18" customHeight="1" x14ac:dyDescent="0.15">
      <c r="A22" s="117" t="str">
        <f>RTD("tickerplantrtdserver",,"17#3#1#5978#JPYINRCOMP#S#Descr.")</f>
        <v>JPYINRCOMP</v>
      </c>
      <c r="B22" s="131">
        <f>RTD("tickerplantrtdserver",,"FWRC1#JPYINR#Month End Rates#0#Close0")</f>
        <v>70.31</v>
      </c>
      <c r="C22" s="132">
        <f>RTD("tickerplantrtdserver",,"FWRC1#JPYINR#Month End Rates#0#Close0")+RTD("tickerplantrtdserver",,"FWRC1#JPYINR#Month End Rates#0#Close4")/10000</f>
        <v>70.350928500000009</v>
      </c>
      <c r="D22" s="132">
        <f>RTD("tickerplantrtdserver",,"FWRC1#JPYINR#Month End Rates#0#Close0")+RTD("tickerplantrtdserver",,"FWRC1#JPYINR#Month End Rates#0#Close5")/10000</f>
        <v>70.592934749999998</v>
      </c>
      <c r="E22" s="132">
        <f>RTD("tickerplantrtdserver",,"FWRC1#JPYINR#Month End Rates#0#Close0")+RTD("tickerplantrtdserver",,"FWRC1#JPYINR#Month End Rates#0#Close6")/10000</f>
        <v>70.842734000000007</v>
      </c>
      <c r="F22" s="132">
        <f>RTD("tickerplantrtdserver",,"FWRC1#JPYINR#Month End Rates#0#Close0")+RTD("tickerplantrtdserver",,"FWRC1#JPYINR#Month End Rates#0#Close7")/10000</f>
        <v>71.16608875</v>
      </c>
      <c r="G22" s="132">
        <f>RTD("tickerplantrtdserver",,"FWRC1#JPYINR#Month End Rates#0#Close0")+RTD("tickerplantrtdserver",,"FWRC1#JPYINR#Month End Rates#0#Close8")/10000</f>
        <v>71.42037225</v>
      </c>
      <c r="H22" s="132">
        <f>RTD("tickerplantrtdserver",,"FWRC1#JPYINR#Month End Rates#0#Close0")+RTD("tickerplantrtdserver",,"FWRC1#JPYINR#Month End Rates#0#Close9")/10000</f>
        <v>71.674227250000001</v>
      </c>
      <c r="I22" s="132">
        <f>RTD("tickerplantrtdserver",,"FWRC1#JPYINR#Month End Rates#0#Close0")+RTD("tickerplantrtdserver",,"FWRC1#JPYINR#Month End Rates#0#Close10")/10000</f>
        <v>72.076978499999996</v>
      </c>
      <c r="J22" s="132">
        <f>RTD("tickerplantrtdserver",,"FWRC1#JPYINR#Month End Rates#0#Close0")+RTD("tickerplantrtdserver",,"FWRC1#JPYINR#Month End Rates#0#Close11")/10000</f>
        <v>72.349073750000002</v>
      </c>
      <c r="K22" s="132">
        <f>RTD("tickerplantrtdserver",,"FWRC1#JPYINR#Month End Rates#0#Close0")+RTD("tickerplantrtdserver",,"FWRC1#JPYINR#Month End Rates#0#Close12")/10000</f>
        <v>72.650518250000005</v>
      </c>
      <c r="L22" s="132">
        <f>RTD("tickerplantrtdserver",,"FWRC1#JPYINR#Month End Rates#0#Close0")+RTD("tickerplantrtdserver",,"FWRC1#JPYINR#Month End Rates#0#Close13")/10000</f>
        <v>72.935158749999999</v>
      </c>
      <c r="M22" s="132">
        <f>RTD("tickerplantrtdserver",,"FWRC1#JPYINR#Month End Rates#0#Close0")+RTD("tickerplantrtdserver",,"FWRC1#JPYINR#Month End Rates#0#Close14")/10000</f>
        <v>73.205837750000001</v>
      </c>
      <c r="N22" s="133">
        <f>RTD("tickerplantrtdserver",,"FWRC1#JPYINR#Month End Rates#0#Close0")+RTD("tickerplantrtdserver",,"FWRC1#JPYINR#Month End Rates#0#Close15")/10000</f>
        <v>73.504907500000002</v>
      </c>
    </row>
    <row r="23" spans="1:16" ht="18" customHeight="1" x14ac:dyDescent="0.15">
      <c r="A23" s="117" t="str">
        <f>RTD("tickerplantrtdserver",,"17#3#1#6056#CHFINRCOMP#S#Descr.")</f>
        <v>CHFINRCOMP</v>
      </c>
      <c r="B23" s="131">
        <f>RTD("tickerplantrtdserver",,"FWRC1#CHFINR#Month Wise Rates#0#Close0")</f>
        <v>80.262500000000003</v>
      </c>
      <c r="C23" s="132">
        <f>RTD("tickerplantrtdserver",,"FWRC1#CHFINR#Month Wise Rates#0#Close0")+RTD("tickerplantrtdserver",,"FWRC1#CHFINR#Month Wise Rates#0#Close7")/10000</f>
        <v>80.597638119999999</v>
      </c>
      <c r="D23" s="132">
        <f>RTD("tickerplantrtdserver",,"FWRC1#CHFINR#Month Wise Rates#0#Close0")+RTD("tickerplantrtdserver",,"FWRC1#CHFINR#Month Wise Rates#0#Close8")/10000</f>
        <v>80.895039609999998</v>
      </c>
      <c r="E23" s="132">
        <f>RTD("tickerplantrtdserver",,"FWRC1#CHFINR#Month Wise Rates#0#Close0")+RTD("tickerplantrtdserver",,"FWRC1#CHFINR#Month Wise Rates#0#Close9")/10000</f>
        <v>81.241244809999998</v>
      </c>
      <c r="F23" s="132">
        <f>RTD("tickerplantrtdserver",,"FWRC1#CHFINR#Month Wise Rates#0#Close0")+RTD("tickerplantrtdserver",,"FWRC1#CHFINR#Month Wise Rates#0#Close10")/10000</f>
        <v>81.645628520000002</v>
      </c>
      <c r="G23" s="132">
        <f>RTD("tickerplantrtdserver",,"FWRC1#CHFINR#Month Wise Rates#0#Close0")+RTD("tickerplantrtdserver",,"FWRC1#CHFINR#Month Wise Rates#0#Close11")/10000</f>
        <v>81.987147239999999</v>
      </c>
      <c r="H23" s="132">
        <f>RTD("tickerplantrtdserver",,"FWRC1#CHFINR#Month Wise Rates#0#Close0")+RTD("tickerplantrtdserver",,"FWRC1#CHFINR#Month Wise Rates#0#Close12")/10000</f>
        <v>82.312370810000004</v>
      </c>
      <c r="I23" s="132">
        <f>RTD("tickerplantrtdserver",,"FWRC1#CHFINR#Month Wise Rates#0#Close0")+RTD("tickerplantrtdserver",,"FWRC1#CHFINR#Month Wise Rates#0#Close13")/10000</f>
        <v>82.812548079999999</v>
      </c>
      <c r="J23" s="132">
        <f>RTD("tickerplantrtdserver",,"FWRC1#CHFINR#Month Wise Rates#0#Close0")+RTD("tickerplantrtdserver",,"FWRC1#CHFINR#Month Wise Rates#0#Close14")/10000</f>
        <v>83.141916930000008</v>
      </c>
      <c r="K23" s="132">
        <f>RTD("tickerplantrtdserver",,"FWRC1#CHFINR#Month Wise Rates#0#Close0")+RTD("tickerplantrtdserver",,"FWRC1#CHFINR#Month Wise Rates#0#Close15")/10000</f>
        <v>83.539570699999999</v>
      </c>
      <c r="L23" s="132">
        <f>RTD("tickerplantrtdserver",,"FWRC1#CHFINR#Month Wise Rates#0#Close0")+RTD("tickerplantrtdserver",,"FWRC1#CHFINR#Month Wise Rates#0#Close16")/10000</f>
        <v>83.858977109999998</v>
      </c>
      <c r="M23" s="132">
        <f>RTD("tickerplantrtdserver",,"FWRC1#CHFINR#Month Wise Rates#0#Close0")+RTD("tickerplantrtdserver",,"FWRC1#CHFINR#Month Wise Rates#0#Close17")/10000</f>
        <v>84.188613840000002</v>
      </c>
      <c r="N23" s="133">
        <f>RTD("tickerplantrtdserver",,"FWRC1#CHFINR#Month Wise Rates#0#Close0")+RTD("tickerplantrtdserver",,"FWRC1#CHFINR#Month Wise Rates#0#Close18")/10000</f>
        <v>84.606819200000004</v>
      </c>
      <c r="P23" s="172" t="s">
        <v>60</v>
      </c>
    </row>
    <row r="24" spans="1:16" ht="18" customHeight="1" x14ac:dyDescent="0.15">
      <c r="A24" s="117" t="str">
        <f>RTD("tickerplantrtdserver",,"17#3#1#5921#CADINRCOMP#S#Descr.")</f>
        <v>CADINRCOMP</v>
      </c>
      <c r="B24" s="132">
        <f>RTD("tickerplantrtdserver",,"FWRC1#CADINR#Month Wise Rates#0#Close0")</f>
        <v>55.207500000000003</v>
      </c>
      <c r="C24" s="132">
        <f>RTD("tickerplantrtdserver",,"FWRC1#CADINR#Month Wise Rates#0#Close0")+RTD("tickerplantrtdserver",,"FWRC1#CADINR#Month Wise Rates#0#Close7")/10000</f>
        <v>55.393456320000006</v>
      </c>
      <c r="D24" s="132">
        <f>RTD("tickerplantrtdserver",,"FWRC1#CADINR#Month Wise Rates#0#Close0")+RTD("tickerplantrtdserver",,"FWRC1#CADINR#Month Wise Rates#0#Close8")/10000</f>
        <v>55.556646600000001</v>
      </c>
      <c r="E24" s="132">
        <f>RTD("tickerplantrtdserver",,"FWRC1#CADINR#Month Wise Rates#0#Close0")+RTD("tickerplantrtdserver",,"FWRC1#CADINR#Month Wise Rates#0#Close9")/10000</f>
        <v>55.748049250000001</v>
      </c>
      <c r="F24" s="132">
        <f>RTD("tickerplantrtdserver",,"FWRC1#CADINR#Month Wise Rates#0#Close0")+RTD("tickerplantrtdserver",,"FWRC1#CADINR#Month Wise Rates#0#Close10")/10000</f>
        <v>55.969255530000005</v>
      </c>
      <c r="G24" s="132">
        <f>RTD("tickerplantrtdserver",,"FWRC1#CADINR#Month Wise Rates#0#Close0")+RTD("tickerplantrtdserver",,"FWRC1#CADINR#Month Wise Rates#0#Close11")/10000</f>
        <v>56.154382700000006</v>
      </c>
      <c r="H24" s="132">
        <f>RTD("tickerplantrtdserver",,"FWRC1#CADINR#Month Wise Rates#0#Close0")+RTD("tickerplantrtdserver",,"FWRC1#CADINR#Month Wise Rates#0#Close12")/10000</f>
        <v>56.32986597</v>
      </c>
      <c r="I24" s="132">
        <f>RTD("tickerplantrtdserver",,"FWRC1#CADINR#Month Wise Rates#0#Close0")+RTD("tickerplantrtdserver",,"FWRC1#CADINR#Month Wise Rates#0#Close13")/10000</f>
        <v>56.633742670000004</v>
      </c>
      <c r="J24" s="132">
        <f>RTD("tickerplantrtdserver",,"FWRC1#CADINR#Month Wise Rates#0#Close0")+RTD("tickerplantrtdserver",,"FWRC1#CADINR#Month Wise Rates#0#Close14")/10000</f>
        <v>56.794690170000003</v>
      </c>
      <c r="K24" s="132">
        <f>RTD("tickerplantrtdserver",,"FWRC1#CADINR#Month Wise Rates#0#Close0")+RTD("tickerplantrtdserver",,"FWRC1#CADINR#Month Wise Rates#0#Close15")/10000</f>
        <v>57.011391150000001</v>
      </c>
      <c r="L24" s="132">
        <f>RTD("tickerplantrtdserver",,"FWRC1#CADINR#Month Wise Rates#0#Close0")+RTD("tickerplantrtdserver",,"FWRC1#CADINR#Month Wise Rates#0#Close16")/10000</f>
        <v>57.214831440000005</v>
      </c>
      <c r="M24" s="132">
        <f>RTD("tickerplantrtdserver",,"FWRC1#CADINR#Month Wise Rates#0#Close0")+RTD("tickerplantrtdserver",,"FWRC1#CADINR#Month Wise Rates#0#Close17")/10000</f>
        <v>57.399787500000002</v>
      </c>
      <c r="N24" s="133">
        <f>RTD("tickerplantrtdserver",,"FWRC1#CADINR#Month Wise Rates#0#Close0")+RTD("tickerplantrtdserver",,"FWRC1#CADINR#Month Wise Rates#0#Close18")/10000</f>
        <v>57.590740610000005</v>
      </c>
      <c r="P24" s="172"/>
    </row>
    <row r="25" spans="1:16" ht="18" customHeight="1" x14ac:dyDescent="0.15">
      <c r="A25" s="117" t="str">
        <f>RTD("tickerplantrtdserver",,"17#3#1#5903#AUDINRCOMP#S#Descr.")</f>
        <v>AUDINRCOMP</v>
      </c>
      <c r="B25" s="132">
        <f>RTD("tickerplantrtdserver",,"FWRC1#AUDINR#Month Wise Rates#0#Close0")</f>
        <v>52.88</v>
      </c>
      <c r="C25" s="132">
        <f>RTD("tickerplantrtdserver",,"FWRC1#AUDINR#Month Wise Rates#0#Close0")+RTD("tickerplantrtdserver",,"FWRC1#AUDINR#Month Wise Rates#0#Close7")/10000</f>
        <v>53.057478260000003</v>
      </c>
      <c r="D25" s="132">
        <f>RTD("tickerplantrtdserver",,"FWRC1#AUDINR#Month Wise Rates#0#Close0")+RTD("tickerplantrtdserver",,"FWRC1#AUDINR#Month Wise Rates#0#Close8")/10000</f>
        <v>53.21416516</v>
      </c>
      <c r="E25" s="132">
        <f>RTD("tickerplantrtdserver",,"FWRC1#AUDINR#Month Wise Rates#0#Close0")+RTD("tickerplantrtdserver",,"FWRC1#AUDINR#Month Wise Rates#0#Close9")/10000</f>
        <v>53.399820050000002</v>
      </c>
      <c r="F25" s="132">
        <f>RTD("tickerplantrtdserver",,"FWRC1#AUDINR#Month Wise Rates#0#Close0")+RTD("tickerplantrtdserver",,"FWRC1#AUDINR#Month Wise Rates#0#Close10")/10000</f>
        <v>53.60133896</v>
      </c>
      <c r="G25" s="132">
        <f>RTD("tickerplantrtdserver",,"FWRC1#AUDINR#Month Wise Rates#0#Close0")+RTD("tickerplantrtdserver",,"FWRC1#AUDINR#Month Wise Rates#0#Close11")/10000</f>
        <v>53.783028560000005</v>
      </c>
      <c r="H25" s="132">
        <f>RTD("tickerplantrtdserver",,"FWRC1#AUDINR#Month Wise Rates#0#Close0")+RTD("tickerplantrtdserver",,"FWRC1#AUDINR#Month Wise Rates#0#Close12")/10000</f>
        <v>53.956077810000004</v>
      </c>
      <c r="I25" s="132">
        <f>RTD("tickerplantrtdserver",,"FWRC1#AUDINR#Month Wise Rates#0#Close0")+RTD("tickerplantrtdserver",,"FWRC1#AUDINR#Month Wise Rates#0#Close13")/10000</f>
        <v>54.244815500000001</v>
      </c>
      <c r="J25" s="132">
        <f>RTD("tickerplantrtdserver",,"FWRC1#AUDINR#Month Wise Rates#0#Close0")+RTD("tickerplantrtdserver",,"FWRC1#AUDINR#Month Wise Rates#0#Close14")/10000</f>
        <v>54.414463320000003</v>
      </c>
      <c r="K25" s="132">
        <f>RTD("tickerplantrtdserver",,"FWRC1#AUDINR#Month Wise Rates#0#Close0")+RTD("tickerplantrtdserver",,"FWRC1#AUDINR#Month Wise Rates#0#Close15")/10000</f>
        <v>54.614031740000001</v>
      </c>
      <c r="L25" s="132">
        <f>RTD("tickerplantrtdserver",,"FWRC1#AUDINR#Month Wise Rates#0#Close0")+RTD("tickerplantrtdserver",,"FWRC1#AUDINR#Month Wise Rates#0#Close16")/10000</f>
        <v>54.817239669999999</v>
      </c>
      <c r="M25" s="132">
        <f>RTD("tickerplantrtdserver",,"FWRC1#AUDINR#Month Wise Rates#0#Close0")+RTD("tickerplantrtdserver",,"FWRC1#AUDINR#Month Wise Rates#0#Close17")/10000</f>
        <v>54.993531310000002</v>
      </c>
      <c r="N25" s="133">
        <f>RTD("tickerplantrtdserver",,"FWRC1#AUDINR#Month Wise Rates#0#Close0")+RTD("tickerplantrtdserver",,"FWRC1#AUDINR#Month Wise Rates#0#Close18")/10000</f>
        <v>55.18061307</v>
      </c>
      <c r="P25" s="172"/>
    </row>
    <row r="26" spans="1:16" ht="18" customHeight="1" x14ac:dyDescent="0.15">
      <c r="A26" s="117" t="str">
        <f>RTD("tickerplantrtdserver",,"17#3#1#6041#SGDINRCOMP#S#Descr.")</f>
        <v>SGDINRCOMP</v>
      </c>
      <c r="B26" s="132">
        <f>RTD("tickerplantrtdserver",,"FWRC1#SGDINR#Month Wise Rates#0#Close0")</f>
        <v>53.912500000000001</v>
      </c>
      <c r="C26" s="132">
        <f>RTD("tickerplantrtdserver",,"FWRC1#SGDINR#Month Wise Rates#0#Close0")+RTD("tickerplantrtdserver",,"FWRC1#SGDINR#Month Wise Rates#0#Close7")/10000</f>
        <v>54.084304270000004</v>
      </c>
      <c r="D26" s="132">
        <f>RTD("tickerplantrtdserver",,"FWRC1#SGDINR#Month Wise Rates#0#Close0")+RTD("tickerplantrtdserver",,"FWRC1#SGDINR#Month Wise Rates#0#Close8")/10000</f>
        <v>54.223162250000001</v>
      </c>
      <c r="E26" s="132">
        <f>RTD("tickerplantrtdserver",,"FWRC1#SGDINR#Month Wise Rates#0#Close0")+RTD("tickerplantrtdserver",,"FWRC1#SGDINR#Month Wise Rates#0#Close9")/10000</f>
        <v>54.404728900000002</v>
      </c>
      <c r="F26" s="132">
        <f>RTD("tickerplantrtdserver",,"FWRC1#SGDINR#Month Wise Rates#0#Close0")+RTD("tickerplantrtdserver",,"FWRC1#SGDINR#Month Wise Rates#0#Close10")/10000</f>
        <v>54.632419689999999</v>
      </c>
      <c r="G26" s="132">
        <f>RTD("tickerplantrtdserver",,"FWRC1#SGDINR#Month Wise Rates#0#Close0")+RTD("tickerplantrtdserver",,"FWRC1#SGDINR#Month Wise Rates#0#Close11")/10000</f>
        <v>54.812288049999999</v>
      </c>
      <c r="H26" s="132">
        <f>RTD("tickerplantrtdserver",,"FWRC1#SGDINR#Month Wise Rates#0#Close0")+RTD("tickerplantrtdserver",,"FWRC1#SGDINR#Month Wise Rates#0#Close12")/10000</f>
        <v>54.998294999999999</v>
      </c>
      <c r="I26" s="132">
        <f>RTD("tickerplantrtdserver",,"FWRC1#SGDINR#Month Wise Rates#0#Close0")+RTD("tickerplantrtdserver",,"FWRC1#SGDINR#Month Wise Rates#0#Close13")/10000</f>
        <v>55.293785720000002</v>
      </c>
      <c r="J26" s="132">
        <f>RTD("tickerplantrtdserver",,"FWRC1#SGDINR#Month Wise Rates#0#Close0")+RTD("tickerplantrtdserver",,"FWRC1#SGDINR#Month Wise Rates#0#Close14")/10000</f>
        <v>55.471087140000002</v>
      </c>
      <c r="K26" s="132">
        <f>RTD("tickerplantrtdserver",,"FWRC1#SGDINR#Month Wise Rates#0#Close0")+RTD("tickerplantrtdserver",,"FWRC1#SGDINR#Month Wise Rates#0#Close15")/10000</f>
        <v>55.672512220000002</v>
      </c>
      <c r="L26" s="132">
        <f>RTD("tickerplantrtdserver",,"FWRC1#SGDINR#Month Wise Rates#0#Close0")+RTD("tickerplantrtdserver",,"FWRC1#SGDINR#Month Wise Rates#0#Close16")/10000</f>
        <v>55.884660629999999</v>
      </c>
      <c r="M26" s="132">
        <f>RTD("tickerplantrtdserver",,"FWRC1#SGDINR#Month Wise Rates#0#Close0")+RTD("tickerplantrtdserver",,"FWRC1#SGDINR#Month Wise Rates#0#Close17")/10000</f>
        <v>56.06959354</v>
      </c>
      <c r="N26" s="133">
        <f>RTD("tickerplantrtdserver",,"FWRC1#SGDINR#Month Wise Rates#0#Close0")+RTD("tickerplantrtdserver",,"FWRC1#SGDINR#Month Wise Rates#0#Close18")/10000</f>
        <v>56.246984150000003</v>
      </c>
      <c r="P26" s="172"/>
    </row>
    <row r="27" spans="1:16" ht="18" customHeight="1" x14ac:dyDescent="0.15">
      <c r="A27" s="117" t="str">
        <f>RTD("tickerplantrtdserver",,"12#2#1#5949#SEURUSD#S#Descr.")</f>
        <v>EURUSD</v>
      </c>
      <c r="B27" s="132">
        <f>RTD("tickerplantrtdserver",,"FWRC1#EURUSD#Month Wise Rates#0#Close0")</f>
        <v>1.1729000000000001</v>
      </c>
      <c r="C27" s="132">
        <f>RTD("tickerplantrtdserver",,"FWRC1#EURUSD#Month Wise Rates#0#Close0")+RTD("tickerplantrtdserver",,"FWRC1#EURUSD#Month Wise Rates#0#Close7")/10000</f>
        <v>1.1736980000000001</v>
      </c>
      <c r="D27" s="132">
        <f>RTD("tickerplantrtdserver",,"FWRC1#EURUSD#Month Wise Rates#0#Close0")+RTD("tickerplantrtdserver",,"FWRC1#EURUSD#Month Wise Rates#0#Close8")/10000</f>
        <v>1.1744019999999999</v>
      </c>
      <c r="E27" s="132">
        <f>RTD("tickerplantrtdserver",,"FWRC1#EURUSD#Month Wise Rates#0#Close0")+RTD("tickerplantrtdserver",,"FWRC1#EURUSD#Month Wise Rates#0#Close9")/10000</f>
        <v>1.1751500000000001</v>
      </c>
      <c r="F27" s="132">
        <f>RTD("tickerplantrtdserver",,"FWRC1#EURUSD#Month Wise Rates#0#Close0")+RTD("tickerplantrtdserver",,"FWRC1#EURUSD#Month Wise Rates#0#Close10")/10000</f>
        <v>1.17635</v>
      </c>
      <c r="G27" s="132">
        <f>RTD("tickerplantrtdserver",,"FWRC1#EURUSD#Month Wise Rates#0#Close0")+RTD("tickerplantrtdserver",,"FWRC1#EURUSD#Month Wise Rates#0#Close11")/10000</f>
        <v>1.1770890000000001</v>
      </c>
      <c r="H27" s="132">
        <f>RTD("tickerplantrtdserver",,"FWRC1#EURUSD#Month Wise Rates#0#Close0")+RTD("tickerplantrtdserver",,"FWRC1#EURUSD#Month Wise Rates#0#Close12")/10000</f>
        <v>1.1777840000000002</v>
      </c>
      <c r="I27" s="132">
        <f>RTD("tickerplantrtdserver",,"FWRC1#EURUSD#Month Wise Rates#0#Close0")+RTD("tickerplantrtdserver",,"FWRC1#EURUSD#Month Wise Rates#0#Close13")/10000</f>
        <v>1.178644</v>
      </c>
      <c r="J27" s="132">
        <f>RTD("tickerplantrtdserver",,"FWRC1#EURUSD#Month Wise Rates#0#Close0")+RTD("tickerplantrtdserver",,"FWRC1#EURUSD#Month Wise Rates#0#Close14")/10000</f>
        <v>1.1793800000000001</v>
      </c>
      <c r="K27" s="132">
        <f>RTD("tickerplantrtdserver",,"FWRC1#EURUSD#Month Wise Rates#0#Close0")+RTD("tickerplantrtdserver",,"FWRC1#EURUSD#Month Wise Rates#0#Close15")/10000</f>
        <v>1.180191</v>
      </c>
      <c r="L27" s="132">
        <f>RTD("tickerplantrtdserver",,"FWRC1#EURUSD#Month Wise Rates#0#Close0")+RTD("tickerplantrtdserver",,"FWRC1#EURUSD#Month Wise Rates#0#Close16")/10000</f>
        <v>1.181082</v>
      </c>
      <c r="M27" s="132">
        <f>RTD("tickerplantrtdserver",,"FWRC1#EURUSD#Month Wise Rates#0#Close0")+RTD("tickerplantrtdserver",,"FWRC1#EURUSD#Month Wise Rates#0#Close17")/10000</f>
        <v>1.1818690000000001</v>
      </c>
      <c r="N27" s="133">
        <f>RTD("tickerplantrtdserver",,"FWRC1#EURUSD#Month Wise Rates#0#Close0")+RTD("tickerplantrtdserver",,"FWRC1#EURUSD#Month Wise Rates#0#Close18")/10000</f>
        <v>1.1827020000000001</v>
      </c>
      <c r="P27" s="172"/>
    </row>
    <row r="28" spans="1:16" ht="18" customHeight="1" x14ac:dyDescent="0.15">
      <c r="A28" s="117" t="str">
        <f>RTD("tickerplantrtdserver",,"12#2#1#6031#SGBPUSD#S#Descr.")</f>
        <v>GBPUSD</v>
      </c>
      <c r="B28" s="132">
        <f>RTD("tickerplantrtdserver",,"FWRC1#GBPUSD#Month Wise Rates#0#Close0")</f>
        <v>1.27976</v>
      </c>
      <c r="C28" s="132">
        <f>RTD("tickerplantrtdserver",,"FWRC1#GBPUSD#Month Wise Rates#0#Close0")+RTD("tickerplantrtdserver",,"FWRC1#GBPUSD#Month Wise Rates#0#Close7")/10000</f>
        <v>1.27996</v>
      </c>
      <c r="D28" s="132">
        <f>RTD("tickerplantrtdserver",,"FWRC1#GBPUSD#Month Wise Rates#0#Close0")+RTD("tickerplantrtdserver",,"FWRC1#GBPUSD#Month Wise Rates#0#Close8")/10000</f>
        <v>1.2801340000000001</v>
      </c>
      <c r="E28" s="132">
        <f>RTD("tickerplantrtdserver",,"FWRC1#GBPUSD#Month Wise Rates#0#Close0")+RTD("tickerplantrtdserver",,"FWRC1#GBPUSD#Month Wise Rates#0#Close9")/10000</f>
        <v>1.2803</v>
      </c>
      <c r="F28" s="132">
        <f>RTD("tickerplantrtdserver",,"FWRC1#GBPUSD#Month Wise Rates#0#Close0")+RTD("tickerplantrtdserver",,"FWRC1#GBPUSD#Month Wise Rates#0#Close10")/10000</f>
        <v>1.2808999999999999</v>
      </c>
      <c r="G28" s="132">
        <f>RTD("tickerplantrtdserver",,"FWRC1#GBPUSD#Month Wise Rates#0#Close0")+RTD("tickerplantrtdserver",,"FWRC1#GBPUSD#Month Wise Rates#0#Close11")/10000</f>
        <v>1.2810600000000001</v>
      </c>
      <c r="H28" s="132">
        <f>RTD("tickerplantrtdserver",,"FWRC1#GBPUSD#Month Wise Rates#0#Close0")+RTD("tickerplantrtdserver",,"FWRC1#GBPUSD#Month Wise Rates#0#Close12")/10000</f>
        <v>1.281196</v>
      </c>
      <c r="I28" s="132">
        <f>RTD("tickerplantrtdserver",,"FWRC1#GBPUSD#Month Wise Rates#0#Close0")+RTD("tickerplantrtdserver",,"FWRC1#GBPUSD#Month Wise Rates#0#Close13")/10000</f>
        <v>1.281374</v>
      </c>
      <c r="J28" s="132">
        <f>RTD("tickerplantrtdserver",,"FWRC1#GBPUSD#Month Wise Rates#0#Close0")+RTD("tickerplantrtdserver",,"FWRC1#GBPUSD#Month Wise Rates#0#Close14")/10000</f>
        <v>1.281533</v>
      </c>
      <c r="K28" s="132">
        <f>RTD("tickerplantrtdserver",,"FWRC1#GBPUSD#Month Wise Rates#0#Close0")+RTD("tickerplantrtdserver",,"FWRC1#GBPUSD#Month Wise Rates#0#Close15")/10000</f>
        <v>1.2817719999999999</v>
      </c>
      <c r="L28" s="132">
        <f>RTD("tickerplantrtdserver",,"FWRC1#GBPUSD#Month Wise Rates#0#Close0")+RTD("tickerplantrtdserver",,"FWRC1#GBPUSD#Month Wise Rates#0#Close16")/10000</f>
        <v>1.281954</v>
      </c>
      <c r="M28" s="132">
        <f>RTD("tickerplantrtdserver",,"FWRC1#GBPUSD#Month Wise Rates#0#Close0")+RTD("tickerplantrtdserver",,"FWRC1#GBPUSD#Month Wise Rates#0#Close17")/10000</f>
        <v>1.28217</v>
      </c>
      <c r="N28" s="133">
        <f>RTD("tickerplantrtdserver",,"FWRC1#GBPUSD#Month Wise Rates#0#Close0")+RTD("tickerplantrtdserver",,"FWRC1#GBPUSD#Month Wise Rates#0#Close18")/10000</f>
        <v>1.28237</v>
      </c>
    </row>
    <row r="29" spans="1:16" ht="18" customHeight="1" x14ac:dyDescent="0.15">
      <c r="A29" s="117" t="str">
        <f>RTD("tickerplantrtdserver",,"12#2#1#6069#SUSDJPY#S#Descr.")</f>
        <v>USDJPY</v>
      </c>
      <c r="B29" s="134">
        <f>RTD("tickerplantrtdserver",,"FWRC1#USDJPY#Month Wise Rates#0#Close0")</f>
        <v>104.666</v>
      </c>
      <c r="C29" s="134">
        <f>RTD("tickerplantrtdserver",,"FWRC1#USDJPY#Month Wise Rates#0#Close0")+RTD("tickerplantrtdserver",,"FWRC1#USDJPY#Month Wise Rates#0#Close7")/100</f>
        <v>104.61839999999999</v>
      </c>
      <c r="D29" s="134">
        <f>RTD("tickerplantrtdserver",,"FWRC1#USDJPY#Month Wise Rates#0#Close0")+RTD("tickerplantrtdserver",,"FWRC1#USDJPY#Month Wise Rates#0#Close8")/100</f>
        <v>104.58319999999999</v>
      </c>
      <c r="E29" s="134">
        <f>RTD("tickerplantrtdserver",,"FWRC1#USDJPY#Month Wise Rates#0#Close0")+RTD("tickerplantrtdserver",,"FWRC1#USDJPY#Month Wise Rates#0#Close9")/100</f>
        <v>104.5424</v>
      </c>
      <c r="F29" s="134">
        <f>RTD("tickerplantrtdserver",,"FWRC1#USDJPY#Month Wise Rates#0#Close0")+RTD("tickerplantrtdserver",,"FWRC1#USDJPY#Month Wise Rates#0#Close10")/100</f>
        <v>104.4431</v>
      </c>
      <c r="G29" s="134">
        <f>RTD("tickerplantrtdserver",,"FWRC1#USDJPY#Month Wise Rates#0#Close0")+RTD("tickerplantrtdserver",,"FWRC1#USDJPY#Month Wise Rates#0#Close11")/100</f>
        <v>104.4046</v>
      </c>
      <c r="H29" s="134">
        <f>RTD("tickerplantrtdserver",,"FWRC1#USDJPY#Month Wise Rates#0#Close0")+RTD("tickerplantrtdserver",,"FWRC1#USDJPY#Month Wise Rates#0#Close12")/100</f>
        <v>104.3633</v>
      </c>
      <c r="I29" s="134">
        <f>RTD("tickerplantrtdserver",,"FWRC1#USDJPY#Month Wise Rates#0#Close0")+RTD("tickerplantrtdserver",,"FWRC1#USDJPY#Month Wise Rates#0#Close13")/100</f>
        <v>104.3005</v>
      </c>
      <c r="J29" s="134">
        <f>RTD("tickerplantrtdserver",,"FWRC1#USDJPY#Month Wise Rates#0#Close0")+RTD("tickerplantrtdserver",,"FWRC1#USDJPY#Month Wise Rates#0#Close14")/100</f>
        <v>104.2689</v>
      </c>
      <c r="K29" s="134">
        <f>RTD("tickerplantrtdserver",,"FWRC1#USDJPY#Month Wise Rates#0#Close0")+RTD("tickerplantrtdserver",,"FWRC1#USDJPY#Month Wise Rates#0#Close15")/100</f>
        <v>104.2124</v>
      </c>
      <c r="L29" s="134">
        <f>RTD("tickerplantrtdserver",,"FWRC1#USDJPY#Month Wise Rates#0#Close0")+RTD("tickerplantrtdserver",,"FWRC1#USDJPY#Month Wise Rates#0#Close16")/100</f>
        <v>104.1679</v>
      </c>
      <c r="M29" s="134">
        <f>RTD("tickerplantrtdserver",,"FWRC1#USDJPY#Month Wise Rates#0#Close0")+RTD("tickerplantrtdserver",,"FWRC1#USDJPY#Month Wise Rates#0#Close17")/100</f>
        <v>104.113</v>
      </c>
      <c r="N29" s="135">
        <f>RTD("tickerplantrtdserver",,"FWRC1#USDJPY#Month Wise Rates#0#Close0")+RTD("tickerplantrtdserver",,"FWRC1#USDJPY#Month Wise Rates#0#Close18")/100</f>
        <v>104.0736</v>
      </c>
    </row>
    <row r="30" spans="1:16" ht="18" customHeight="1" x14ac:dyDescent="0.15">
      <c r="A30" s="117" t="str">
        <f>RTD("tickerplantrtdserver",,"12#2#1#6069#SUSDCHF#S#Descr.")</f>
        <v>USDCHF</v>
      </c>
      <c r="B30" s="132">
        <f>RTD("tickerplantrtdserver",,"FWRC1#USDCHF#Month Wise Rates#0#Close0")</f>
        <v>0.91686000000000001</v>
      </c>
      <c r="C30" s="132">
        <f>RTD("tickerplantrtdserver",,"FWRC1#USDCHF#Month Wise Rates#0#Close0")+RTD("tickerplantrtdserver",,"FWRC1#USDCHF#Month Wise Rates#0#Close7")/10000</f>
        <v>0.91600400000000004</v>
      </c>
      <c r="D30" s="132">
        <f>RTD("tickerplantrtdserver",,"FWRC1#USDCHF#Month Wise Rates#0#Close0")+RTD("tickerplantrtdserver",,"FWRC1#USDCHF#Month Wise Rates#0#Close8")/10000</f>
        <v>0.91524099999999997</v>
      </c>
      <c r="E30" s="132">
        <f>RTD("tickerplantrtdserver",,"FWRC1#USDCHF#Month Wise Rates#0#Close0")+RTD("tickerplantrtdserver",,"FWRC1#USDCHF#Month Wise Rates#0#Close9")/10000</f>
        <v>0.91446800000000006</v>
      </c>
      <c r="F30" s="132">
        <f>RTD("tickerplantrtdserver",,"FWRC1#USDCHF#Month Wise Rates#0#Close0")+RTD("tickerplantrtdserver",,"FWRC1#USDCHF#Month Wise Rates#0#Close10")/10000</f>
        <v>0.91317599999999999</v>
      </c>
      <c r="G30" s="132">
        <f>RTD("tickerplantrtdserver",,"FWRC1#USDCHF#Month Wise Rates#0#Close0")+RTD("tickerplantrtdserver",,"FWRC1#USDCHF#Month Wise Rates#0#Close11")/10000</f>
        <v>0.91237400000000002</v>
      </c>
      <c r="H30" s="132">
        <f>RTD("tickerplantrtdserver",,"FWRC1#USDCHF#Month Wise Rates#0#Close0")+RTD("tickerplantrtdserver",,"FWRC1#USDCHF#Month Wise Rates#0#Close12")/10000</f>
        <v>0.91163099999999997</v>
      </c>
      <c r="I30" s="132">
        <f>RTD("tickerplantrtdserver",,"FWRC1#USDCHF#Month Wise Rates#0#Close0")+RTD("tickerplantrtdserver",,"FWRC1#USDCHF#Month Wise Rates#0#Close13")/10000</f>
        <v>0.91075499999999998</v>
      </c>
      <c r="J30" s="132">
        <f>RTD("tickerplantrtdserver",,"FWRC1#USDCHF#Month Wise Rates#0#Close0")+RTD("tickerplantrtdserver",,"FWRC1#USDCHF#Month Wise Rates#0#Close14")/10000</f>
        <v>0.909914</v>
      </c>
      <c r="K30" s="132">
        <f>RTD("tickerplantrtdserver",,"FWRC1#USDCHF#Month Wise Rates#0#Close0")+RTD("tickerplantrtdserver",,"FWRC1#USDCHF#Month Wise Rates#0#Close15")/10000</f>
        <v>0.90919000000000005</v>
      </c>
      <c r="L30" s="132">
        <f>RTD("tickerplantrtdserver",,"FWRC1#USDCHF#Month Wise Rates#0#Close0")+RTD("tickerplantrtdserver",,"FWRC1#USDCHF#Month Wise Rates#0#Close16")/10000</f>
        <v>0.90818600000000005</v>
      </c>
      <c r="M30" s="132">
        <f>RTD("tickerplantrtdserver",,"FWRC1#USDCHF#Month Wise Rates#0#Close0")+RTD("tickerplantrtdserver",,"FWRC1#USDCHF#Month Wise Rates#0#Close17")/10000</f>
        <v>0.90754400000000002</v>
      </c>
      <c r="N30" s="133">
        <f>RTD("tickerplantrtdserver",,"FWRC1#USDCHF#Month Wise Rates#0#Close0")+RTD("tickerplantrtdserver",,"FWRC1#USDCHF#Month Wise Rates#0#Close18")/10000</f>
        <v>0.90656999999999999</v>
      </c>
    </row>
    <row r="31" spans="1:16" ht="18" customHeight="1" x14ac:dyDescent="0.15">
      <c r="A31" s="117" t="str">
        <f>RTD("tickerplantrtdserver",,"12#2#1#6069#SUSDCAD#S#Descr.")</f>
        <v>USDCAD</v>
      </c>
      <c r="B31" s="132">
        <f>RTD("tickerplantrtdserver",,"FWRC1#USDCAD#Month Wise Rates#0#Close0")</f>
        <v>1.33283</v>
      </c>
      <c r="C31" s="132">
        <f>RTD("tickerplantrtdserver",,"FWRC1#USDCAD#Month Wise Rates#0#Close0")+RTD("tickerplantrtdserver",,"FWRC1#USDCAD#Month Wise Rates#0#Close7")/10000</f>
        <v>1.3326819999999999</v>
      </c>
      <c r="D31" s="132">
        <f>RTD("tickerplantrtdserver",,"FWRC1#USDCAD#Month Wise Rates#0#Close0")+RTD("tickerplantrtdserver",,"FWRC1#USDCAD#Month Wise Rates#0#Close8")/10000</f>
        <v>1.3325559999999999</v>
      </c>
      <c r="E31" s="132">
        <f>RTD("tickerplantrtdserver",,"FWRC1#USDCAD#Month Wise Rates#0#Close0")+RTD("tickerplantrtdserver",,"FWRC1#USDCAD#Month Wise Rates#0#Close9")/10000</f>
        <v>1.332484</v>
      </c>
      <c r="F31" s="132">
        <f>RTD("tickerplantrtdserver",,"FWRC1#USDCAD#Month Wise Rates#0#Close0")+RTD("tickerplantrtdserver",,"FWRC1#USDCAD#Month Wise Rates#0#Close10")/10000</f>
        <v>1.3319779999999999</v>
      </c>
      <c r="G31" s="132">
        <f>RTD("tickerplantrtdserver",,"FWRC1#USDCAD#Month Wise Rates#0#Close0")+RTD("tickerplantrtdserver",,"FWRC1#USDCAD#Month Wise Rates#0#Close11")/10000</f>
        <v>1.331942</v>
      </c>
      <c r="H31" s="132">
        <f>RTD("tickerplantrtdserver",,"FWRC1#USDCAD#Month Wise Rates#0#Close0")+RTD("tickerplantrtdserver",,"FWRC1#USDCAD#Month Wise Rates#0#Close12")/10000</f>
        <v>1.331898</v>
      </c>
      <c r="I31" s="132">
        <f>RTD("tickerplantrtdserver",,"FWRC1#USDCAD#Month Wise Rates#0#Close0")+RTD("tickerplantrtdserver",,"FWRC1#USDCAD#Month Wise Rates#0#Close13")/10000</f>
        <v>1.3318459999999999</v>
      </c>
      <c r="J31" s="132">
        <f>RTD("tickerplantrtdserver",,"FWRC1#USDCAD#Month Wise Rates#0#Close0")+RTD("tickerplantrtdserver",,"FWRC1#USDCAD#Month Wise Rates#0#Close14")/10000</f>
        <v>1.332006</v>
      </c>
      <c r="K31" s="132">
        <f>RTD("tickerplantrtdserver",,"FWRC1#USDCAD#Month Wise Rates#0#Close0")+RTD("tickerplantrtdserver",,"FWRC1#USDCAD#Month Wise Rates#0#Close15")/10000</f>
        <v>1.332023</v>
      </c>
      <c r="L31" s="132">
        <f>RTD("tickerplantrtdserver",,"FWRC1#USDCAD#Month Wise Rates#0#Close0")+RTD("tickerplantrtdserver",,"FWRC1#USDCAD#Month Wise Rates#0#Close16")/10000</f>
        <v>1.332055</v>
      </c>
      <c r="M31" s="132">
        <f>RTD("tickerplantrtdserver",,"FWRC1#USDCAD#Month Wise Rates#0#Close0")+RTD("tickerplantrtdserver",,"FWRC1#USDCAD#Month Wise Rates#0#Close17")/10000</f>
        <v>1.3320699999999999</v>
      </c>
      <c r="N31" s="133">
        <f>RTD("tickerplantrtdserver",,"FWRC1#USDCAD#Month Wise Rates#0#Close0")+RTD("tickerplantrtdserver",,"FWRC1#USDCAD#Month Wise Rates#0#Close18")/10000</f>
        <v>1.3322430000000001</v>
      </c>
    </row>
    <row r="32" spans="1:16" ht="18" customHeight="1" x14ac:dyDescent="0.15">
      <c r="A32" s="117" t="str">
        <f>RTD("tickerplantrtdserver",,"12#2#1#5903#SAUDUSD#S#Descr.")</f>
        <v>AUDUSD</v>
      </c>
      <c r="B32" s="132">
        <f>RTD("tickerplantrtdserver",,"FWRC1#AUDUSD#Month Wise Rates#0#Close0")</f>
        <v>0.71858</v>
      </c>
      <c r="C32" s="132">
        <f>RTD("tickerplantrtdserver",,"FWRC1#AUDUSD#Month Wise Rates#0#Close0")+RTD("tickerplantrtdserver",,"FWRC1#AUDUSD#Month Wise Rates#0#Close7")/10000</f>
        <v>0.71863500000000002</v>
      </c>
      <c r="D32" s="132">
        <f>RTD("tickerplantrtdserver",,"FWRC1#AUDUSD#Month Wise Rates#0#Close0")+RTD("tickerplantrtdserver",,"FWRC1#AUDUSD#Month Wise Rates#0#Close8")/10000</f>
        <v>0.718692</v>
      </c>
      <c r="E32" s="132">
        <f>RTD("tickerplantrtdserver",,"FWRC1#AUDUSD#Month Wise Rates#0#Close0")+RTD("tickerplantrtdserver",,"FWRC1#AUDUSD#Month Wise Rates#0#Close9")/10000</f>
        <v>0.71876099999999998</v>
      </c>
      <c r="F32" s="132">
        <f>RTD("tickerplantrtdserver",,"FWRC1#AUDUSD#Month Wise Rates#0#Close0")+RTD("tickerplantrtdserver",,"FWRC1#AUDUSD#Month Wise Rates#0#Close10")/10000</f>
        <v>0.71884599999999998</v>
      </c>
      <c r="G32" s="132">
        <f>RTD("tickerplantrtdserver",,"FWRC1#AUDUSD#Month Wise Rates#0#Close0")+RTD("tickerplantrtdserver",,"FWRC1#AUDUSD#Month Wise Rates#0#Close11")/10000</f>
        <v>0.71890100000000001</v>
      </c>
      <c r="H32" s="132">
        <f>RTD("tickerplantrtdserver",,"FWRC1#AUDUSD#Month Wise Rates#0#Close0")+RTD("tickerplantrtdserver",,"FWRC1#AUDUSD#Month Wise Rates#0#Close12")/10000</f>
        <v>0.71893700000000005</v>
      </c>
      <c r="I32" s="132">
        <f>RTD("tickerplantrtdserver",,"FWRC1#AUDUSD#Month Wise Rates#0#Close0")+RTD("tickerplantrtdserver",,"FWRC1#AUDUSD#Month Wise Rates#0#Close13")/10000</f>
        <v>0.71897800000000001</v>
      </c>
      <c r="J32" s="132">
        <f>RTD("tickerplantrtdserver",,"FWRC1#AUDUSD#Month Wise Rates#0#Close0")+RTD("tickerplantrtdserver",,"FWRC1#AUDUSD#Month Wise Rates#0#Close14")/10000</f>
        <v>0.71896099999999996</v>
      </c>
      <c r="K32" s="132">
        <f>RTD("tickerplantrtdserver",,"FWRC1#AUDUSD#Month Wise Rates#0#Close0")+RTD("tickerplantrtdserver",,"FWRC1#AUDUSD#Month Wise Rates#0#Close15")/10000</f>
        <v>0.71899400000000002</v>
      </c>
      <c r="L32" s="132">
        <f>RTD("tickerplantrtdserver",,"FWRC1#AUDUSD#Month Wise Rates#0#Close0")+RTD("tickerplantrtdserver",,"FWRC1#AUDUSD#Month Wise Rates#0#Close16")/10000</f>
        <v>0.71900799999999998</v>
      </c>
      <c r="M32" s="132">
        <f>RTD("tickerplantrtdserver",,"FWRC1#AUDUSD#Month Wise Rates#0#Close0")+RTD("tickerplantrtdserver",,"FWRC1#AUDUSD#Month Wise Rates#0#Close17")/10000</f>
        <v>0.71901300000000001</v>
      </c>
      <c r="N32" s="133">
        <f>RTD("tickerplantrtdserver",,"FWRC1#AUDUSD#Month Wise Rates#0#Close0")+RTD("tickerplantrtdserver",,"FWRC1#AUDUSD#Month Wise Rates#0#Close18")/10000</f>
        <v>0.71899299999999999</v>
      </c>
    </row>
    <row r="33" spans="1:18" ht="18" customHeight="1" thickBot="1" x14ac:dyDescent="0.2">
      <c r="A33" s="122" t="str">
        <f>RTD("tickerplantrtdserver",,"12#2#1#6069#SUSDSGD#S#Descr.")</f>
        <v>USDSGD</v>
      </c>
      <c r="B33" s="123">
        <f>RTD("tickerplantrtdserver",,"12#2#1#6069#SUSDSGD#LTP")</f>
        <v>1.3645</v>
      </c>
      <c r="C33" s="123">
        <f>RTD("tickerplantrtdserver",,"12#2#1#6069#SUSDSGD#LTP")+RTD("tickerplantrtdserver",,"12#1#1#6069#FUSDSGD\01M#LTP")/10000</f>
        <v>1.364425</v>
      </c>
      <c r="D33" s="123">
        <f>RTD("tickerplantrtdserver",,"12#2#1#6069#SUSDSGD#LTP")+RTD("tickerplantrtdserver",,"12#1#1#6069#FUSDSGD\02M#LTP")/10000</f>
        <v>1.3643430000000001</v>
      </c>
      <c r="E33" s="123">
        <f>RTD("tickerplantrtdserver",,"12#2#1#6069#SUSDSGD#LTP")+RTD("tickerplantrtdserver",,"12#1#1#6069#FUSDSGD\03M#LTP")/10000</f>
        <v>1.3643020000000001</v>
      </c>
      <c r="F33" s="123">
        <f>RTD("tickerplantrtdserver",,"12#2#1#6069#SUSDSGD#LTP")+RTD("tickerplantrtdserver",,"12#1#1#6069#FUSDSGD\04M#LTP")/10000</f>
        <v>1.3641400000000001</v>
      </c>
      <c r="G33" s="123">
        <f>RTD("tickerplantrtdserver",,"12#2#1#6069#SUSDSGD#LTP")+RTD("tickerplantrtdserver",,"12#1#1#6069#FUSDSGD\05M#LTP")/10000</f>
        <v>1.364017</v>
      </c>
      <c r="H33" s="123">
        <f>RTD("tickerplantrtdserver",,"12#2#1#6069#SUSDSGD#LTP")+RTD("tickerplantrtdserver",,"12#1#1#6069#FUSDSGD\06M#LTP")/10000</f>
        <v>1.363909</v>
      </c>
      <c r="I33" s="123">
        <f>RTD("tickerplantrtdserver",,"12#2#1#6069#SUSDSGD#LTP")+RTD("tickerplantrtdserver",,"12#1#1#6069#FUSDSGD\07M#LTP")/10000</f>
        <v>1.363666</v>
      </c>
      <c r="J33" s="123">
        <f>RTD("tickerplantrtdserver",,"12#2#1#6069#SUSDSGD#LTP")+RTD("tickerplantrtdserver",,"12#1#1#6069#FUSDSGD\08M#LTP")/10000</f>
        <v>1.363516</v>
      </c>
      <c r="K33" s="123">
        <f>RTD("tickerplantrtdserver",,"12#2#1#6069#SUSDSGD#LTP")+RTD("tickerplantrtdserver",,"12#1#1#6069#FUSDSGD\09M#LTP")/10000</f>
        <v>1.3634710000000001</v>
      </c>
      <c r="L33" s="123">
        <f>RTD("tickerplantrtdserver",,"12#2#1#6069#SUSDSGD#LTP")+RTD("tickerplantrtdserver",,"12#1#1#6069#FUSDSGD\10M#LTP")/10000</f>
        <v>1.363324</v>
      </c>
      <c r="M33" s="123">
        <f>RTD("tickerplantrtdserver",,"12#2#1#6069#SUSDSGD#LTP")+RTD("tickerplantrtdserver",,"12#1#1#6069#FUSDSGD\11M#LTP")/10000</f>
        <v>1.3631390000000001</v>
      </c>
      <c r="N33" s="124">
        <f>RTD("tickerplantrtdserver",,"12#2#1#6069#SUSDSGD#LTP")+RTD("tickerplantrtdserver",,"12#1#1#6069#FUSDSGD\12M#LTP")/10000</f>
        <v>1.363089</v>
      </c>
    </row>
    <row r="34" spans="1:18" ht="18" customHeight="1" thickBot="1" x14ac:dyDescent="0.2"/>
    <row r="35" spans="1:18" ht="18" customHeight="1" thickBot="1" x14ac:dyDescent="0.2">
      <c r="A35" s="110" t="s">
        <v>14</v>
      </c>
      <c r="B35" s="136" t="s">
        <v>56</v>
      </c>
      <c r="C35" s="136" t="s">
        <v>57</v>
      </c>
      <c r="D35" s="136" t="s">
        <v>58</v>
      </c>
      <c r="E35" s="136" t="s">
        <v>36</v>
      </c>
      <c r="F35" s="136" t="s">
        <v>37</v>
      </c>
      <c r="G35" s="136" t="s">
        <v>35</v>
      </c>
      <c r="H35" s="136" t="s">
        <v>38</v>
      </c>
      <c r="I35" s="136" t="s">
        <v>39</v>
      </c>
      <c r="J35" s="136" t="s">
        <v>34</v>
      </c>
      <c r="K35" s="137" t="s">
        <v>43</v>
      </c>
      <c r="L35" s="137" t="s">
        <v>44</v>
      </c>
      <c r="M35" s="137" t="s">
        <v>40</v>
      </c>
      <c r="N35" s="137" t="s">
        <v>45</v>
      </c>
      <c r="O35" s="137" t="s">
        <v>46</v>
      </c>
      <c r="P35" s="138" t="s">
        <v>33</v>
      </c>
      <c r="R35" s="172" t="s">
        <v>61</v>
      </c>
    </row>
    <row r="36" spans="1:18" ht="18" customHeight="1" x14ac:dyDescent="0.15">
      <c r="A36" s="114" t="s">
        <v>27</v>
      </c>
      <c r="B36" s="139">
        <f>RTD("tickerplantrtdserver",,"47#5#1#5629#USDON.LIBOR#LTP")</f>
        <v>8.2500000000000004E-2</v>
      </c>
      <c r="C36" s="139">
        <f>RTD("tickerplantrtdserver",,"47#5#1#5629#USD1W.LIBOR#LTP")</f>
        <v>0</v>
      </c>
      <c r="D36" s="139">
        <f>RTD("tickerplantrtdserver",,"47#5#1#5629#USD2W.LIBOR#LTP")</f>
        <v>0</v>
      </c>
      <c r="E36" s="140">
        <f>RTD("tickerplantrtdserver",,"47#5#1#5629#USD1M.LIBOR#LTP")</f>
        <v>0.15187999999999999</v>
      </c>
      <c r="F36" s="140">
        <f>RTD("tickerplantrtdserver",,"47#5#1#5629#USD2M.LIBOR#LTP")</f>
        <v>0.17799999999999999</v>
      </c>
      <c r="G36" s="140">
        <f>RTD("tickerplantrtdserver",,"47#5#1#5629#USD3M.LIBOR#LTP")</f>
        <v>0.22325</v>
      </c>
      <c r="H36" s="140">
        <f>RTD("tickerplantrtdserver",,"47#5#1#5629#USD4M.LIBOR#LTP")</f>
        <v>0.31709999999999999</v>
      </c>
      <c r="I36" s="140">
        <f>RTD("tickerplantrtdserver",,"47#5#1#5629#USD5M.LIBOR#LTP")</f>
        <v>0.36725999999999998</v>
      </c>
      <c r="J36" s="140">
        <f>RTD("tickerplantrtdserver",,"47#5#1#5629#USD6M.LIBOR#LTP")</f>
        <v>0.27288000000000001</v>
      </c>
      <c r="K36" s="141">
        <f>RTD("tickerplantrtdserver",,"47#5#1#5629#USD7M.LIBOR#LTP")</f>
        <v>0.46740999999999999</v>
      </c>
      <c r="L36" s="141">
        <f>RTD("tickerplantrtdserver",,"47#5#1#5629#USD8M.LIBOR#LTP")</f>
        <v>0</v>
      </c>
      <c r="M36" s="141">
        <f>RTD("tickerplantrtdserver",,"47#5#1#5629#USD9M.LIBOR#LTP")</f>
        <v>0.55079999999999996</v>
      </c>
      <c r="N36" s="141">
        <f>RTD("tickerplantrtdserver",,"47#5#1#5629#USD10M.LIBOR#LTP")</f>
        <v>0</v>
      </c>
      <c r="O36" s="141">
        <f>RTD("tickerplantrtdserver",,"47#5#1#5629#USD11M.LIBOR#LTP")</f>
        <v>0</v>
      </c>
      <c r="P36" s="142">
        <f>RTD("tickerplantrtdserver",,"47#5#1#5629#USD1Y.LIBOR#LTP")</f>
        <v>0</v>
      </c>
      <c r="R36" s="172"/>
    </row>
    <row r="37" spans="1:18" ht="18" customHeight="1" x14ac:dyDescent="0.15">
      <c r="A37" s="117" t="s">
        <v>25</v>
      </c>
      <c r="B37" s="143">
        <f>RTD("tickerplantrtdserver",,"47#5#1#5629#EURON.LIBOR#LTP")</f>
        <v>0</v>
      </c>
      <c r="C37" s="143">
        <f>RTD("tickerplantrtdserver",,"47#5#1#5629#EUR1W.LIBOR#LTP")</f>
        <v>0</v>
      </c>
      <c r="D37" s="143">
        <f>RTD("tickerplantrtdserver",,"47#5#1#5629#EUR2W.LIBOR#LTP")</f>
        <v>0</v>
      </c>
      <c r="E37" s="144">
        <f>RTD("tickerplantrtdserver",,"47#5#1#5629#EUR1M.LIBOR#LTP")</f>
        <v>0</v>
      </c>
      <c r="F37" s="144">
        <f>RTD("tickerplantrtdserver",,"47#5#1#5629#EUR2M.LIBOR#LTP")</f>
        <v>0</v>
      </c>
      <c r="G37" s="144">
        <f>RTD("tickerplantrtdserver",,"47#5#1#5629#EUR3M.LIBOR#LTP")</f>
        <v>0</v>
      </c>
      <c r="H37" s="144">
        <f>RTD("tickerplantrtdserver",,"47#5#1#5629#EUR4M.LIBOR#LTP")</f>
        <v>0</v>
      </c>
      <c r="I37" s="144">
        <f>RTD("tickerplantrtdserver",,"47#5#1#5629#EUR5M.LIBOR#LTP")</f>
        <v>0</v>
      </c>
      <c r="J37" s="144">
        <f>RTD("tickerplantrtdserver",,"47#5#1#5629#EUR6M.LIBOR#LTP")</f>
        <v>0</v>
      </c>
      <c r="K37" s="145">
        <f>RTD("tickerplantrtdserver",,"47#5#1#5629#EUR7M.LIBOR#LTP")</f>
        <v>0</v>
      </c>
      <c r="L37" s="145">
        <f>RTD("tickerplantrtdserver",,"47#5#1#5629#EUR8M.LIBOR#LTP")</f>
        <v>0</v>
      </c>
      <c r="M37" s="145">
        <f>RTD("tickerplantrtdserver",,"47#5#1#5629#EUR9M.LIBOR#LTP")</f>
        <v>0</v>
      </c>
      <c r="N37" s="145">
        <f>RTD("tickerplantrtdserver",,"47#5#1#5629#EUR10M.LIBOR#LTP")</f>
        <v>0</v>
      </c>
      <c r="O37" s="145">
        <f>RTD("tickerplantrtdserver",,"47#5#1#5629#EUR11M.LIBOR#LTP")</f>
        <v>0</v>
      </c>
      <c r="P37" s="146">
        <f>RTD("tickerplantrtdserver",,"47#5#1#5629#EUR1Y.LIBOR#LTP")</f>
        <v>-0.43099999999999999</v>
      </c>
      <c r="R37" s="172"/>
    </row>
    <row r="38" spans="1:18" ht="18" customHeight="1" x14ac:dyDescent="0.15">
      <c r="A38" s="117" t="s">
        <v>23</v>
      </c>
      <c r="B38" s="143">
        <f>RTD("tickerplantrtdserver",,"47#5#1#5629#GBPON.LIBOR#LTP")</f>
        <v>0</v>
      </c>
      <c r="C38" s="143">
        <f>RTD("tickerplantrtdserver",,"47#5#1#5629#GBP1W.LIBOR#LTP")</f>
        <v>0</v>
      </c>
      <c r="D38" s="143">
        <f>RTD("tickerplantrtdserver",,"47#5#1#5629#GBP1W.LIBOR#LTP")</f>
        <v>0</v>
      </c>
      <c r="E38" s="144">
        <f>RTD("tickerplantrtdserver",,"47#5#1#5629#GBP1M.LIBOR#LTP")</f>
        <v>0</v>
      </c>
      <c r="F38" s="144">
        <f>RTD("tickerplantrtdserver",,"47#5#1#5629#GBP2M.LIBOR#LTP")</f>
        <v>0</v>
      </c>
      <c r="G38" s="144">
        <f>RTD("tickerplantrtdserver",,"47#5#1#5629#GBP3M.LIBOR#LTP")</f>
        <v>0</v>
      </c>
      <c r="H38" s="144">
        <f>RTD("tickerplantrtdserver",,"47#5#1#5629#GBP4M.LIBOR#LTP")</f>
        <v>0</v>
      </c>
      <c r="I38" s="144">
        <f>RTD("tickerplantrtdserver",,"47#5#1#5629#GBP5M.LIBOR#LTP")</f>
        <v>0</v>
      </c>
      <c r="J38" s="144">
        <f>RTD("tickerplantrtdserver",,"47#5#1#5629#GBP6M.LIBOR#LTP")</f>
        <v>0</v>
      </c>
      <c r="K38" s="145">
        <f>RTD("tickerplantrtdserver",,"47#5#1#5629#GBP7M.LIBOR#LTP")</f>
        <v>0</v>
      </c>
      <c r="L38" s="145">
        <f>RTD("tickerplantrtdserver",,"47#5#1#5629#GBP8M.LIBOR#LTP")</f>
        <v>0</v>
      </c>
      <c r="M38" s="145">
        <f>RTD("tickerplantrtdserver",,"47#5#1#5629#GBP9M.LIBOR#LTP")</f>
        <v>0</v>
      </c>
      <c r="N38" s="145">
        <f>RTD("tickerplantrtdserver",,"47#5#1#5629#GBP10M.LIBOR#LTP")</f>
        <v>0.77937999999999996</v>
      </c>
      <c r="O38" s="145">
        <f>RTD("tickerplantrtdserver",,"47#5#1#5629#GBP11M.LIBOR#LTP")</f>
        <v>0.83313000000000004</v>
      </c>
      <c r="P38" s="146">
        <f>RTD("tickerplantrtdserver",,"47#5#1#5629#GBP1Y.LIBOR#LTP")</f>
        <v>0.14313000000000001</v>
      </c>
      <c r="R38" s="172"/>
    </row>
    <row r="39" spans="1:18" ht="18" customHeight="1" thickBot="1" x14ac:dyDescent="0.2">
      <c r="A39" s="122" t="s">
        <v>22</v>
      </c>
      <c r="B39" s="147">
        <f>RTD("tickerplantrtdserver",,"47#5#1#5629#JPYSN.LIBOR#LTP")</f>
        <v>0</v>
      </c>
      <c r="C39" s="147">
        <f>RTD("tickerplantrtdserver",,"47#5#1#5629#JPY1W.LIBOR#LTP")</f>
        <v>-0.13950000000000001</v>
      </c>
      <c r="D39" s="147">
        <f>RTD("tickerplantrtdserver",,"47#5#1#5629#JPY2W.LIBOR#LTP")</f>
        <v>0.11071</v>
      </c>
      <c r="E39" s="148">
        <f>RTD("tickerplantrtdserver",,"47#5#1#5629#JPY1M.LIBOR#LTP")</f>
        <v>0</v>
      </c>
      <c r="F39" s="148">
        <f>RTD("tickerplantrtdserver",,"47#5#1#5629#JPY2M.LIBOR#LTP")</f>
        <v>0</v>
      </c>
      <c r="G39" s="148">
        <f>RTD("tickerplantrtdserver",,"47#5#1#5629#JPY3M.LIBOR#LTP")</f>
        <v>0</v>
      </c>
      <c r="H39" s="148">
        <f>RTD("tickerplantrtdserver",,"47#5#1#5629#JPY2M.LIBOR#LTP")</f>
        <v>0</v>
      </c>
      <c r="I39" s="148">
        <f>RTD("tickerplantrtdserver",,"47#5#1#5629#JPY5M.LIBOR#LTP")</f>
        <v>0</v>
      </c>
      <c r="J39" s="148">
        <f>RTD("tickerplantrtdserver",,"47#5#1#5629#JPY6M.LIBOR#LTP")</f>
        <v>0</v>
      </c>
      <c r="K39" s="149">
        <f>RTD("tickerplantrtdserver",,"47#5#1#5629#JPY7M.LIBOR#LTP")</f>
        <v>0</v>
      </c>
      <c r="L39" s="149">
        <f>RTD("tickerplantrtdserver",,"47#5#1#5629#JPY8M.LIBOR#LTP")</f>
        <v>0</v>
      </c>
      <c r="M39" s="149">
        <f>RTD("tickerplantrtdserver",,"47#5#1#5629#JPY9M.LIBOR#LTP")</f>
        <v>0</v>
      </c>
      <c r="N39" s="149">
        <f>RTD("tickerplantrtdserver",,"47#5#1#5629#JPY10M.LIBOR#LTP")</f>
        <v>0</v>
      </c>
      <c r="O39" s="149">
        <f>RTD("tickerplantrtdserver",,"47#5#1#5629#JPY11M.LIBOR#LTP")</f>
        <v>0</v>
      </c>
      <c r="P39" s="150">
        <f>RTD("tickerplantrtdserver",,"47#5#1#5629#JPY1Y.LIBOR#LTP")</f>
        <v>0</v>
      </c>
      <c r="R39" s="172"/>
    </row>
  </sheetData>
  <mergeCells count="3">
    <mergeCell ref="G5:G9"/>
    <mergeCell ref="P23:P27"/>
    <mergeCell ref="R35:R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USDINR</vt:lpstr>
      <vt:lpstr>EURINR</vt:lpstr>
      <vt:lpstr>GBPINR</vt:lpstr>
      <vt:lpstr>JPYINR</vt:lpstr>
      <vt:lpstr>LIBOR</vt:lpstr>
      <vt:lpstr>OHLC</vt:lpstr>
      <vt:lpstr>Currency futures 1 Month</vt:lpstr>
      <vt:lpstr>Currency Futures 2 Month</vt:lpstr>
      <vt:lpstr>Currency Futures 3 Month</vt:lpstr>
      <vt:lpstr>Forward Rates Tab 1USDINR ME</vt:lpstr>
      <vt:lpstr>Forward Rates Tab 2USDINR MW</vt:lpstr>
      <vt:lpstr>Forward Rates Tab 3EURINR ME</vt:lpstr>
      <vt:lpstr>Forward Rates Tab 4GBPINR ME</vt:lpstr>
      <vt:lpstr>Forward Rates Tab 5JPYINR ME</vt:lpstr>
      <vt:lpstr>Forward Rates Tab 6EURUSD MW</vt:lpstr>
      <vt:lpstr>Forward Rates Tab 7GBPUSD MW</vt:lpstr>
      <vt:lpstr>Forward Rates Tab 8USDJPY MW</vt:lpstr>
      <vt:lpstr>Forward Rate Calculator</vt:lpstr>
      <vt:lpstr>Historical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siddhesh.ghare</dc:creator>
  <cp:lastModifiedBy>Windows User</cp:lastModifiedBy>
  <dcterms:created xsi:type="dcterms:W3CDTF">2020-04-23T19:35:55Z</dcterms:created>
  <dcterms:modified xsi:type="dcterms:W3CDTF">2020-09-22T08:21:58Z</dcterms:modified>
</cp:coreProperties>
</file>