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1730" yWindow="-30" windowWidth="3165" windowHeight="4935" firstSheet="6" activeTab="6"/>
  </bookViews>
  <sheets>
    <sheet name="USDINR" sheetId="4" r:id="rId1"/>
    <sheet name="EURINR" sheetId="5" r:id="rId2"/>
    <sheet name="GBPINR" sheetId="6" r:id="rId3"/>
    <sheet name="JPYINR" sheetId="7" r:id="rId4"/>
    <sheet name="LIBOR" sheetId="8" r:id="rId5"/>
    <sheet name="OHLC" sheetId="10" r:id="rId6"/>
    <sheet name="Currency futures 1 Month" sheetId="11" r:id="rId7"/>
    <sheet name="Currency Futures 2 Month" sheetId="12" r:id="rId8"/>
    <sheet name="Currency Futures 3 Month" sheetId="13" r:id="rId9"/>
    <sheet name="Forward Rates Tab 1USDINR ME" sheetId="14" r:id="rId10"/>
    <sheet name="Forward Rates Tab 2USDINR MW" sheetId="15" r:id="rId11"/>
    <sheet name="Forward Rates Tab 3EURINR ME" sheetId="16" r:id="rId12"/>
    <sheet name="Forward Rates Tab 4GBPINR ME" sheetId="17" r:id="rId13"/>
    <sheet name="Forward Rates Tab 5JPYINR ME" sheetId="18" r:id="rId14"/>
    <sheet name="Forward Rates Tab 6EURUSD MW" sheetId="19" r:id="rId15"/>
    <sheet name="Forward Rates Tab 7GBPUSD MW" sheetId="20" r:id="rId16"/>
    <sheet name="Forward Rates Tab 8USDJPY MW" sheetId="21" r:id="rId17"/>
    <sheet name="Forward Rate Calculator" sheetId="22" r:id="rId18"/>
    <sheet name="Historical Rates" sheetId="23" r:id="rId19"/>
  </sheets>
  <calcPr calcId="144525"/>
</workbook>
</file>

<file path=xl/calcChain.xml><?xml version="1.0" encoding="utf-8"?>
<calcChain xmlns="http://schemas.openxmlformats.org/spreadsheetml/2006/main">
  <c r="B21" i="23" l="1" a="1"/>
  <c r="B20" i="23" a="1"/>
  <c r="E2" i="19" a="1"/>
  <c r="M2" i="20" a="1"/>
  <c r="E1" i="21" a="1"/>
  <c r="G1" i="20" a="1"/>
  <c r="L2" i="16" a="1"/>
  <c r="M1" i="18" a="1"/>
  <c r="D1" i="21" a="1"/>
  <c r="C11" i="15" a="1"/>
  <c r="F2" i="20" a="1"/>
  <c r="I1" i="21" a="1"/>
  <c r="O1" i="20" a="1"/>
  <c r="G1" i="21" a="1"/>
  <c r="N1" i="15" a="1"/>
  <c r="F1" i="18" a="1"/>
  <c r="D1" i="17" a="1"/>
  <c r="H2" i="20" a="1"/>
  <c r="G2" i="19" a="1"/>
  <c r="J2" i="16" a="1"/>
  <c r="M1" i="21" a="1"/>
  <c r="J2" i="20" a="1"/>
  <c r="K1" i="21" a="1"/>
  <c r="M2" i="18" a="1"/>
  <c r="J2" i="17" a="1"/>
  <c r="O1" i="17" a="1"/>
  <c r="F1" i="16" a="1"/>
  <c r="M2" i="14" a="1"/>
  <c r="N1" i="19" a="1"/>
  <c r="L1" i="15" a="1"/>
  <c r="K1" i="19" a="1"/>
  <c r="E1" i="16" a="1"/>
  <c r="D2" i="19" a="1"/>
  <c r="H2" i="19" a="1"/>
  <c r="L1" i="18" a="1"/>
  <c r="K2" i="17" a="1"/>
  <c r="B3" i="5" a="1"/>
  <c r="C8" i="15" a="1"/>
  <c r="O1" i="15" a="1"/>
  <c r="I2" i="21" a="1"/>
  <c r="K1" i="20" a="1"/>
  <c r="C10" i="15" a="1"/>
  <c r="J1" i="20" a="1"/>
  <c r="I1" i="15" a="1"/>
  <c r="O2" i="21" a="1"/>
  <c r="L2" i="19" a="1"/>
  <c r="I1" i="18" a="1"/>
  <c r="D2" i="20" a="1"/>
  <c r="K2" i="15" a="1"/>
  <c r="L1" i="19" a="1"/>
  <c r="C1" i="16" a="1"/>
  <c r="N1" i="20" a="1"/>
  <c r="G2" i="15" a="1"/>
  <c r="H1" i="19" a="1"/>
  <c r="H2" i="15" a="1"/>
  <c r="K2" i="20" a="1"/>
  <c r="L2" i="18" a="1"/>
  <c r="C1" i="18" a="1"/>
  <c r="M2" i="17" a="1"/>
  <c r="M2" i="19" a="1"/>
  <c r="K2" i="16" a="1"/>
  <c r="F1" i="21" a="1"/>
  <c r="G1" i="16" a="1"/>
  <c r="E2" i="20" a="1"/>
  <c r="O2" i="15" a="1"/>
  <c r="C2" i="19" a="1"/>
  <c r="L2" i="15" a="1"/>
  <c r="O1" i="18" a="1"/>
  <c r="M1" i="17" a="1"/>
  <c r="B3" i="6" a="1"/>
  <c r="B3" i="7" a="1"/>
  <c r="G1" i="17" a="1"/>
  <c r="C5" i="15" a="1"/>
  <c r="L1" i="21" a="1"/>
  <c r="O2" i="19" a="1"/>
  <c r="N2" i="16" a="1"/>
  <c r="C3" i="22" a="1"/>
  <c r="I1" i="16" a="1"/>
  <c r="H1" i="18" a="1"/>
  <c r="N1" i="17" a="1"/>
  <c r="C1" i="17" a="1"/>
  <c r="M2" i="16" a="1"/>
  <c r="M1" i="15" a="1"/>
  <c r="K2" i="21" a="1"/>
  <c r="J2" i="14" a="1"/>
  <c r="O1" i="19" a="1"/>
  <c r="D1" i="16" a="1"/>
  <c r="O1" i="21" a="1"/>
  <c r="G2" i="20" a="1"/>
  <c r="O2" i="18" a="1"/>
  <c r="E1" i="18" a="1"/>
  <c r="I2" i="19" a="1"/>
  <c r="N2" i="15" a="1"/>
  <c r="N2" i="14" a="1"/>
  <c r="F2" i="19" a="1"/>
  <c r="C1" i="21" a="1"/>
  <c r="C2" i="20" a="1"/>
  <c r="N1" i="18" a="1"/>
  <c r="L1" i="17" a="1"/>
  <c r="B2" i="6" a="1"/>
  <c r="B2" i="7" a="1"/>
  <c r="M2" i="15" a="1"/>
  <c r="M1" i="20" a="1"/>
  <c r="H1" i="16" a="1"/>
  <c r="J2" i="15" a="1"/>
  <c r="J2" i="21" a="1"/>
  <c r="I1" i="20" a="1"/>
  <c r="L1" i="20" a="1"/>
  <c r="K2" i="18" a="1"/>
  <c r="I2" i="15" a="1"/>
  <c r="M2" i="21" a="1"/>
  <c r="N2" i="21" a="1"/>
  <c r="O2" i="20" a="1"/>
  <c r="J1" i="15" a="1"/>
  <c r="C7" i="15" a="1"/>
  <c r="J1" i="18" a="1"/>
  <c r="H1" i="17" a="1"/>
  <c r="G1" i="15" a="1"/>
  <c r="H1" i="21" a="1"/>
  <c r="N2" i="20" a="1"/>
  <c r="H1" i="15" a="1"/>
  <c r="G1" i="19" a="1"/>
  <c r="H2" i="21" a="1"/>
  <c r="L2" i="21" a="1"/>
  <c r="G1" i="18" a="1"/>
  <c r="N2" i="17" a="1"/>
  <c r="E1" i="17" a="1"/>
  <c r="H1" i="20" a="1"/>
  <c r="N2" i="19" a="1"/>
  <c r="O2" i="16" a="1"/>
  <c r="G2" i="21" a="1"/>
  <c r="I1" i="19" a="1"/>
  <c r="M1" i="19" a="1"/>
  <c r="J2" i="18" a="1"/>
  <c r="O2" i="17" a="1"/>
  <c r="F1" i="17" a="1"/>
  <c r="K1" i="17" a="1"/>
  <c r="J1" i="19" a="1"/>
  <c r="K2" i="19" a="1"/>
  <c r="D1" i="18" a="1"/>
  <c r="J1" i="17" a="1"/>
  <c r="K1" i="15" a="1"/>
  <c r="N1" i="21" a="1"/>
  <c r="I2" i="20" a="1"/>
  <c r="K2" i="14" a="1"/>
  <c r="J1" i="21" a="1"/>
  <c r="K1" i="18" a="1"/>
  <c r="I1" i="17" a="1"/>
  <c r="B2" i="5" a="1"/>
  <c r="L2" i="20" a="1"/>
  <c r="L2" i="14" a="1"/>
  <c r="L2" i="17" a="1"/>
  <c r="J2" i="19" a="1"/>
  <c r="D3" i="22" a="1"/>
  <c r="N2" i="18" a="1"/>
  <c r="O1" i="16" a="1"/>
  <c r="L1" i="16" a="1"/>
  <c r="K1" i="16" a="1"/>
  <c r="N1" i="16" a="1"/>
  <c r="M1" i="16" a="1"/>
  <c r="J1" i="16" a="1"/>
  <c r="A28" i="23"/>
  <c r="A31" i="23"/>
  <c r="I5" i="10"/>
  <c r="J6" i="10"/>
  <c r="J9" i="10"/>
  <c r="A3" i="23"/>
  <c r="A27" i="23"/>
  <c r="A24" i="23"/>
  <c r="A9" i="23"/>
  <c r="A10" i="23"/>
  <c r="A14" i="23"/>
  <c r="J5" i="10"/>
  <c r="A22" i="23"/>
  <c r="A5" i="23"/>
  <c r="A13" i="23"/>
  <c r="A6" i="23"/>
  <c r="I3" i="10"/>
  <c r="A8" i="23"/>
  <c r="I4" i="10"/>
  <c r="A20" i="23"/>
  <c r="A15" i="23"/>
  <c r="A32" i="23"/>
  <c r="A23" i="23"/>
  <c r="J8" i="10"/>
  <c r="J7" i="10"/>
  <c r="A2" i="23"/>
  <c r="I9" i="10"/>
  <c r="A11" i="23"/>
  <c r="A4" i="23"/>
  <c r="A30" i="23"/>
  <c r="A21" i="23"/>
  <c r="J4" i="10"/>
  <c r="A25" i="23"/>
  <c r="C1" i="14"/>
  <c r="A26" i="23"/>
  <c r="A7" i="23"/>
  <c r="I6" i="10"/>
  <c r="A19" i="23"/>
  <c r="C1" i="17"/>
  <c r="L1" i="15"/>
  <c r="M1" i="20"/>
  <c r="O1" i="15"/>
  <c r="I1" i="20"/>
  <c r="E1" i="21"/>
  <c r="O1" i="21"/>
  <c r="M1" i="21"/>
  <c r="G1" i="15"/>
  <c r="J1" i="15"/>
  <c r="D1" i="21"/>
  <c r="C1" i="21"/>
  <c r="N1" i="21"/>
  <c r="K1" i="20"/>
  <c r="K1" i="15"/>
  <c r="K1" i="19"/>
  <c r="M1" i="15"/>
  <c r="F1" i="21"/>
  <c r="G1" i="20"/>
  <c r="C1" i="16"/>
  <c r="M1" i="19"/>
  <c r="K1" i="21"/>
  <c r="L1" i="21"/>
  <c r="L1" i="19"/>
  <c r="N1" i="20"/>
  <c r="G1" i="19"/>
  <c r="H1" i="15"/>
  <c r="I1" i="21"/>
  <c r="C1" i="18"/>
  <c r="J1" i="19"/>
  <c r="J1" i="21"/>
  <c r="H1" i="21"/>
  <c r="H1" i="20"/>
  <c r="I1" i="19"/>
  <c r="H1" i="19"/>
  <c r="N1" i="15"/>
  <c r="L1" i="20"/>
  <c r="I1" i="15"/>
  <c r="O1" i="19"/>
  <c r="N1" i="19"/>
  <c r="J1" i="20"/>
  <c r="G1" i="21"/>
  <c r="O1" i="20"/>
  <c r="M10" i="14" a="1"/>
  <c r="D13" i="22" a="1"/>
  <c r="M7" i="14" a="1"/>
  <c r="M4" i="15" a="1"/>
  <c r="M11" i="14" a="1"/>
  <c r="C13" i="22" a="1"/>
  <c r="M11" i="15" a="1"/>
  <c r="M5" i="15" a="1"/>
  <c r="M8" i="14" a="1"/>
  <c r="M8" i="15" a="1"/>
  <c r="M7" i="15" a="1"/>
  <c r="M10" i="15" a="1"/>
  <c r="C2" i="4" a="1"/>
  <c r="C5" i="14" a="1"/>
  <c r="D2" i="4" a="1"/>
  <c r="E2" i="4" a="1"/>
  <c r="F2" i="4" a="1"/>
  <c r="C3" i="4" a="1"/>
  <c r="C4" i="14" a="1"/>
  <c r="E3" i="4" a="1"/>
  <c r="C10" i="14" a="1"/>
  <c r="C7" i="14" a="1"/>
  <c r="L7" i="14" a="1"/>
  <c r="C12" i="22" a="1"/>
  <c r="L4" i="15" a="1"/>
  <c r="L10" i="15" a="1"/>
  <c r="L5" i="15" a="1"/>
  <c r="L11" i="14" a="1"/>
  <c r="L7" i="15" a="1"/>
  <c r="L8" i="15" a="1"/>
  <c r="L8" i="14" a="1"/>
  <c r="D12" i="22" a="1"/>
  <c r="L10" i="14" a="1"/>
  <c r="L11" i="15" a="1"/>
  <c r="K8" i="15" a="1"/>
  <c r="K7" i="14" a="1"/>
  <c r="K10" i="15" a="1"/>
  <c r="K4" i="15" a="1"/>
  <c r="C11" i="22" a="1"/>
  <c r="K8" i="14" a="1"/>
  <c r="K11" i="14" a="1"/>
  <c r="D11" i="22" a="1"/>
  <c r="K5" i="15" a="1"/>
  <c r="K11" i="15" a="1"/>
  <c r="K7" i="15" a="1"/>
  <c r="K10" i="14" a="1"/>
  <c r="J7" i="15" a="1"/>
  <c r="J4" i="15" a="1"/>
  <c r="J11" i="15" a="1"/>
  <c r="J11" i="14" a="1"/>
  <c r="C10" i="22" a="1"/>
  <c r="J10" i="14" a="1"/>
  <c r="J7" i="14" a="1"/>
  <c r="J8" i="15" a="1"/>
  <c r="J8" i="14" a="1"/>
  <c r="D10" i="22" a="1"/>
  <c r="J10" i="15" a="1"/>
  <c r="J5" i="15" a="1"/>
  <c r="I8" i="15" a="1"/>
  <c r="I4" i="14" a="1"/>
  <c r="I4" i="15" a="1"/>
  <c r="I7" i="15" a="1"/>
  <c r="I5" i="15" a="1"/>
  <c r="D9" i="22" a="1"/>
  <c r="I5" i="14" a="1"/>
  <c r="I11" i="15" a="1"/>
  <c r="C9" i="22" a="1"/>
  <c r="I7" i="14" a="1"/>
  <c r="I10" i="15" a="1"/>
  <c r="I10" i="14" a="1"/>
  <c r="H10" i="14" a="1"/>
  <c r="H8" i="15" a="1"/>
  <c r="H4" i="15" a="1"/>
  <c r="H11" i="15" a="1"/>
  <c r="H5" i="15" a="1"/>
  <c r="D8" i="22" a="1"/>
  <c r="H7" i="14" a="1"/>
  <c r="H7" i="15" a="1"/>
  <c r="C8" i="22" a="1"/>
  <c r="H4" i="14" a="1"/>
  <c r="H10" i="15" a="1"/>
  <c r="H5" i="14" a="1"/>
  <c r="G10" i="15" a="1"/>
  <c r="G4" i="15" a="1"/>
  <c r="D7" i="22" a="1"/>
  <c r="G10" i="14" a="1"/>
  <c r="G7" i="14" a="1"/>
  <c r="G5" i="15" a="1"/>
  <c r="G4" i="14" a="1"/>
  <c r="G7" i="15" a="1"/>
  <c r="G5" i="14" a="1"/>
  <c r="G8" i="15" a="1"/>
  <c r="G11" i="15" a="1"/>
  <c r="C7" i="22" a="1"/>
  <c r="C6" i="22" a="1"/>
  <c r="F8" i="15" a="1"/>
  <c r="D6" i="22" a="1"/>
  <c r="F7" i="14" a="1"/>
  <c r="F11" i="15" a="1"/>
  <c r="F10" i="14" a="1"/>
  <c r="F4" i="15" a="1"/>
  <c r="F5" i="15" a="1"/>
  <c r="F10" i="15" a="1"/>
  <c r="F7" i="15" a="1"/>
  <c r="F5" i="14" a="1"/>
  <c r="F4" i="14" a="1"/>
  <c r="E7" i="15" a="1"/>
  <c r="E10" i="14" a="1"/>
  <c r="D5" i="22" a="1"/>
  <c r="E5" i="14" a="1"/>
  <c r="E5" i="15" a="1"/>
  <c r="E4" i="14" a="1"/>
  <c r="C5" i="22" a="1"/>
  <c r="E7" i="14" a="1"/>
  <c r="E8" i="15" a="1"/>
  <c r="E10" i="15" a="1"/>
  <c r="E11" i="15" a="1"/>
  <c r="E4" i="15" a="1"/>
  <c r="D10" i="14" a="1"/>
  <c r="C4" i="22" a="1"/>
  <c r="D8" i="15" a="1"/>
  <c r="D7" i="15" a="1"/>
  <c r="D4" i="14" a="1"/>
  <c r="D5" i="14" a="1"/>
  <c r="D4" i="15" a="1"/>
  <c r="D10" i="15" a="1"/>
  <c r="D5" i="15" a="1"/>
  <c r="D11" i="15" a="1"/>
  <c r="D4" i="22" a="1"/>
  <c r="F2" i="14" a="1"/>
  <c r="G2" i="14" a="1"/>
  <c r="D3" i="4" a="1"/>
  <c r="I8" i="14" a="1"/>
  <c r="D8" i="14" a="1"/>
  <c r="H2" i="14" a="1"/>
  <c r="F3" i="4" a="1"/>
  <c r="E2" i="14" a="1"/>
  <c r="I11" i="14" a="1"/>
  <c r="G11" i="14" a="1"/>
  <c r="G8" i="14" a="1"/>
  <c r="F11" i="14" a="1"/>
  <c r="E8" i="14" a="1"/>
  <c r="E11" i="14" a="1"/>
  <c r="D11" i="14" a="1"/>
  <c r="I2" i="14" a="1"/>
  <c r="C8" i="14" a="1"/>
  <c r="C11" i="14" a="1"/>
  <c r="F8" i="14" a="1"/>
  <c r="E3" i="5" a="1"/>
  <c r="E2" i="5" a="1"/>
  <c r="F2" i="5" a="1"/>
  <c r="O11" i="14" a="1"/>
  <c r="N5" i="15" a="1"/>
  <c r="O4" i="15" a="1"/>
  <c r="C14" i="22" a="1"/>
  <c r="C15" i="22" a="1"/>
  <c r="E5" i="16" a="1"/>
  <c r="N10" i="17" a="1"/>
  <c r="D11" i="17" a="1"/>
  <c r="I10" i="17" a="1"/>
  <c r="I8" i="17" a="1"/>
  <c r="M11" i="17" a="1"/>
  <c r="F10" i="16" a="1"/>
  <c r="O11" i="17" a="1"/>
  <c r="J7" i="17" a="1"/>
  <c r="H10" i="16" a="1"/>
  <c r="H4" i="16" a="1"/>
  <c r="G4" i="16" a="1"/>
  <c r="K7" i="17" a="1"/>
  <c r="H7" i="17" a="1"/>
  <c r="F7" i="17" a="1"/>
  <c r="I7" i="16" a="1"/>
  <c r="I5" i="16" a="1"/>
  <c r="H11" i="18" a="1"/>
  <c r="H7" i="18" a="1"/>
  <c r="L8" i="17" a="1"/>
  <c r="L11" i="17" a="1"/>
  <c r="J8" i="18" a="1"/>
  <c r="K8" i="18" a="1"/>
  <c r="L7" i="18" a="1"/>
  <c r="K11" i="18" a="1"/>
  <c r="N11" i="18" a="1"/>
  <c r="D8" i="18" a="1"/>
  <c r="N7" i="18" a="1"/>
  <c r="B19" i="23" a="1"/>
  <c r="D10" i="18" a="1"/>
  <c r="C11" i="17" a="1"/>
  <c r="C8" i="17" a="1"/>
  <c r="F2" i="7" a="1"/>
  <c r="C11" i="18" a="1"/>
  <c r="C10" i="18" a="1"/>
  <c r="O11" i="16" a="1"/>
  <c r="J5" i="16" a="1"/>
  <c r="K8" i="16" a="1"/>
  <c r="M8" i="18" a="1"/>
  <c r="E8" i="18" a="1"/>
  <c r="E10" i="18" a="1"/>
  <c r="K4" i="16" a="1"/>
  <c r="O10" i="14" a="1"/>
  <c r="D14" i="22" a="1"/>
  <c r="O7" i="15" a="1"/>
  <c r="D15" i="22" a="1"/>
  <c r="N4" i="15" a="1"/>
  <c r="E4" i="16" a="1"/>
  <c r="E11" i="16" a="1"/>
  <c r="E11" i="17" a="1"/>
  <c r="N7" i="17" a="1"/>
  <c r="D7" i="17" a="1"/>
  <c r="I11" i="17" a="1"/>
  <c r="M8" i="17" a="1"/>
  <c r="O10" i="17" a="1"/>
  <c r="O8" i="17" a="1"/>
  <c r="J11" i="17" a="1"/>
  <c r="H7" i="16" a="1"/>
  <c r="H11" i="16" a="1"/>
  <c r="G10" i="16" a="1"/>
  <c r="G5" i="16" a="1"/>
  <c r="K10" i="17" a="1"/>
  <c r="G8" i="17" a="1"/>
  <c r="G7" i="17" a="1"/>
  <c r="H10" i="18" a="1"/>
  <c r="D2" i="5" a="1"/>
  <c r="L7" i="17" a="1"/>
  <c r="J10" i="18" a="1"/>
  <c r="L8" i="18" a="1"/>
  <c r="O11" i="18" a="1"/>
  <c r="O7" i="18" a="1"/>
  <c r="L11" i="18" a="1"/>
  <c r="B2" i="4" a="1"/>
  <c r="D11" i="18" a="1"/>
  <c r="N10" i="18" a="1"/>
  <c r="D3" i="6" a="1"/>
  <c r="C10" i="17" a="1"/>
  <c r="G7" i="18" a="1"/>
  <c r="G10" i="18" a="1"/>
  <c r="D2" i="7" a="1"/>
  <c r="I10" i="18" a="1"/>
  <c r="M11" i="18" a="1"/>
  <c r="M11" i="16" a="1"/>
  <c r="O8" i="16" a="1"/>
  <c r="D11" i="16" a="1"/>
  <c r="J10" i="16" a="1"/>
  <c r="K10" i="16" a="1"/>
  <c r="O10" i="16" a="1"/>
  <c r="O4" i="16" a="1"/>
  <c r="I11" i="18" a="1"/>
  <c r="D5" i="16" a="1"/>
  <c r="O8" i="14" a="1"/>
  <c r="N11" i="15" a="1"/>
  <c r="O10" i="15" a="1"/>
  <c r="N8" i="15" a="1"/>
  <c r="N7" i="15" a="1"/>
  <c r="E8" i="17" a="1"/>
  <c r="E7" i="17" a="1"/>
  <c r="E10" i="17" a="1"/>
  <c r="E10" i="16" a="1"/>
  <c r="N8" i="17" a="1"/>
  <c r="N11" i="17" a="1"/>
  <c r="D8" i="17" a="1"/>
  <c r="D10" i="17" a="1"/>
  <c r="M7" i="17" a="1"/>
  <c r="O7" i="17" a="1"/>
  <c r="F5" i="16" a="1"/>
  <c r="J10" i="17" a="1"/>
  <c r="H5" i="16" a="1"/>
  <c r="K8" i="17" a="1"/>
  <c r="H11" i="17" a="1"/>
  <c r="F11" i="17" a="1"/>
  <c r="F10" i="17" a="1"/>
  <c r="I10" i="16" a="1"/>
  <c r="I11" i="16" a="1"/>
  <c r="H8" i="18" a="1"/>
  <c r="C7" i="16" a="1"/>
  <c r="C3" i="5" a="1"/>
  <c r="C2" i="5" a="1"/>
  <c r="C4" i="16" a="1"/>
  <c r="C11" i="16" a="1"/>
  <c r="J7" i="18" a="1"/>
  <c r="K7" i="18" a="1"/>
  <c r="K10" i="18" a="1"/>
  <c r="B3" i="4" a="1"/>
  <c r="D7" i="18" a="1"/>
  <c r="D2" i="6" a="1"/>
  <c r="O7" i="14" a="1"/>
  <c r="O5" i="15" a="1"/>
  <c r="O8" i="15" a="1"/>
  <c r="O11" i="15" a="1"/>
  <c r="N10" i="15" a="1"/>
  <c r="E7" i="16" a="1"/>
  <c r="I7" i="17" a="1"/>
  <c r="M10" i="17" a="1"/>
  <c r="F4" i="16" a="1"/>
  <c r="F11" i="16" a="1"/>
  <c r="F7" i="16" a="1"/>
  <c r="J8" i="17" a="1"/>
  <c r="G11" i="16" a="1"/>
  <c r="G7" i="16" a="1"/>
  <c r="K11" i="17" a="1"/>
  <c r="G11" i="17" a="1"/>
  <c r="F8" i="17" a="1"/>
  <c r="H10" i="17" a="1"/>
  <c r="G10" i="17" a="1"/>
  <c r="H8" i="17" a="1"/>
  <c r="I4" i="16" a="1"/>
  <c r="L10" i="17" a="1"/>
  <c r="C10" i="16" a="1"/>
  <c r="C5" i="16" a="1"/>
  <c r="J11" i="18" a="1"/>
  <c r="O10" i="18" a="1"/>
  <c r="O8" i="18" a="1"/>
  <c r="L10" i="18" a="1"/>
  <c r="N8" i="18" a="1"/>
  <c r="C7" i="17" a="1"/>
  <c r="D3" i="7" a="1"/>
  <c r="G11" i="18" a="1"/>
  <c r="F3" i="7" a="1"/>
  <c r="G8" i="18" a="1"/>
  <c r="C7" i="18" a="1"/>
  <c r="M7" i="18" a="1"/>
  <c r="F3" i="6" a="1"/>
  <c r="E7" i="18" a="1"/>
  <c r="F11" i="18" a="1"/>
  <c r="J8" i="16" a="1"/>
  <c r="F8" i="18" a="1"/>
  <c r="M10" i="18" a="1"/>
  <c r="L5" i="16" a="1"/>
  <c r="N4" i="16" a="1"/>
  <c r="L4" i="16" a="1"/>
  <c r="N10" i="16" a="1"/>
  <c r="C8" i="18" a="1"/>
  <c r="I7" i="18" a="1"/>
  <c r="D4" i="16" a="1"/>
  <c r="M8" i="16" a="1"/>
  <c r="K11" i="16" a="1"/>
  <c r="M10" i="16" a="1"/>
  <c r="J4" i="16" a="1"/>
  <c r="N11" i="16" a="1"/>
  <c r="L10" i="16" a="1"/>
  <c r="N5" i="16" a="1"/>
  <c r="L11" i="16" a="1"/>
  <c r="M5" i="16" a="1"/>
  <c r="O5" i="16" a="1"/>
  <c r="E11" i="18" a="1"/>
  <c r="I8" i="18" a="1"/>
  <c r="D7" i="16" a="1"/>
  <c r="M4" i="16" a="1"/>
  <c r="F3" i="22" a="1"/>
  <c r="F2" i="6" a="1"/>
  <c r="K5" i="16" a="1"/>
  <c r="J11" i="16" a="1"/>
  <c r="D10" i="16" a="1"/>
  <c r="F10" i="18" a="1"/>
  <c r="F7" i="18" a="1"/>
  <c r="L8" i="16" a="1"/>
  <c r="N8" i="16" a="1"/>
  <c r="H3" i="22" a="1"/>
  <c r="N10" i="14" a="1"/>
  <c r="N8" i="14" a="1"/>
  <c r="N7" i="14" a="1"/>
  <c r="N11" i="14" a="1"/>
  <c r="D2" i="17" a="1"/>
  <c r="F2" i="17" a="1"/>
  <c r="G2" i="17" a="1"/>
  <c r="E8" i="20" a="1"/>
  <c r="E7" i="20" a="1"/>
  <c r="E10" i="20" a="1"/>
  <c r="E11" i="20" a="1"/>
  <c r="N5" i="22" a="1"/>
  <c r="M5" i="22" a="1"/>
  <c r="E5" i="20" a="1"/>
  <c r="E4" i="20" a="1"/>
  <c r="C8" i="20" a="1"/>
  <c r="C5" i="20" a="1"/>
  <c r="C10" i="20" a="1"/>
  <c r="C7" i="20" a="1"/>
  <c r="C11" i="20" a="1"/>
  <c r="C4" i="20" a="1"/>
  <c r="F5" i="20" a="1"/>
  <c r="F8" i="20" a="1"/>
  <c r="F10" i="20" a="1"/>
  <c r="F4" i="20" a="1"/>
  <c r="F7" i="20" a="1"/>
  <c r="M6" i="22" a="1"/>
  <c r="N6" i="22" a="1"/>
  <c r="F11" i="20" a="1"/>
  <c r="N4" i="22" a="1"/>
  <c r="D7" i="20" a="1"/>
  <c r="D8" i="20" a="1"/>
  <c r="D11" i="20" a="1"/>
  <c r="D5" i="20" a="1"/>
  <c r="D4" i="20" a="1"/>
  <c r="D10" i="20" a="1"/>
  <c r="M4" i="22" a="1"/>
  <c r="G4" i="20" a="1"/>
  <c r="G11" i="20" a="1"/>
  <c r="G8" i="20" a="1"/>
  <c r="G5" i="20" a="1"/>
  <c r="N7" i="22" a="1"/>
  <c r="G10" i="20" a="1"/>
  <c r="G7" i="20" a="1"/>
  <c r="M7" i="22" a="1"/>
  <c r="H4" i="20" a="1"/>
  <c r="H8" i="20" a="1"/>
  <c r="H11" i="20" a="1"/>
  <c r="H10" i="20" a="1"/>
  <c r="M8" i="22" a="1"/>
  <c r="H5" i="20" a="1"/>
  <c r="H7" i="20" a="1"/>
  <c r="N8" i="22" a="1"/>
  <c r="O5" i="20" a="1"/>
  <c r="O11" i="20" a="1"/>
  <c r="M15" i="22" a="1"/>
  <c r="O10" i="20" a="1"/>
  <c r="O7" i="20" a="1"/>
  <c r="O4" i="20" a="1"/>
  <c r="N15" i="22" a="1"/>
  <c r="O8" i="20" a="1"/>
  <c r="E8" i="21" a="1"/>
  <c r="E7" i="21" a="1"/>
  <c r="G8" i="21" a="1"/>
  <c r="G4" i="21" a="1"/>
  <c r="G10" i="21" a="1"/>
  <c r="G11" i="21" a="1"/>
  <c r="G7" i="21" a="1"/>
  <c r="P7" i="22" a="1"/>
  <c r="G5" i="21" a="1"/>
  <c r="O7" i="22" a="1"/>
  <c r="F4" i="21" a="1"/>
  <c r="O6" i="22" a="1"/>
  <c r="F8" i="21" a="1"/>
  <c r="F5" i="21" a="1"/>
  <c r="F7" i="21" a="1"/>
  <c r="F11" i="21" a="1"/>
  <c r="P6" i="22" a="1"/>
  <c r="F10" i="21" a="1"/>
  <c r="M8" i="20" a="1"/>
  <c r="M7" i="20" a="1"/>
  <c r="J10" i="20" a="1"/>
  <c r="J5" i="20" a="1"/>
  <c r="J8" i="20" a="1"/>
  <c r="M4" i="20" a="1"/>
  <c r="M11" i="20" a="1"/>
  <c r="J4" i="20" a="1"/>
  <c r="J7" i="20" a="1"/>
  <c r="M13" i="22" a="1"/>
  <c r="N13" i="22" a="1"/>
  <c r="J11" i="20" a="1"/>
  <c r="M10" i="20" a="1"/>
  <c r="M5" i="20" a="1"/>
  <c r="N10" i="22" a="1"/>
  <c r="M10" i="22" a="1"/>
  <c r="O11" i="22" a="1"/>
  <c r="K4" i="21" a="1"/>
  <c r="P11" i="22" a="1"/>
  <c r="K7" i="21" a="1"/>
  <c r="K10" i="21" a="1"/>
  <c r="K5" i="21" a="1"/>
  <c r="K11" i="21" a="1"/>
  <c r="K8" i="21" a="1"/>
  <c r="M14" i="22" a="1"/>
  <c r="N4" i="20" a="1"/>
  <c r="I5" i="20" a="1"/>
  <c r="I7" i="20" a="1"/>
  <c r="C8" i="19" a="1"/>
  <c r="K8" i="20" a="1"/>
  <c r="K7" i="20" a="1"/>
  <c r="N5" i="20" a="1"/>
  <c r="N7" i="20" a="1"/>
  <c r="N9" i="22" a="1"/>
  <c r="I4" i="20" a="1"/>
  <c r="C5" i="19" a="1"/>
  <c r="K4" i="20" a="1"/>
  <c r="N11" i="22" a="1"/>
  <c r="N11" i="20" a="1"/>
  <c r="N10" i="20" a="1"/>
  <c r="M9" i="22" a="1"/>
  <c r="I11" i="20" a="1"/>
  <c r="C7" i="19" a="1"/>
  <c r="K10" i="20" a="1"/>
  <c r="K11" i="20" a="1"/>
  <c r="N8" i="20" a="1"/>
  <c r="N14" i="22" a="1"/>
  <c r="I10" i="20" a="1"/>
  <c r="I8" i="20" a="1"/>
  <c r="C4" i="19" a="1"/>
  <c r="C11" i="19" a="1"/>
  <c r="M11" i="22" a="1"/>
  <c r="K5" i="20" a="1"/>
  <c r="K7" i="22" a="1"/>
  <c r="G10" i="19" a="1"/>
  <c r="P10" i="22" a="1"/>
  <c r="J10" i="21" a="1"/>
  <c r="G5" i="19" a="1"/>
  <c r="G4" i="19" a="1"/>
  <c r="J8" i="21" a="1"/>
  <c r="O10" i="22" a="1"/>
  <c r="J5" i="21" a="1"/>
  <c r="L7" i="22" a="1"/>
  <c r="G8" i="19" a="1"/>
  <c r="J4" i="21" a="1"/>
  <c r="G11" i="19" a="1"/>
  <c r="G7" i="19" a="1"/>
  <c r="J11" i="21" a="1"/>
  <c r="J7" i="21" a="1"/>
  <c r="C8" i="21" a="1"/>
  <c r="F8" i="19" a="1"/>
  <c r="C7" i="21" a="1"/>
  <c r="F5" i="19" a="1"/>
  <c r="F4" i="19" a="1"/>
  <c r="L6" i="22" a="1"/>
  <c r="K6" i="22" a="1"/>
  <c r="F7" i="19" a="1"/>
  <c r="P4" i="22" a="1"/>
  <c r="O4" i="22" a="1"/>
  <c r="L4" i="21" a="1"/>
  <c r="N4" i="21" a="1"/>
  <c r="N8" i="21" a="1"/>
  <c r="O12" i="22" a="1"/>
  <c r="N7" i="21" a="1"/>
  <c r="L8" i="22" a="1"/>
  <c r="H4" i="19" a="1"/>
  <c r="D5" i="21" a="1"/>
  <c r="D10" i="21" a="1"/>
  <c r="L10" i="21" a="1"/>
  <c r="P12" i="22" a="1"/>
  <c r="N10" i="21" a="1"/>
  <c r="N11" i="21" a="1"/>
  <c r="H5" i="19" a="1"/>
  <c r="K8" i="22" a="1"/>
  <c r="D4" i="21" a="1"/>
  <c r="D11" i="21" a="1"/>
  <c r="L7" i="21" a="1"/>
  <c r="N5" i="21" a="1"/>
  <c r="L8" i="21" a="1"/>
  <c r="H7" i="19" a="1"/>
  <c r="H11" i="19" a="1"/>
  <c r="D8" i="21" a="1"/>
  <c r="D7" i="21" a="1"/>
  <c r="L11" i="21" a="1"/>
  <c r="O14" i="22" a="1"/>
  <c r="L5" i="21" a="1"/>
  <c r="P14" i="22" a="1"/>
  <c r="H8" i="19" a="1"/>
  <c r="H10" i="19" a="1"/>
  <c r="L11" i="20" a="1"/>
  <c r="L8" i="20" a="1"/>
  <c r="M12" i="22" a="1"/>
  <c r="N12" i="22" a="1"/>
  <c r="L4" i="20" a="1"/>
  <c r="L5" i="20" a="1"/>
  <c r="L10" i="20" a="1"/>
  <c r="L7" i="20" a="1"/>
  <c r="E5" i="19" a="1"/>
  <c r="L5" i="22" a="1"/>
  <c r="E10" i="19" a="1"/>
  <c r="K10" i="19" a="1"/>
  <c r="I10" i="19" a="1"/>
  <c r="I11" i="19" a="1"/>
  <c r="I4" i="19" a="1"/>
  <c r="K11" i="22" a="1"/>
  <c r="K5" i="22" a="1"/>
  <c r="E7" i="19" a="1"/>
  <c r="L11" i="22" a="1"/>
  <c r="K8" i="19" a="1"/>
  <c r="I7" i="19" a="1"/>
  <c r="L9" i="22" a="1"/>
  <c r="I8" i="19" a="1"/>
  <c r="E8" i="19" a="1"/>
  <c r="E4" i="19" a="1"/>
  <c r="K4" i="19" a="1"/>
  <c r="K7" i="19" a="1"/>
  <c r="K5" i="19" a="1"/>
  <c r="I5" i="19" a="1"/>
  <c r="E11" i="19" a="1"/>
  <c r="K11" i="19" a="1"/>
  <c r="K9" i="22" a="1"/>
  <c r="M4" i="21" a="1"/>
  <c r="O11" i="21" a="1"/>
  <c r="O5" i="21" a="1"/>
  <c r="K10" i="22" a="1"/>
  <c r="O8" i="21" a="1"/>
  <c r="O7" i="21" a="1"/>
  <c r="O15" i="22" a="1"/>
  <c r="J7" i="19" a="1"/>
  <c r="J5" i="19" a="1"/>
  <c r="M7" i="21" a="1"/>
  <c r="J4" i="19" a="1"/>
  <c r="L10" i="22" a="1"/>
  <c r="O13" i="22" a="1"/>
  <c r="P13" i="22" a="1"/>
  <c r="O4" i="21" a="1"/>
  <c r="P15" i="22" a="1"/>
  <c r="J10" i="19" a="1"/>
  <c r="J11" i="19" a="1"/>
  <c r="M11" i="21" a="1"/>
  <c r="M5" i="21" a="1"/>
  <c r="M8" i="21" a="1"/>
  <c r="M10" i="21" a="1"/>
  <c r="O10" i="21" a="1"/>
  <c r="J8" i="19" a="1"/>
  <c r="F9" i="22" a="1"/>
  <c r="E10" i="22" a="1"/>
  <c r="E15" i="22" a="1"/>
  <c r="F6" i="22" a="1"/>
  <c r="H8" i="21" a="1"/>
  <c r="H10" i="21" a="1"/>
  <c r="P9" i="22" a="1"/>
  <c r="M10" i="19" a="1"/>
  <c r="K15" i="22" a="1"/>
  <c r="O4" i="19" a="1"/>
  <c r="M5" i="19" a="1"/>
  <c r="L5" i="19" a="1"/>
  <c r="L4" i="19" a="1"/>
  <c r="L11" i="19" a="1"/>
  <c r="D4" i="19" a="1"/>
  <c r="N8" i="19" a="1"/>
  <c r="O8" i="19" a="1"/>
  <c r="D5" i="19" a="1"/>
  <c r="E7" i="22" a="1"/>
  <c r="E9" i="22" a="1"/>
  <c r="F11" i="22" a="1"/>
  <c r="E13" i="22" a="1"/>
  <c r="E14" i="22" a="1"/>
  <c r="E12" i="22" a="1"/>
  <c r="F5" i="22" a="1"/>
  <c r="F4" i="22" a="1"/>
  <c r="H7" i="21" a="1"/>
  <c r="H4" i="21" a="1"/>
  <c r="P8" i="22" a="1"/>
  <c r="I7" i="21" a="1"/>
  <c r="N11" i="19" a="1"/>
  <c r="N7" i="19" a="1"/>
  <c r="N4" i="19" a="1"/>
  <c r="M4" i="19" a="1"/>
  <c r="M11" i="19" a="1"/>
  <c r="D8" i="19" a="1"/>
  <c r="D11" i="19" a="1"/>
  <c r="L4" i="22" a="1"/>
  <c r="L10" i="19" a="1"/>
  <c r="D7" i="19" a="1"/>
  <c r="F7" i="22" a="1"/>
  <c r="F15" i="22" a="1"/>
  <c r="E11" i="22" a="1"/>
  <c r="F14" i="22" a="1"/>
  <c r="H11" i="21" a="1"/>
  <c r="O8" i="22" a="1"/>
  <c r="I10" i="21" a="1"/>
  <c r="O9" i="22" a="1"/>
  <c r="I4" i="21" a="1"/>
  <c r="I11" i="21" a="1"/>
  <c r="O5" i="19" a="1"/>
  <c r="N5" i="19" a="1"/>
  <c r="K14" i="22" a="1"/>
  <c r="O10" i="19" a="1"/>
  <c r="L13" i="22" a="1"/>
  <c r="K12" i="22" a="1"/>
  <c r="L12" i="22" a="1"/>
  <c r="O7" i="19" a="1"/>
  <c r="E8" i="22" a="1"/>
  <c r="F8" i="22" a="1"/>
  <c r="F12" i="22" a="1"/>
  <c r="F10" i="22" a="1"/>
  <c r="F13" i="22" a="1"/>
  <c r="H5" i="21" a="1"/>
  <c r="I8" i="21" a="1"/>
  <c r="I5" i="21" a="1"/>
  <c r="L15" i="22" a="1"/>
  <c r="O11" i="19" a="1"/>
  <c r="M8" i="19" a="1"/>
  <c r="L14" i="22" a="1"/>
  <c r="N10" i="19" a="1"/>
  <c r="M7" i="19" a="1"/>
  <c r="K13" i="22" a="1"/>
  <c r="K4" i="22" a="1"/>
  <c r="D10" i="19" a="1"/>
  <c r="F1" i="19" a="1"/>
  <c r="F2" i="21" a="1"/>
  <c r="K5" i="14" a="1"/>
  <c r="C1" i="19" a="1"/>
  <c r="O4" i="14" a="1"/>
  <c r="G3" i="22" a="1"/>
  <c r="N4" i="14" a="1"/>
  <c r="E1" i="20" a="1"/>
  <c r="I8" i="16" a="1"/>
  <c r="D1" i="20" a="1"/>
  <c r="N7" i="16" a="1"/>
  <c r="D2" i="18" a="1"/>
  <c r="H2" i="16" a="1"/>
  <c r="M7" i="16" a="1"/>
  <c r="I3" i="22" a="1"/>
  <c r="E5" i="22" a="1"/>
  <c r="F1" i="20" a="1"/>
  <c r="O5" i="22" a="1"/>
  <c r="P5" i="22" a="1"/>
  <c r="C10" i="21" a="1"/>
  <c r="F11" i="19" a="1"/>
  <c r="M5" i="14" a="1"/>
  <c r="I2" i="18" a="1"/>
  <c r="L8" i="19" a="1"/>
  <c r="P3" i="22" a="1"/>
  <c r="A16" i="23"/>
  <c r="E1" i="19" a="1"/>
  <c r="E2" i="17" a="1"/>
  <c r="F1" i="15" a="1"/>
  <c r="I2" i="16" a="1"/>
  <c r="C4" i="21" a="1"/>
  <c r="M3" i="22" a="1"/>
  <c r="C2" i="21" a="1"/>
  <c r="M4" i="14" a="1"/>
  <c r="H11" i="14" a="1"/>
  <c r="J5" i="14" a="1"/>
  <c r="E1" i="15" a="1"/>
  <c r="F2" i="16" a="1"/>
  <c r="E8" i="16" a="1"/>
  <c r="D8" i="16" a="1"/>
  <c r="G8" i="16" a="1"/>
  <c r="C2" i="16" a="1"/>
  <c r="F2" i="18" a="1"/>
  <c r="D3" i="5" a="1"/>
  <c r="E2" i="18" a="1"/>
  <c r="D2" i="16" a="1"/>
  <c r="O7" i="16" a="1"/>
  <c r="H8" i="16" a="1"/>
  <c r="E4" i="21" a="1"/>
  <c r="C11" i="21" a="1"/>
  <c r="J3" i="22" a="1"/>
  <c r="D2" i="15" a="1"/>
  <c r="A33" i="23"/>
  <c r="I2" i="17" a="1"/>
  <c r="J4" i="14" a="1"/>
  <c r="F8" i="16" a="1"/>
  <c r="E2" i="16" a="1"/>
  <c r="G2" i="18" a="1"/>
  <c r="C2" i="17" a="1"/>
  <c r="E11" i="21" a="1"/>
  <c r="D2" i="21" a="1"/>
  <c r="E6" i="22" a="1"/>
  <c r="K4" i="14" a="1"/>
  <c r="E2" i="21" a="1"/>
  <c r="L4" i="14" a="1"/>
  <c r="H8" i="14" a="1"/>
  <c r="E3" i="22" a="1"/>
  <c r="N5" i="14" a="1"/>
  <c r="G2" i="16" a="1"/>
  <c r="F3" i="5" a="1"/>
  <c r="C2" i="15" a="1"/>
  <c r="J7" i="16" a="1"/>
  <c r="E4" i="22" a="1"/>
  <c r="E2" i="15" a="1"/>
  <c r="H2" i="18" a="1"/>
  <c r="K7" i="16" a="1"/>
  <c r="H2" i="17" a="1"/>
  <c r="D1" i="15" a="1"/>
  <c r="E10" i="21" a="1"/>
  <c r="C5" i="21" a="1"/>
  <c r="F10" i="19" a="1"/>
  <c r="K3" i="22" a="1"/>
  <c r="L7" i="16" a="1"/>
  <c r="D1" i="19" a="1"/>
  <c r="O3" i="22" a="1"/>
  <c r="C1" i="20" a="1"/>
  <c r="L3" i="22" a="1"/>
  <c r="L5" i="14" a="1"/>
  <c r="O5" i="14" a="1"/>
  <c r="F2" i="15" a="1"/>
  <c r="C8" i="16" a="1"/>
  <c r="C2" i="18" a="1"/>
  <c r="C1" i="15" a="1"/>
  <c r="E5" i="21" a="1"/>
  <c r="L7" i="19" a="1"/>
  <c r="N3" i="22" a="1"/>
  <c r="H3" i="10"/>
  <c r="B5" i="23"/>
  <c r="B2" i="23"/>
  <c r="B16" i="23"/>
  <c r="H7" i="10"/>
  <c r="H8" i="10"/>
  <c r="E4" i="10"/>
  <c r="B14" i="23"/>
  <c r="B11" i="23"/>
  <c r="F1" i="17"/>
  <c r="K1" i="18"/>
  <c r="O2" i="20"/>
  <c r="H2" i="15"/>
  <c r="O2" i="18"/>
  <c r="L2" i="18"/>
  <c r="F2" i="20"/>
  <c r="I1" i="18"/>
  <c r="K1" i="16"/>
  <c r="E1" i="17"/>
  <c r="G1" i="16"/>
  <c r="K2" i="20"/>
  <c r="I2" i="19"/>
  <c r="J2" i="20"/>
  <c r="G2" i="15"/>
  <c r="E2" i="19"/>
  <c r="G2" i="21"/>
  <c r="D1" i="17"/>
  <c r="M2" i="19"/>
  <c r="M2" i="16"/>
  <c r="L2" i="20"/>
  <c r="K2" i="15"/>
  <c r="M1" i="16"/>
  <c r="M1" i="17"/>
  <c r="I2" i="21"/>
  <c r="J1" i="17"/>
  <c r="L2" i="16"/>
  <c r="A12" i="23"/>
  <c r="E2" i="14"/>
  <c r="N1" i="14"/>
  <c r="M1" i="14"/>
  <c r="F2" i="21"/>
  <c r="B10" i="23"/>
  <c r="B3" i="7"/>
  <c r="D2" i="16"/>
  <c r="D2" i="18"/>
  <c r="G4" i="10"/>
  <c r="E1" i="15"/>
  <c r="E2" i="17"/>
  <c r="D8" i="23"/>
  <c r="E2" i="15"/>
  <c r="D1" i="20"/>
  <c r="D2" i="23"/>
  <c r="H2" i="17"/>
  <c r="G5" i="10"/>
  <c r="C16" i="23"/>
  <c r="O36" i="23"/>
  <c r="I37" i="23"/>
  <c r="O39" i="23"/>
  <c r="F9" i="10"/>
  <c r="O38" i="23"/>
  <c r="H37" i="23"/>
  <c r="N37" i="23"/>
  <c r="D12" i="23"/>
  <c r="C13" i="23"/>
  <c r="D36" i="23"/>
  <c r="K38" i="23"/>
  <c r="D39" i="23"/>
  <c r="M39" i="23"/>
  <c r="B4" i="8"/>
  <c r="B37" i="23"/>
  <c r="P37" i="23"/>
  <c r="L36" i="23"/>
  <c r="B5" i="8"/>
  <c r="G37" i="23"/>
  <c r="C5" i="8"/>
  <c r="C39" i="23"/>
  <c r="E5" i="8"/>
  <c r="H2" i="18"/>
  <c r="F2" i="16"/>
  <c r="C2" i="18"/>
  <c r="I39" i="23"/>
  <c r="F4" i="8"/>
  <c r="I8" i="10"/>
  <c r="G9" i="10"/>
  <c r="J38" i="23"/>
  <c r="E2" i="8"/>
  <c r="E36" i="23"/>
  <c r="J39" i="23"/>
  <c r="J37" i="23"/>
  <c r="B4" i="23"/>
  <c r="H4" i="10"/>
  <c r="B8" i="23"/>
  <c r="E9" i="10"/>
  <c r="E3" i="10"/>
  <c r="B6" i="23"/>
  <c r="B7" i="23"/>
  <c r="N1" i="16"/>
  <c r="J2" i="21"/>
  <c r="K2" i="16"/>
  <c r="M1" i="18"/>
  <c r="L2" i="21"/>
  <c r="E2" i="20"/>
  <c r="G2" i="20"/>
  <c r="M2" i="21"/>
  <c r="I1" i="16"/>
  <c r="F1" i="18"/>
  <c r="N1" i="18"/>
  <c r="J1" i="18"/>
  <c r="O2" i="15"/>
  <c r="K2" i="14"/>
  <c r="M2" i="20"/>
  <c r="N2" i="16"/>
  <c r="E1" i="16"/>
  <c r="L2" i="14"/>
  <c r="H1" i="17"/>
  <c r="H2" i="19"/>
  <c r="L2" i="15"/>
  <c r="E1" i="18"/>
  <c r="M2" i="17"/>
  <c r="K2" i="18"/>
  <c r="C2" i="19"/>
  <c r="H2" i="20"/>
  <c r="D2" i="14"/>
  <c r="C2" i="21"/>
  <c r="E2" i="21"/>
  <c r="C2" i="14"/>
  <c r="I2" i="14"/>
  <c r="C1" i="19"/>
  <c r="B15" i="23"/>
  <c r="F1" i="15"/>
  <c r="I2" i="16"/>
  <c r="D16" i="23"/>
  <c r="G38" i="23"/>
  <c r="C4" i="8"/>
  <c r="D1" i="14"/>
  <c r="F1" i="14"/>
  <c r="O2" i="14"/>
  <c r="H1" i="14"/>
  <c r="H6" i="10"/>
  <c r="B9" i="23"/>
  <c r="O2" i="16"/>
  <c r="L2" i="19"/>
  <c r="G1" i="17"/>
  <c r="N2" i="17"/>
  <c r="D1" i="16"/>
  <c r="K1" i="17"/>
  <c r="H1" i="18"/>
  <c r="O2" i="19"/>
  <c r="B3" i="23"/>
  <c r="N2" i="21"/>
  <c r="N1" i="17"/>
  <c r="L1" i="16"/>
  <c r="N2" i="15"/>
  <c r="J2" i="18"/>
  <c r="I1" i="17"/>
  <c r="L1" i="17"/>
  <c r="L1" i="18"/>
  <c r="O2" i="21"/>
  <c r="J2" i="15"/>
  <c r="G2" i="19"/>
  <c r="G1" i="18"/>
  <c r="I2" i="15"/>
  <c r="N2" i="14"/>
  <c r="D2" i="20"/>
  <c r="O2" i="17"/>
  <c r="O1" i="17"/>
  <c r="H2" i="14"/>
  <c r="E1" i="19"/>
  <c r="F1" i="19"/>
  <c r="J1" i="14"/>
  <c r="F2" i="14"/>
  <c r="B13" i="23"/>
  <c r="F2" i="15"/>
  <c r="G2" i="18"/>
  <c r="G6" i="10"/>
  <c r="B3" i="6"/>
  <c r="B2" i="7"/>
  <c r="D7" i="23"/>
  <c r="C1" i="15"/>
  <c r="B2" i="6"/>
  <c r="F2" i="18"/>
  <c r="D6" i="23"/>
  <c r="G2" i="17"/>
  <c r="D11" i="23"/>
  <c r="N36" i="23"/>
  <c r="F3" i="8"/>
  <c r="D37" i="23"/>
  <c r="L37" i="23"/>
  <c r="E4" i="8"/>
  <c r="F5" i="8"/>
  <c r="M37" i="23"/>
  <c r="H3" i="8"/>
  <c r="K37" i="23"/>
  <c r="D5" i="8"/>
  <c r="B36" i="23"/>
  <c r="J36" i="23"/>
  <c r="D3" i="8"/>
  <c r="C4" i="15"/>
  <c r="H39" i="23"/>
  <c r="M36" i="23"/>
  <c r="G3" i="8"/>
  <c r="P39" i="23"/>
  <c r="F39" i="23"/>
  <c r="D13" i="23"/>
  <c r="G36" i="23"/>
  <c r="K36" i="23"/>
  <c r="C2" i="8"/>
  <c r="B38" i="23"/>
  <c r="C5" i="15"/>
  <c r="H36" i="23"/>
  <c r="F38" i="23"/>
  <c r="P36" i="23"/>
  <c r="B2" i="8"/>
  <c r="B21" i="23"/>
  <c r="E2" i="16"/>
  <c r="C2" i="17"/>
  <c r="O37" i="23"/>
  <c r="H4" i="8"/>
  <c r="H38" i="23"/>
  <c r="L38" i="23"/>
  <c r="F36" i="23"/>
  <c r="G5" i="8"/>
  <c r="C37" i="23"/>
  <c r="E8" i="10"/>
  <c r="E5" i="10"/>
  <c r="H9" i="10"/>
  <c r="J3" i="10"/>
  <c r="E1" i="14"/>
  <c r="I1" i="14"/>
  <c r="E6" i="10"/>
  <c r="B12" i="23"/>
  <c r="H5" i="10"/>
  <c r="G1" i="14"/>
  <c r="J2" i="16"/>
  <c r="M2" i="15"/>
  <c r="N2" i="19"/>
  <c r="K2" i="21"/>
  <c r="F1" i="16"/>
  <c r="K2" i="19"/>
  <c r="N2" i="20"/>
  <c r="N2" i="18"/>
  <c r="C2" i="20"/>
  <c r="J2" i="19"/>
  <c r="F2" i="19"/>
  <c r="O1" i="18"/>
  <c r="M2" i="14"/>
  <c r="J2" i="14"/>
  <c r="L2" i="17"/>
  <c r="H2" i="21"/>
  <c r="I2" i="20"/>
  <c r="H1" i="16"/>
  <c r="O1" i="16"/>
  <c r="D1" i="18"/>
  <c r="J1" i="16"/>
  <c r="M2" i="18"/>
  <c r="J2" i="17"/>
  <c r="D2" i="19"/>
  <c r="K2" i="17"/>
  <c r="A29" i="23"/>
  <c r="K1" i="14"/>
  <c r="L1" i="14"/>
  <c r="O1" i="14"/>
  <c r="G2" i="14"/>
  <c r="E7" i="10"/>
  <c r="B22" i="23"/>
  <c r="C2" i="16"/>
  <c r="E1" i="20"/>
  <c r="D4" i="23"/>
  <c r="H2" i="16"/>
  <c r="G2" i="16"/>
  <c r="G3" i="10"/>
  <c r="D1" i="15"/>
  <c r="C2" i="15"/>
  <c r="F2" i="17"/>
  <c r="D5" i="23"/>
  <c r="F1" i="20"/>
  <c r="M38" i="23"/>
  <c r="I7" i="10"/>
  <c r="L39" i="23"/>
  <c r="C14" i="23"/>
  <c r="D15" i="23"/>
  <c r="C3" i="8"/>
  <c r="G8" i="10"/>
  <c r="D10" i="23"/>
  <c r="N38" i="23"/>
  <c r="N39" i="23"/>
  <c r="C12" i="23"/>
  <c r="H5" i="8"/>
  <c r="E3" i="8"/>
  <c r="I38" i="23"/>
  <c r="G4" i="8"/>
  <c r="P38" i="23"/>
  <c r="E37" i="23"/>
  <c r="I36" i="23"/>
  <c r="I3" i="8"/>
  <c r="I2" i="8"/>
  <c r="D4" i="8"/>
  <c r="F2" i="8"/>
  <c r="G2" i="8"/>
  <c r="H2" i="8"/>
  <c r="D38" i="23"/>
  <c r="B39" i="23"/>
  <c r="E39" i="23"/>
  <c r="C38" i="23"/>
  <c r="E38" i="23"/>
  <c r="D2" i="8"/>
  <c r="E2" i="18"/>
  <c r="D2" i="17"/>
  <c r="D9" i="23"/>
  <c r="D3" i="23"/>
  <c r="G7" i="10"/>
  <c r="K39" i="23"/>
  <c r="F37" i="23"/>
  <c r="G39" i="23"/>
  <c r="I4" i="8"/>
  <c r="C36" i="23"/>
  <c r="I5" i="8"/>
  <c r="B3" i="8"/>
  <c r="E2" i="4" l="1"/>
  <c r="C4" i="14"/>
  <c r="C3" i="4"/>
  <c r="C5" i="14"/>
  <c r="E3" i="4"/>
  <c r="C2" i="4"/>
  <c r="G10" i="15"/>
  <c r="H4" i="15"/>
  <c r="F9" i="22"/>
  <c r="N5" i="14"/>
  <c r="O4" i="14"/>
  <c r="C8" i="23"/>
  <c r="H5" i="17"/>
  <c r="C4" i="23"/>
  <c r="J5" i="17"/>
  <c r="C5" i="23"/>
  <c r="C4" i="17"/>
  <c r="F4" i="17"/>
  <c r="H4" i="17"/>
  <c r="J13" i="22"/>
  <c r="J4" i="15"/>
  <c r="G5" i="15"/>
  <c r="G4" i="14"/>
  <c r="D4" i="17"/>
  <c r="C6" i="10"/>
  <c r="D4" i="18"/>
  <c r="J11" i="22"/>
  <c r="C12" i="22"/>
  <c r="F4" i="15"/>
  <c r="E3" i="5"/>
  <c r="C14" i="22"/>
  <c r="J5" i="15"/>
  <c r="J4" i="14"/>
  <c r="K5" i="16"/>
  <c r="I15" i="22"/>
  <c r="D15" i="22"/>
  <c r="G5" i="14"/>
  <c r="D5" i="17"/>
  <c r="D4" i="22"/>
  <c r="G13" i="22"/>
  <c r="B5" i="10"/>
  <c r="D6" i="10"/>
  <c r="H14" i="22"/>
  <c r="E2" i="5"/>
  <c r="F13" i="22"/>
  <c r="K19" i="23"/>
  <c r="D4" i="15"/>
  <c r="D5" i="22"/>
  <c r="F5" i="16"/>
  <c r="E4" i="16"/>
  <c r="E5" i="16"/>
  <c r="L5" i="18"/>
  <c r="O5" i="16"/>
  <c r="E15" i="22"/>
  <c r="M5" i="15"/>
  <c r="I12" i="22"/>
  <c r="G5" i="16"/>
  <c r="O5" i="17"/>
  <c r="J12" i="22"/>
  <c r="F7" i="22"/>
  <c r="L5" i="17"/>
  <c r="D5" i="14"/>
  <c r="F15" i="22"/>
  <c r="F10" i="22"/>
  <c r="J14" i="22"/>
  <c r="N4" i="18"/>
  <c r="G5" i="18"/>
  <c r="G7" i="22"/>
  <c r="J15" i="22"/>
  <c r="I5" i="18"/>
  <c r="D4" i="14"/>
  <c r="C2" i="5"/>
  <c r="D5" i="20"/>
  <c r="E11" i="17"/>
  <c r="H6" i="22"/>
  <c r="J10" i="15"/>
  <c r="C7" i="14"/>
  <c r="E8" i="15"/>
  <c r="E6" i="22"/>
  <c r="D8" i="16"/>
  <c r="O7" i="17"/>
  <c r="M7" i="15"/>
  <c r="H11" i="14"/>
  <c r="D8" i="17"/>
  <c r="G8" i="16"/>
  <c r="I8" i="20"/>
  <c r="C10" i="18"/>
  <c r="K10" i="17"/>
  <c r="D4" i="20"/>
  <c r="J8" i="17"/>
  <c r="D7" i="17"/>
  <c r="K8" i="14"/>
  <c r="G7" i="15"/>
  <c r="O10" i="15"/>
  <c r="C11" i="16"/>
  <c r="L10" i="15"/>
  <c r="E11" i="15"/>
  <c r="F22" i="23"/>
  <c r="K10" i="18"/>
  <c r="I2" i="17"/>
  <c r="O8" i="14"/>
  <c r="K8" i="17"/>
  <c r="J7" i="17"/>
  <c r="I21" i="23"/>
  <c r="F11" i="14"/>
  <c r="I8" i="17"/>
  <c r="J8" i="15"/>
  <c r="F21" i="23"/>
  <c r="N22" i="23"/>
  <c r="F2" i="4"/>
  <c r="F10" i="14"/>
  <c r="K8" i="18"/>
  <c r="N10" i="15"/>
  <c r="D10" i="14"/>
  <c r="M7" i="17"/>
  <c r="I11" i="18"/>
  <c r="O8" i="16"/>
  <c r="H10" i="14"/>
  <c r="J10" i="17"/>
  <c r="F7" i="16"/>
  <c r="L8" i="15"/>
  <c r="C10" i="14"/>
  <c r="C22" i="23"/>
  <c r="D11" i="18"/>
  <c r="L10" i="18"/>
  <c r="F7" i="18"/>
  <c r="D3" i="5"/>
  <c r="H10" i="18"/>
  <c r="H4" i="14"/>
  <c r="H5" i="14"/>
  <c r="H5" i="15"/>
  <c r="I4" i="16"/>
  <c r="F6" i="10"/>
  <c r="E5" i="17"/>
  <c r="C2" i="6"/>
  <c r="H8" i="22"/>
  <c r="C9" i="23"/>
  <c r="C3" i="6"/>
  <c r="F3" i="10"/>
  <c r="G10" i="22"/>
  <c r="G5" i="17"/>
  <c r="C4" i="22"/>
  <c r="E4" i="14"/>
  <c r="F4" i="14"/>
  <c r="M5" i="14"/>
  <c r="O4" i="17"/>
  <c r="B3" i="4"/>
  <c r="D10" i="22"/>
  <c r="F8" i="22"/>
  <c r="M4" i="15"/>
  <c r="D7" i="22"/>
  <c r="L4" i="14"/>
  <c r="F5" i="14"/>
  <c r="H3" i="22"/>
  <c r="C19" i="23"/>
  <c r="B2" i="4"/>
  <c r="N4" i="15"/>
  <c r="I5" i="15"/>
  <c r="C3" i="7"/>
  <c r="D12" i="22"/>
  <c r="M19" i="23"/>
  <c r="C11" i="22"/>
  <c r="C7" i="22"/>
  <c r="I19" i="23"/>
  <c r="I10" i="22"/>
  <c r="H4" i="18"/>
  <c r="M5" i="16"/>
  <c r="I4" i="15"/>
  <c r="C15" i="22"/>
  <c r="F4" i="18"/>
  <c r="J4" i="18"/>
  <c r="E12" i="22"/>
  <c r="E3" i="22"/>
  <c r="L4" i="18"/>
  <c r="L5" i="15"/>
  <c r="L5" i="14"/>
  <c r="N4" i="16"/>
  <c r="B3" i="10"/>
  <c r="J5" i="16"/>
  <c r="F14" i="22"/>
  <c r="D5" i="16"/>
  <c r="C3" i="5"/>
  <c r="O4" i="18"/>
  <c r="G3" i="22"/>
  <c r="C4" i="10"/>
  <c r="N19" i="23"/>
  <c r="I11" i="22"/>
  <c r="J9" i="22"/>
  <c r="E4" i="15"/>
  <c r="G19" i="23"/>
  <c r="L4" i="17"/>
  <c r="N5" i="16"/>
  <c r="D2" i="6"/>
  <c r="K11" i="17"/>
  <c r="F10" i="17"/>
  <c r="G11" i="22"/>
  <c r="M7" i="14"/>
  <c r="D11" i="17"/>
  <c r="G8" i="17"/>
  <c r="H11" i="15"/>
  <c r="D10" i="15"/>
  <c r="H10" i="16"/>
  <c r="I11" i="14"/>
  <c r="J11" i="15"/>
  <c r="J11" i="14"/>
  <c r="E22" i="23"/>
  <c r="I2" i="18"/>
  <c r="E10" i="17"/>
  <c r="C7" i="18"/>
  <c r="D2" i="7"/>
  <c r="K11" i="15"/>
  <c r="G11" i="14"/>
  <c r="F11" i="16"/>
  <c r="C8" i="14"/>
  <c r="I5" i="22"/>
  <c r="K8" i="15"/>
  <c r="H8" i="14"/>
  <c r="N10" i="17"/>
  <c r="D8" i="18"/>
  <c r="E4" i="22"/>
  <c r="O7" i="14"/>
  <c r="M4" i="22"/>
  <c r="N11" i="14"/>
  <c r="H5" i="22"/>
  <c r="K4" i="17"/>
  <c r="J11" i="18"/>
  <c r="I7" i="14"/>
  <c r="M7" i="18"/>
  <c r="E5" i="22"/>
  <c r="L8" i="22"/>
  <c r="I11" i="17"/>
  <c r="E7" i="14"/>
  <c r="E11" i="16"/>
  <c r="I8" i="15"/>
  <c r="B5" i="13"/>
  <c r="I10" i="17"/>
  <c r="J7" i="18"/>
  <c r="J8" i="16"/>
  <c r="C1" i="20"/>
  <c r="E21" i="23"/>
  <c r="K11" i="18"/>
  <c r="N11" i="15"/>
  <c r="D10" i="18"/>
  <c r="N10" i="16"/>
  <c r="I20" i="23"/>
  <c r="O7" i="16"/>
  <c r="G11" i="18"/>
  <c r="K7" i="18"/>
  <c r="L7" i="18"/>
  <c r="O11" i="17"/>
  <c r="D3" i="6"/>
  <c r="H8" i="15"/>
  <c r="I8" i="14"/>
  <c r="D3" i="22"/>
  <c r="J10" i="16"/>
  <c r="D2" i="21"/>
  <c r="O5" i="14"/>
  <c r="I4" i="14"/>
  <c r="D8" i="22"/>
  <c r="I5" i="16"/>
  <c r="N4" i="14"/>
  <c r="F5" i="10"/>
  <c r="C6" i="23"/>
  <c r="E3" i="6"/>
  <c r="F4" i="10"/>
  <c r="D4" i="16"/>
  <c r="E3" i="7"/>
  <c r="L5" i="16"/>
  <c r="G14" i="22"/>
  <c r="H13" i="22"/>
  <c r="D6" i="22"/>
  <c r="D5" i="15"/>
  <c r="I14" i="22"/>
  <c r="I5" i="17"/>
  <c r="D5" i="10"/>
  <c r="F3" i="22"/>
  <c r="N5" i="15"/>
  <c r="H5" i="18"/>
  <c r="G12" i="22"/>
  <c r="C4" i="18"/>
  <c r="J8" i="22"/>
  <c r="I4" i="18"/>
  <c r="J5" i="14"/>
  <c r="J3" i="22"/>
  <c r="C4" i="16"/>
  <c r="I3" i="22"/>
  <c r="F19" i="23"/>
  <c r="K4" i="16"/>
  <c r="H7" i="22"/>
  <c r="M4" i="16"/>
  <c r="D11" i="22"/>
  <c r="H10" i="17"/>
  <c r="J11" i="17"/>
  <c r="B2" i="5"/>
  <c r="F10" i="16"/>
  <c r="D8" i="15"/>
  <c r="O11" i="18"/>
  <c r="N7" i="17"/>
  <c r="F2" i="6"/>
  <c r="C8" i="17"/>
  <c r="F6" i="22"/>
  <c r="E8" i="18"/>
  <c r="C7" i="16"/>
  <c r="F8" i="15"/>
  <c r="O10" i="16"/>
  <c r="C11" i="17"/>
  <c r="N8" i="17"/>
  <c r="I10" i="15"/>
  <c r="M8" i="14"/>
  <c r="I10" i="18"/>
  <c r="C8" i="22"/>
  <c r="E2" i="6"/>
  <c r="C5" i="17"/>
  <c r="G8" i="22"/>
  <c r="C3" i="23"/>
  <c r="K5" i="15"/>
  <c r="M5" i="18"/>
  <c r="H15" i="22"/>
  <c r="F5" i="18"/>
  <c r="C9" i="22"/>
  <c r="C13" i="22"/>
  <c r="E2" i="7"/>
  <c r="D4" i="10"/>
  <c r="C5" i="18"/>
  <c r="G4" i="15"/>
  <c r="O4" i="15"/>
  <c r="C5" i="10"/>
  <c r="J4" i="16"/>
  <c r="E14" i="22"/>
  <c r="M4" i="18"/>
  <c r="C5" i="16"/>
  <c r="J7" i="22"/>
  <c r="C10" i="22"/>
  <c r="L19" i="23"/>
  <c r="J19" i="23"/>
  <c r="J5" i="18"/>
  <c r="G4" i="17"/>
  <c r="O4" i="16"/>
  <c r="E13" i="22"/>
  <c r="H12" i="22"/>
  <c r="B6" i="10"/>
  <c r="F7" i="17"/>
  <c r="E8" i="17"/>
  <c r="D11" i="15"/>
  <c r="J10" i="18"/>
  <c r="E11" i="14"/>
  <c r="I7" i="15"/>
  <c r="K8" i="16"/>
  <c r="F2" i="7"/>
  <c r="O11" i="14"/>
  <c r="G10" i="14"/>
  <c r="N7" i="20"/>
  <c r="G8" i="18"/>
  <c r="M11" i="14"/>
  <c r="M11" i="17"/>
  <c r="I7" i="16"/>
  <c r="F11" i="17"/>
  <c r="M8" i="15"/>
  <c r="F8" i="14"/>
  <c r="J7" i="16"/>
  <c r="N21" i="23"/>
  <c r="K11" i="14"/>
  <c r="D22" i="23"/>
  <c r="K21" i="23"/>
  <c r="I10" i="16"/>
  <c r="K10" i="14"/>
  <c r="H8" i="18"/>
  <c r="N11" i="18"/>
  <c r="E7" i="18"/>
  <c r="K7" i="17"/>
  <c r="L22" i="23"/>
  <c r="K10" i="15"/>
  <c r="D7" i="18"/>
  <c r="G11" i="15"/>
  <c r="J5" i="22"/>
  <c r="H5" i="19"/>
  <c r="K7" i="14"/>
  <c r="H22" i="23"/>
  <c r="C3" i="22"/>
  <c r="N7" i="14"/>
  <c r="O11" i="15"/>
  <c r="C11" i="18"/>
  <c r="M11" i="16"/>
  <c r="I6" i="22"/>
  <c r="G10" i="16"/>
  <c r="G10" i="18"/>
  <c r="H11" i="16"/>
  <c r="O10" i="18"/>
  <c r="C7" i="17"/>
  <c r="D21" i="23"/>
  <c r="F2" i="5"/>
  <c r="J11" i="16"/>
  <c r="B20" i="23"/>
  <c r="G4" i="22"/>
  <c r="L11" i="16"/>
  <c r="O10" i="17"/>
  <c r="D7" i="16"/>
  <c r="N7" i="16"/>
  <c r="H26" i="23"/>
  <c r="M25" i="23"/>
  <c r="M24" i="23"/>
  <c r="D23" i="23"/>
  <c r="L26" i="23"/>
  <c r="D26" i="23"/>
  <c r="B25" i="23"/>
  <c r="B26" i="23"/>
  <c r="M23" i="23"/>
  <c r="M26" i="23"/>
  <c r="E24" i="23"/>
  <c r="D24" i="23"/>
  <c r="J25" i="23"/>
  <c r="E7" i="23"/>
  <c r="C25" i="23"/>
  <c r="L23" i="23"/>
  <c r="H4" i="20"/>
  <c r="F8" i="20"/>
  <c r="H10" i="21"/>
  <c r="M33" i="23"/>
  <c r="K9" i="22"/>
  <c r="C5" i="21"/>
  <c r="L7" i="20"/>
  <c r="D5" i="21"/>
  <c r="C4" i="19"/>
  <c r="J4" i="20"/>
  <c r="G5" i="20"/>
  <c r="L11" i="20"/>
  <c r="I10" i="21"/>
  <c r="N11" i="21"/>
  <c r="M4" i="19"/>
  <c r="K4" i="21"/>
  <c r="D10" i="19"/>
  <c r="O12" i="22"/>
  <c r="N27" i="23"/>
  <c r="K11" i="19"/>
  <c r="K31" i="23"/>
  <c r="O11" i="22"/>
  <c r="L10" i="21"/>
  <c r="J4" i="19"/>
  <c r="E31" i="23"/>
  <c r="L29" i="23"/>
  <c r="K5" i="20"/>
  <c r="I5" i="14"/>
  <c r="E4" i="17"/>
  <c r="H10" i="22"/>
  <c r="F5" i="17"/>
  <c r="K4" i="15"/>
  <c r="I4" i="17"/>
  <c r="D13" i="22"/>
  <c r="I7" i="22"/>
  <c r="D9" i="22"/>
  <c r="D14" i="22"/>
  <c r="M4" i="14"/>
  <c r="B19" i="23"/>
  <c r="M4" i="17"/>
  <c r="F5" i="15"/>
  <c r="G4" i="16"/>
  <c r="G9" i="22"/>
  <c r="E7" i="22"/>
  <c r="B4" i="10"/>
  <c r="O5" i="15"/>
  <c r="E5" i="18"/>
  <c r="F4" i="16"/>
  <c r="H19" i="23"/>
  <c r="I9" i="22"/>
  <c r="F12" i="22"/>
  <c r="O5" i="18"/>
  <c r="K5" i="18"/>
  <c r="L4" i="15"/>
  <c r="J10" i="22"/>
  <c r="I8" i="22"/>
  <c r="E19" i="23"/>
  <c r="D5" i="18"/>
  <c r="H11" i="17"/>
  <c r="K5" i="17"/>
  <c r="D7" i="14"/>
  <c r="C21" i="23"/>
  <c r="L10" i="17"/>
  <c r="M11" i="18"/>
  <c r="M20" i="23"/>
  <c r="F3" i="6"/>
  <c r="I8" i="16"/>
  <c r="M8" i="18"/>
  <c r="C11" i="14"/>
  <c r="N10" i="18"/>
  <c r="M8" i="17"/>
  <c r="E10" i="14"/>
  <c r="O10" i="14"/>
  <c r="H11" i="22"/>
  <c r="E10" i="15"/>
  <c r="H7" i="16"/>
  <c r="M22" i="23"/>
  <c r="I7" i="17"/>
  <c r="F11" i="15"/>
  <c r="L11" i="18"/>
  <c r="J8" i="18"/>
  <c r="D10" i="17"/>
  <c r="O7" i="15"/>
  <c r="G7" i="17"/>
  <c r="H7" i="18"/>
  <c r="D10" i="16"/>
  <c r="D3" i="4"/>
  <c r="F3" i="7"/>
  <c r="L8" i="14"/>
  <c r="F8" i="18"/>
  <c r="G10" i="17"/>
  <c r="E10" i="16"/>
  <c r="I8" i="18"/>
  <c r="G20" i="23"/>
  <c r="C20" i="23"/>
  <c r="O8" i="17"/>
  <c r="F7" i="15"/>
  <c r="H8" i="17"/>
  <c r="H4" i="22"/>
  <c r="H7" i="15"/>
  <c r="N8" i="16"/>
  <c r="G11" i="16"/>
  <c r="N7" i="15"/>
  <c r="K11" i="16"/>
  <c r="N20" i="23"/>
  <c r="B3" i="5"/>
  <c r="N8" i="14"/>
  <c r="G7" i="14"/>
  <c r="O7" i="18"/>
  <c r="J10" i="14"/>
  <c r="I11" i="15"/>
  <c r="L7" i="16"/>
  <c r="D20" i="23"/>
  <c r="O8" i="18"/>
  <c r="L10" i="16"/>
  <c r="O11" i="16"/>
  <c r="J23" i="23"/>
  <c r="G23" i="23"/>
  <c r="D25" i="23"/>
  <c r="C23" i="23"/>
  <c r="G25" i="23"/>
  <c r="B23" i="23"/>
  <c r="K24" i="23"/>
  <c r="K26" i="23"/>
  <c r="I24" i="23"/>
  <c r="F23" i="23"/>
  <c r="E25" i="23"/>
  <c r="E2" i="23"/>
  <c r="I23" i="23"/>
  <c r="N25" i="23"/>
  <c r="E23" i="23"/>
  <c r="N8" i="22"/>
  <c r="M5" i="22"/>
  <c r="L9" i="22"/>
  <c r="M4" i="21"/>
  <c r="C10" i="19"/>
  <c r="E10" i="20"/>
  <c r="E5" i="20"/>
  <c r="P11" i="22"/>
  <c r="F11" i="21"/>
  <c r="L5" i="22"/>
  <c r="D5" i="19"/>
  <c r="N15" i="22"/>
  <c r="C5" i="13"/>
  <c r="B28" i="23"/>
  <c r="M32" i="23"/>
  <c r="J31" i="23"/>
  <c r="N5" i="22"/>
  <c r="C31" i="23"/>
  <c r="P5" i="22"/>
  <c r="D7" i="10"/>
  <c r="M11" i="20"/>
  <c r="O8" i="20"/>
  <c r="K7" i="22"/>
  <c r="D1" i="19"/>
  <c r="J4" i="17"/>
  <c r="E10" i="22"/>
  <c r="G15" i="22"/>
  <c r="K4" i="14"/>
  <c r="L4" i="16"/>
  <c r="E11" i="22"/>
  <c r="N4" i="17"/>
  <c r="D3" i="7"/>
  <c r="E7" i="15"/>
  <c r="F8" i="17"/>
  <c r="E10" i="18"/>
  <c r="M11" i="15"/>
  <c r="D2" i="4"/>
  <c r="M21" i="23"/>
  <c r="F3" i="4"/>
  <c r="M8" i="16"/>
  <c r="N7" i="18"/>
  <c r="C8" i="18"/>
  <c r="M7" i="20"/>
  <c r="J8" i="14"/>
  <c r="I4" i="22"/>
  <c r="G8" i="14"/>
  <c r="K20" i="23"/>
  <c r="J6" i="22"/>
  <c r="L20" i="23"/>
  <c r="M10" i="16"/>
  <c r="L8" i="17"/>
  <c r="E7" i="17"/>
  <c r="L11" i="14"/>
  <c r="G7" i="16"/>
  <c r="K10" i="16"/>
  <c r="K22" i="23"/>
  <c r="N26" i="23"/>
  <c r="C24" i="23"/>
  <c r="G6" i="22"/>
  <c r="E3" i="23"/>
  <c r="I25" i="23"/>
  <c r="E8" i="23"/>
  <c r="E6" i="23"/>
  <c r="H25" i="23"/>
  <c r="C8" i="21"/>
  <c r="J10" i="21"/>
  <c r="C10" i="20"/>
  <c r="L8" i="21"/>
  <c r="D10" i="20"/>
  <c r="L8" i="20"/>
  <c r="N11" i="19"/>
  <c r="I31" i="23"/>
  <c r="D10" i="21"/>
  <c r="C2" i="13"/>
  <c r="G5" i="19"/>
  <c r="D31" i="23"/>
  <c r="K5" i="22"/>
  <c r="B27" i="23"/>
  <c r="H10" i="19"/>
  <c r="M8" i="22"/>
  <c r="E8" i="19"/>
  <c r="M6" i="22"/>
  <c r="K4" i="22"/>
  <c r="F10" i="21"/>
  <c r="K6" i="22"/>
  <c r="K4" i="20"/>
  <c r="G11" i="19"/>
  <c r="B3" i="11"/>
  <c r="C2" i="12"/>
  <c r="J11" i="20"/>
  <c r="M10" i="21"/>
  <c r="O4" i="20"/>
  <c r="E11" i="21"/>
  <c r="E29" i="23"/>
  <c r="N10" i="19"/>
  <c r="L7" i="19"/>
  <c r="E15" i="23"/>
  <c r="C5" i="20"/>
  <c r="J32" i="23"/>
  <c r="N11" i="20"/>
  <c r="D30" i="23"/>
  <c r="B8" i="10"/>
  <c r="N28" i="23"/>
  <c r="N4" i="19"/>
  <c r="E27" i="23"/>
  <c r="F28" i="23"/>
  <c r="H30" i="23"/>
  <c r="D8" i="20"/>
  <c r="F11" i="20"/>
  <c r="D27" i="23"/>
  <c r="H10" i="20"/>
  <c r="N9" i="22"/>
  <c r="C11" i="15"/>
  <c r="K8" i="21"/>
  <c r="C7" i="21"/>
  <c r="K11" i="22"/>
  <c r="G30" i="23"/>
  <c r="O10" i="20"/>
  <c r="C7" i="20"/>
  <c r="G10" i="19"/>
  <c r="O6" i="22"/>
  <c r="H4" i="19"/>
  <c r="L32" i="23"/>
  <c r="L33" i="23"/>
  <c r="L30" i="23"/>
  <c r="C7" i="10"/>
  <c r="B3" i="12"/>
  <c r="E33" i="23"/>
  <c r="B4" i="13"/>
  <c r="O10" i="22"/>
  <c r="C27" i="23"/>
  <c r="G5" i="21"/>
  <c r="I8" i="19"/>
  <c r="J7" i="21"/>
  <c r="J29" i="23"/>
  <c r="N4" i="20"/>
  <c r="I11" i="20"/>
  <c r="M8" i="20"/>
  <c r="C15" i="23"/>
  <c r="G10" i="20"/>
  <c r="F8" i="19"/>
  <c r="K5" i="19"/>
  <c r="K10" i="20"/>
  <c r="M8" i="19"/>
  <c r="O4" i="21"/>
  <c r="L31" i="23"/>
  <c r="N7" i="21"/>
  <c r="P3" i="22"/>
  <c r="O11" i="19"/>
  <c r="O5" i="20"/>
  <c r="E9" i="22"/>
  <c r="C5" i="22"/>
  <c r="E5" i="15"/>
  <c r="C6" i="22"/>
  <c r="G4" i="18"/>
  <c r="C3" i="10"/>
  <c r="F11" i="22"/>
  <c r="D19" i="23"/>
  <c r="G21" i="23"/>
  <c r="L21" i="23"/>
  <c r="L7" i="14"/>
  <c r="D2" i="15"/>
  <c r="J4" i="22"/>
  <c r="L8" i="18"/>
  <c r="H20" i="23"/>
  <c r="I7" i="18"/>
  <c r="J20" i="23"/>
  <c r="N8" i="18"/>
  <c r="G5" i="22"/>
  <c r="G7" i="20"/>
  <c r="F10" i="18"/>
  <c r="I22" i="23"/>
  <c r="M7" i="16"/>
  <c r="I11" i="16"/>
  <c r="J7" i="14"/>
  <c r="E8" i="16"/>
  <c r="L11" i="17"/>
  <c r="G7" i="18"/>
  <c r="F10" i="15"/>
  <c r="E11" i="18"/>
  <c r="E20" i="23"/>
  <c r="N11" i="16"/>
  <c r="D11" i="16"/>
  <c r="I26" i="23"/>
  <c r="L24" i="23"/>
  <c r="L25" i="23"/>
  <c r="H24" i="23"/>
  <c r="E26" i="23"/>
  <c r="E9" i="23"/>
  <c r="J24" i="23"/>
  <c r="M11" i="19"/>
  <c r="M4" i="20"/>
  <c r="L13" i="22"/>
  <c r="J5" i="20"/>
  <c r="I28" i="23"/>
  <c r="J4" i="21"/>
  <c r="G31" i="23"/>
  <c r="O7" i="21"/>
  <c r="O7" i="20"/>
  <c r="M31" i="23"/>
  <c r="G7" i="21"/>
  <c r="I33" i="23"/>
  <c r="J5" i="21"/>
  <c r="E4" i="21"/>
  <c r="C5" i="11"/>
  <c r="E10" i="19"/>
  <c r="C7" i="15"/>
  <c r="L28" i="23"/>
  <c r="G11" i="20"/>
  <c r="F10" i="20"/>
  <c r="M10" i="20"/>
  <c r="G8" i="21"/>
  <c r="N10" i="20"/>
  <c r="F10" i="19"/>
  <c r="N8" i="20"/>
  <c r="E7" i="20"/>
  <c r="L4" i="22"/>
  <c r="L11" i="22"/>
  <c r="C5" i="12"/>
  <c r="E8" i="21"/>
  <c r="K3" i="22"/>
  <c r="H11" i="21"/>
  <c r="L4" i="20"/>
  <c r="L5" i="21"/>
  <c r="I5" i="19"/>
  <c r="J27" i="23"/>
  <c r="O14" i="22"/>
  <c r="E16" i="23"/>
  <c r="K28" i="23"/>
  <c r="B3" i="13"/>
  <c r="M29" i="23"/>
  <c r="G32" i="23"/>
  <c r="L14" i="22"/>
  <c r="F8" i="10"/>
  <c r="C33" i="23"/>
  <c r="N30" i="23"/>
  <c r="O7" i="22"/>
  <c r="F4" i="20"/>
  <c r="J8" i="20"/>
  <c r="D8" i="21"/>
  <c r="D11" i="21"/>
  <c r="M10" i="22"/>
  <c r="N8" i="19"/>
  <c r="O3" i="22"/>
  <c r="K4" i="19"/>
  <c r="H8" i="20"/>
  <c r="J11" i="21"/>
  <c r="I32" i="23"/>
  <c r="H7" i="21"/>
  <c r="K13" i="22"/>
  <c r="O8" i="19"/>
  <c r="H11" i="19"/>
  <c r="M28" i="23"/>
  <c r="K11" i="20"/>
  <c r="C3" i="11"/>
  <c r="L5" i="20"/>
  <c r="B30" i="23"/>
  <c r="M5" i="19"/>
  <c r="C10" i="15"/>
  <c r="E12" i="23"/>
  <c r="L12" i="22"/>
  <c r="N8" i="21"/>
  <c r="F31" i="23"/>
  <c r="B7" i="10"/>
  <c r="B2" i="11"/>
  <c r="I4" i="20"/>
  <c r="J28" i="23"/>
  <c r="E4" i="19"/>
  <c r="K8" i="20"/>
  <c r="C4" i="12"/>
  <c r="F29" i="23"/>
  <c r="K12" i="22"/>
  <c r="I30" i="23"/>
  <c r="L8" i="19"/>
  <c r="K10" i="21"/>
  <c r="K8" i="22"/>
  <c r="I27" i="23"/>
  <c r="O5" i="22"/>
  <c r="K29" i="23"/>
  <c r="P15" i="22"/>
  <c r="N29" i="23"/>
  <c r="I29" i="23"/>
  <c r="G4" i="21"/>
  <c r="K5" i="21"/>
  <c r="C7" i="23"/>
  <c r="I13" i="22"/>
  <c r="H9" i="22"/>
  <c r="E5" i="14"/>
  <c r="N5" i="17"/>
  <c r="E4" i="18"/>
  <c r="K5" i="14"/>
  <c r="N5" i="18"/>
  <c r="D11" i="14"/>
  <c r="O8" i="15"/>
  <c r="C2" i="23"/>
  <c r="C2" i="7"/>
  <c r="N8" i="15"/>
  <c r="H7" i="20"/>
  <c r="D11" i="20"/>
  <c r="F8" i="16"/>
  <c r="G22" i="23"/>
  <c r="H21" i="23"/>
  <c r="J7" i="15"/>
  <c r="D2" i="5"/>
  <c r="M10" i="17"/>
  <c r="E7" i="16"/>
  <c r="F3" i="5"/>
  <c r="J26" i="23"/>
  <c r="B24" i="23"/>
  <c r="E4" i="23"/>
  <c r="F24" i="23"/>
  <c r="N5" i="20"/>
  <c r="F7" i="20"/>
  <c r="M12" i="22"/>
  <c r="O5" i="21"/>
  <c r="C11" i="19"/>
  <c r="E8" i="22"/>
  <c r="H4" i="16"/>
  <c r="H7" i="17"/>
  <c r="J21" i="23"/>
  <c r="L7" i="17"/>
  <c r="M10" i="14"/>
  <c r="N4" i="22"/>
  <c r="L11" i="15"/>
  <c r="J22" i="23"/>
  <c r="F20" i="23"/>
  <c r="N11" i="17"/>
  <c r="C10" i="17"/>
  <c r="G11" i="17"/>
  <c r="K7" i="16"/>
  <c r="C26" i="23"/>
  <c r="D14" i="23"/>
  <c r="E5" i="23"/>
  <c r="N23" i="23"/>
  <c r="E10" i="23"/>
  <c r="H7" i="19"/>
  <c r="E14" i="23"/>
  <c r="C28" i="23"/>
  <c r="I4" i="19"/>
  <c r="I11" i="21"/>
  <c r="L3" i="22"/>
  <c r="O10" i="21"/>
  <c r="M11" i="22"/>
  <c r="J8" i="21"/>
  <c r="C32" i="23"/>
  <c r="P6" i="22"/>
  <c r="C8" i="20"/>
  <c r="E11" i="19"/>
  <c r="G8" i="19"/>
  <c r="E7" i="21"/>
  <c r="N32" i="23"/>
  <c r="P8" i="22"/>
  <c r="K8" i="19"/>
  <c r="C4" i="13"/>
  <c r="L4" i="19"/>
  <c r="M14" i="22"/>
  <c r="M11" i="21"/>
  <c r="C11" i="23"/>
  <c r="F7" i="21"/>
  <c r="P13" i="22"/>
  <c r="F33" i="23"/>
  <c r="B32" i="23"/>
  <c r="I5" i="21"/>
  <c r="N5" i="21"/>
  <c r="I4" i="21"/>
  <c r="L6" i="22"/>
  <c r="C5" i="19"/>
  <c r="C7" i="19"/>
  <c r="D32" i="23"/>
  <c r="J33" i="23"/>
  <c r="H33" i="23"/>
  <c r="O4" i="22"/>
  <c r="O15" i="22"/>
  <c r="O10" i="19"/>
  <c r="B5" i="11"/>
  <c r="C8" i="10"/>
  <c r="D28" i="23"/>
  <c r="L11" i="19"/>
  <c r="F27" i="23"/>
  <c r="C3" i="12"/>
  <c r="E28" i="23"/>
  <c r="K10" i="19"/>
  <c r="J5" i="19"/>
  <c r="H8" i="21"/>
  <c r="K10" i="22"/>
  <c r="M9" i="22"/>
  <c r="M3" i="22"/>
  <c r="I7" i="21"/>
  <c r="E13" i="23"/>
  <c r="C2" i="11"/>
  <c r="M30" i="23"/>
  <c r="N10" i="21"/>
  <c r="C3" i="13"/>
  <c r="G7" i="19"/>
  <c r="H5" i="16"/>
  <c r="H11" i="18"/>
  <c r="M10" i="15"/>
  <c r="L10" i="14"/>
  <c r="H10" i="15"/>
  <c r="E8" i="14"/>
  <c r="G24" i="23"/>
  <c r="K23" i="23"/>
  <c r="C4" i="21"/>
  <c r="I7" i="19"/>
  <c r="G11" i="21"/>
  <c r="M15" i="22"/>
  <c r="P12" i="22"/>
  <c r="M7" i="19"/>
  <c r="F5" i="21"/>
  <c r="F8" i="21"/>
  <c r="G4" i="19"/>
  <c r="H29" i="23"/>
  <c r="J8" i="19"/>
  <c r="J10" i="19"/>
  <c r="N10" i="22"/>
  <c r="C11" i="20"/>
  <c r="I5" i="20"/>
  <c r="B9" i="10"/>
  <c r="L10" i="20"/>
  <c r="E10" i="21"/>
  <c r="C29" i="23"/>
  <c r="H5" i="20"/>
  <c r="B2" i="12"/>
  <c r="C4" i="11"/>
  <c r="O5" i="19"/>
  <c r="L4" i="21"/>
  <c r="H28" i="23"/>
  <c r="L10" i="22"/>
  <c r="B33" i="23"/>
  <c r="H32" i="23"/>
  <c r="P10" i="22"/>
  <c r="O9" i="22"/>
  <c r="N14" i="22"/>
  <c r="E7" i="19"/>
  <c r="O13" i="22"/>
  <c r="G33" i="23"/>
  <c r="E30" i="23"/>
  <c r="L7" i="22"/>
  <c r="P14" i="22"/>
  <c r="C8" i="15"/>
  <c r="K7" i="21"/>
  <c r="J11" i="19"/>
  <c r="N33" i="23"/>
  <c r="B4" i="12"/>
  <c r="E4" i="20"/>
  <c r="F4" i="19"/>
  <c r="C9" i="10"/>
  <c r="I7" i="20"/>
  <c r="G10" i="21"/>
  <c r="P7" i="22"/>
  <c r="K33" i="23"/>
  <c r="D3" i="10"/>
  <c r="M5" i="17"/>
  <c r="G8" i="15"/>
  <c r="I10" i="14"/>
  <c r="L7" i="15"/>
  <c r="F7" i="14"/>
  <c r="D8" i="14"/>
  <c r="H8" i="16"/>
  <c r="F11" i="18"/>
  <c r="D7" i="15"/>
  <c r="C10" i="16"/>
  <c r="M10" i="18"/>
  <c r="F4" i="22"/>
  <c r="F26" i="23"/>
  <c r="N24" i="23"/>
  <c r="F25" i="23"/>
  <c r="G26" i="23"/>
  <c r="F7" i="10"/>
  <c r="H27" i="23"/>
  <c r="D9" i="10"/>
  <c r="O7" i="19"/>
  <c r="C30" i="23"/>
  <c r="F32" i="23"/>
  <c r="K15" i="22"/>
  <c r="C10" i="23"/>
  <c r="B31" i="23"/>
  <c r="I10" i="19"/>
  <c r="N5" i="19"/>
  <c r="N13" i="22"/>
  <c r="F11" i="19"/>
  <c r="H5" i="21"/>
  <c r="F5" i="19"/>
  <c r="B2" i="13"/>
  <c r="D11" i="19"/>
  <c r="M7" i="22"/>
  <c r="L27" i="23"/>
  <c r="F7" i="19"/>
  <c r="N4" i="21"/>
  <c r="L11" i="21"/>
  <c r="P9" i="22"/>
  <c r="C11" i="21"/>
  <c r="D8" i="10"/>
  <c r="H11" i="20"/>
  <c r="O11" i="20"/>
  <c r="D7" i="19"/>
  <c r="G8" i="20"/>
  <c r="M5" i="21"/>
  <c r="D29" i="23"/>
  <c r="J30" i="23"/>
  <c r="C8" i="19"/>
  <c r="K27" i="23"/>
  <c r="M27" i="23"/>
  <c r="G27" i="23"/>
  <c r="P4" i="22"/>
  <c r="N6" i="22"/>
  <c r="M5" i="20"/>
  <c r="J10" i="20"/>
  <c r="B5" i="12"/>
  <c r="O8" i="22"/>
  <c r="O11" i="21"/>
  <c r="M10" i="19"/>
  <c r="H31" i="23"/>
  <c r="K4" i="18"/>
  <c r="K7" i="15"/>
  <c r="N10" i="14"/>
  <c r="H7" i="14"/>
  <c r="L8" i="16"/>
  <c r="C8" i="16"/>
  <c r="F5" i="22"/>
  <c r="K25" i="23"/>
  <c r="H23" i="23"/>
  <c r="K32" i="23"/>
  <c r="N3" i="22"/>
  <c r="E11" i="20"/>
  <c r="I10" i="20"/>
  <c r="B4" i="11"/>
  <c r="G4" i="20"/>
  <c r="C10" i="21"/>
  <c r="N31" i="23"/>
  <c r="M8" i="21"/>
  <c r="E11" i="23"/>
  <c r="N11" i="22"/>
  <c r="E5" i="19"/>
  <c r="G29" i="23"/>
  <c r="L15" i="22"/>
  <c r="B29" i="23"/>
  <c r="H4" i="21"/>
  <c r="K7" i="20"/>
  <c r="J7" i="19"/>
  <c r="D7" i="20"/>
  <c r="D33" i="23"/>
  <c r="E5" i="21"/>
  <c r="N7" i="22"/>
  <c r="G28" i="23"/>
  <c r="H8" i="19"/>
  <c r="E8" i="20"/>
  <c r="K7" i="19"/>
  <c r="L5" i="19"/>
  <c r="O8" i="21"/>
  <c r="D4" i="19"/>
  <c r="D8" i="19"/>
  <c r="K11" i="21"/>
  <c r="D4" i="21"/>
  <c r="N7" i="19"/>
  <c r="O4" i="19"/>
  <c r="C4" i="20"/>
  <c r="F5" i="20"/>
  <c r="J7" i="20"/>
  <c r="M13" i="22"/>
  <c r="I11" i="19"/>
  <c r="L10" i="19"/>
  <c r="D7" i="21"/>
  <c r="L7" i="21"/>
  <c r="M7" i="21"/>
  <c r="E32" i="23"/>
  <c r="N12" i="22"/>
  <c r="F30" i="23"/>
  <c r="K14" i="22"/>
  <c r="F4" i="21"/>
  <c r="I8" i="21"/>
  <c r="K30" i="23"/>
</calcChain>
</file>

<file path=xl/sharedStrings.xml><?xml version="1.0" encoding="utf-8"?>
<sst xmlns="http://schemas.openxmlformats.org/spreadsheetml/2006/main" count="247" uniqueCount="62">
  <si>
    <t>ASK</t>
  </si>
  <si>
    <t>BID</t>
  </si>
  <si>
    <t>Annualised Premium %</t>
  </si>
  <si>
    <t>Outright Rate</t>
  </si>
  <si>
    <t>Forward Premium</t>
  </si>
  <si>
    <t>End Date</t>
  </si>
  <si>
    <t>Description</t>
  </si>
  <si>
    <t>USDJPY</t>
  </si>
  <si>
    <t>GBPUSD</t>
  </si>
  <si>
    <t>EURUSD</t>
  </si>
  <si>
    <t>JPYINR</t>
  </si>
  <si>
    <t>GBPINR</t>
  </si>
  <si>
    <t>EURINR</t>
  </si>
  <si>
    <t>USDINR</t>
  </si>
  <si>
    <t>Currency</t>
  </si>
  <si>
    <t>52 Week Low</t>
  </si>
  <si>
    <t>52 Week High</t>
  </si>
  <si>
    <t>Prv. Close</t>
  </si>
  <si>
    <t>Low</t>
  </si>
  <si>
    <t>High</t>
  </si>
  <si>
    <t>Open</t>
  </si>
  <si>
    <t>% Change</t>
  </si>
  <si>
    <t>JPY</t>
  </si>
  <si>
    <t>GBP</t>
  </si>
  <si>
    <t>Ask</t>
  </si>
  <si>
    <t>EUR</t>
  </si>
  <si>
    <t>Bid</t>
  </si>
  <si>
    <t>USD</t>
  </si>
  <si>
    <t>Tom Rate</t>
  </si>
  <si>
    <t>Tom</t>
  </si>
  <si>
    <t>Cash Rate</t>
  </si>
  <si>
    <t>Cash</t>
  </si>
  <si>
    <t>Spot</t>
  </si>
  <si>
    <t>12M</t>
  </si>
  <si>
    <t>6M</t>
  </si>
  <si>
    <t>3M</t>
  </si>
  <si>
    <t>1M</t>
  </si>
  <si>
    <t>2M</t>
  </si>
  <si>
    <t>4M</t>
  </si>
  <si>
    <t>5M</t>
  </si>
  <si>
    <t>9M</t>
  </si>
  <si>
    <t>Currency Pair</t>
  </si>
  <si>
    <t>SPOT</t>
  </si>
  <si>
    <t>7M</t>
  </si>
  <si>
    <t>8M</t>
  </si>
  <si>
    <t>10M</t>
  </si>
  <si>
    <t>11M</t>
  </si>
  <si>
    <t>BID (Export)</t>
  </si>
  <si>
    <t>ASK (Import)</t>
  </si>
  <si>
    <t>BID
(Export)</t>
  </si>
  <si>
    <t>ASK
(Import)</t>
  </si>
  <si>
    <t>Bid (Export)</t>
  </si>
  <si>
    <t>Ask (Import)</t>
  </si>
  <si>
    <t>Days</t>
  </si>
  <si>
    <t>Close</t>
  </si>
  <si>
    <t>Spot Rate</t>
  </si>
  <si>
    <t>O/N</t>
  </si>
  <si>
    <t>1W</t>
  </si>
  <si>
    <t>2W</t>
  </si>
  <si>
    <t>TABLE FOR HISTORICAL SPOT</t>
  </si>
  <si>
    <t>TABLE FOR HISTORICAL FORWARD</t>
  </si>
  <si>
    <t>TABLE FOR HISTORICAL LIBOR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</si>
</sst>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00"/>
    <numFmt numFmtId="166" formatCode="dd\-mmm\-yyyy"/>
    <numFmt numFmtId="167" formatCode="mmm\-yyyy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indexed="8"/>
      <name val="Calibri"/>
      <family val="2"/>
    </font>
    <font>
      <sz val="8"/>
      <color indexed="8"/>
      <name val="Calibri"/>
      <family val="2"/>
      <scheme val="minor"/>
    </font>
    <font>
      <sz val="8"/>
      <color rgb="FF000000"/>
      <name val="Calibri"/>
      <family val="2"/>
      <scheme val="minor"/>
    </font>
    <font>
      <sz val="9"/>
      <color indexed="8"/>
      <name val="Calibri"/>
      <family val="2"/>
    </font>
    <font>
      <b/>
      <sz val="8"/>
      <color rgb="FF00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indexed="8"/>
      <name val="Verdana"/>
      <family val="2"/>
    </font>
    <font>
      <sz val="8"/>
      <color rgb="FF00000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/>
  </cellStyleXfs>
  <cellXfs count="17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164" fontId="0" fillId="0" borderId="9" xfId="0" applyNumberFormat="1" applyFont="1" applyBorder="1" applyAlignment="1">
      <alignment horizontal="center" vertical="center"/>
    </xf>
    <xf numFmtId="0" fontId="1" fillId="0" borderId="18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0" fontId="1" fillId="0" borderId="2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/>
    <xf numFmtId="0" fontId="1" fillId="0" borderId="0" xfId="0" applyFont="1" applyFill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/>
    </xf>
    <xf numFmtId="0" fontId="1" fillId="0" borderId="1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1" fillId="0" borderId="21" xfId="0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0" fontId="1" fillId="0" borderId="14" xfId="0" applyFont="1" applyFill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 wrapText="1"/>
    </xf>
    <xf numFmtId="0" fontId="0" fillId="0" borderId="0" xfId="0" applyFont="1" applyBorder="1" applyAlignment="1">
      <alignment horizontal="center" vertical="center"/>
    </xf>
    <xf numFmtId="164" fontId="0" fillId="0" borderId="0" xfId="0" applyNumberFormat="1" applyBorder="1"/>
    <xf numFmtId="164" fontId="0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0" xfId="0" applyFont="1" applyFill="1" applyBorder="1" applyAlignment="1">
      <alignment horizontal="right" vertical="center"/>
    </xf>
    <xf numFmtId="164" fontId="0" fillId="0" borderId="0" xfId="0" applyNumberFormat="1" applyBorder="1" applyAlignment="1">
      <alignment horizontal="right" vertical="center"/>
    </xf>
    <xf numFmtId="2" fontId="0" fillId="0" borderId="0" xfId="0" applyNumberFormat="1" applyBorder="1" applyAlignment="1">
      <alignment horizontal="right" vertical="center"/>
    </xf>
    <xf numFmtId="165" fontId="0" fillId="0" borderId="0" xfId="0" applyNumberFormat="1" applyBorder="1" applyAlignment="1">
      <alignment horizontal="right" vertical="center"/>
    </xf>
    <xf numFmtId="165" fontId="0" fillId="0" borderId="9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5" fontId="0" fillId="0" borderId="23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4" fontId="0" fillId="0" borderId="13" xfId="0" applyNumberFormat="1" applyFont="1" applyBorder="1" applyAlignment="1">
      <alignment horizontal="center" vertical="center"/>
    </xf>
    <xf numFmtId="164" fontId="0" fillId="0" borderId="9" xfId="0" applyNumberFormat="1" applyFont="1" applyFill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Fon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/>
    <xf numFmtId="0" fontId="1" fillId="0" borderId="0" xfId="1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6" fillId="0" borderId="0" xfId="0" applyFont="1" applyAlignment="1">
      <alignment horizontal="right"/>
    </xf>
    <xf numFmtId="49" fontId="2" fillId="0" borderId="0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2" fillId="0" borderId="7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164" fontId="7" fillId="0" borderId="0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2" fontId="8" fillId="0" borderId="0" xfId="0" applyNumberFormat="1" applyFont="1" applyFill="1" applyBorder="1" applyAlignment="1" applyProtection="1">
      <alignment horizontal="center" vertical="center"/>
    </xf>
    <xf numFmtId="2" fontId="7" fillId="0" borderId="4" xfId="0" applyNumberFormat="1" applyFont="1" applyFill="1" applyBorder="1" applyAlignment="1" applyProtection="1">
      <alignment horizontal="center" vertical="center"/>
    </xf>
    <xf numFmtId="164" fontId="7" fillId="0" borderId="4" xfId="0" applyNumberFormat="1" applyFont="1" applyFill="1" applyBorder="1" applyAlignment="1" applyProtection="1">
      <alignment horizontal="center"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2" fontId="7" fillId="0" borderId="1" xfId="0" applyNumberFormat="1" applyFont="1" applyFill="1" applyBorder="1" applyAlignment="1" applyProtection="1">
      <alignment horizontal="center" vertical="center"/>
    </xf>
    <xf numFmtId="166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0" fontId="7" fillId="0" borderId="7" xfId="0" applyNumberFormat="1" applyFont="1" applyFill="1" applyBorder="1" applyAlignment="1" applyProtection="1">
      <alignment horizontal="center" vertical="center"/>
    </xf>
    <xf numFmtId="0" fontId="7" fillId="0" borderId="6" xfId="0" applyNumberFormat="1" applyFont="1" applyFill="1" applyBorder="1" applyAlignment="1" applyProtection="1">
      <alignment horizontal="center" vertical="center"/>
    </xf>
    <xf numFmtId="166" fontId="7" fillId="0" borderId="4" xfId="0" applyNumberFormat="1" applyFont="1" applyFill="1" applyBorder="1" applyAlignment="1" applyProtection="1">
      <alignment horizontal="center" vertical="center"/>
    </xf>
    <xf numFmtId="167" fontId="7" fillId="0" borderId="7" xfId="0" applyNumberFormat="1" applyFont="1" applyFill="1" applyBorder="1" applyAlignment="1" applyProtection="1">
      <alignment horizontal="center" vertical="center"/>
    </xf>
    <xf numFmtId="167" fontId="7" fillId="0" borderId="6" xfId="0" applyNumberFormat="1" applyFont="1" applyFill="1" applyBorder="1" applyAlignment="1" applyProtection="1">
      <alignment horizontal="center" vertical="center"/>
    </xf>
    <xf numFmtId="0" fontId="0" fillId="0" borderId="0" xfId="0"/>
    <xf numFmtId="0" fontId="1" fillId="0" borderId="26" xfId="1" applyFont="1" applyBorder="1" applyAlignment="1">
      <alignment horizontal="center" vertical="center"/>
    </xf>
    <xf numFmtId="0" fontId="0" fillId="0" borderId="0" xfId="0"/>
    <xf numFmtId="2" fontId="7" fillId="0" borderId="27" xfId="0" applyNumberFormat="1" applyFont="1" applyFill="1" applyBorder="1" applyAlignment="1" applyProtection="1">
      <alignment horizontal="center" vertical="center"/>
    </xf>
    <xf numFmtId="0" fontId="1" fillId="0" borderId="28" xfId="1" applyFont="1" applyBorder="1" applyAlignment="1">
      <alignment horizontal="center" vertical="center"/>
    </xf>
    <xf numFmtId="2" fontId="7" fillId="0" borderId="29" xfId="0" applyNumberFormat="1" applyFont="1" applyFill="1" applyBorder="1" applyAlignment="1" applyProtection="1">
      <alignment horizontal="center" vertical="center"/>
    </xf>
    <xf numFmtId="2" fontId="7" fillId="0" borderId="30" xfId="0" applyNumberFormat="1" applyFont="1" applyFill="1" applyBorder="1" applyAlignment="1" applyProtection="1">
      <alignment horizontal="center" vertical="center"/>
    </xf>
    <xf numFmtId="0" fontId="1" fillId="0" borderId="31" xfId="1" applyFont="1" applyBorder="1" applyAlignment="1">
      <alignment horizontal="center" vertical="center"/>
    </xf>
    <xf numFmtId="164" fontId="7" fillId="0" borderId="17" xfId="0" applyNumberFormat="1" applyFont="1" applyFill="1" applyBorder="1" applyAlignment="1" applyProtection="1">
      <alignment horizontal="center" vertical="center"/>
    </xf>
    <xf numFmtId="164" fontId="7" fillId="0" borderId="16" xfId="0" applyNumberFormat="1" applyFont="1" applyFill="1" applyBorder="1" applyAlignment="1" applyProtection="1">
      <alignment horizontal="center" vertical="center"/>
    </xf>
    <xf numFmtId="164" fontId="7" fillId="0" borderId="32" xfId="0" applyNumberFormat="1" applyFont="1" applyFill="1" applyBorder="1" applyAlignment="1" applyProtection="1">
      <alignment horizontal="center" vertical="center"/>
    </xf>
    <xf numFmtId="2" fontId="7" fillId="0" borderId="32" xfId="0" applyNumberFormat="1" applyFont="1" applyFill="1" applyBorder="1" applyAlignment="1" applyProtection="1">
      <alignment horizontal="center" vertical="center"/>
    </xf>
    <xf numFmtId="2" fontId="7" fillId="0" borderId="33" xfId="0" applyNumberFormat="1" applyFont="1" applyFill="1" applyBorder="1" applyAlignment="1" applyProtection="1">
      <alignment horizontal="center" vertical="center"/>
    </xf>
    <xf numFmtId="2" fontId="7" fillId="0" borderId="25" xfId="0" applyNumberFormat="1" applyFont="1" applyFill="1" applyBorder="1" applyAlignment="1" applyProtection="1">
      <alignment horizontal="center" vertical="center"/>
    </xf>
    <xf numFmtId="2" fontId="7" fillId="0" borderId="34" xfId="0" applyNumberFormat="1" applyFont="1" applyFill="1" applyBorder="1" applyAlignment="1" applyProtection="1">
      <alignment horizontal="center" vertical="center"/>
    </xf>
    <xf numFmtId="2" fontId="7" fillId="0" borderId="14" xfId="0" applyNumberFormat="1" applyFont="1" applyFill="1" applyBorder="1" applyAlignment="1" applyProtection="1">
      <alignment horizontal="center" vertical="center"/>
    </xf>
    <xf numFmtId="2" fontId="7" fillId="0" borderId="12" xfId="0" applyNumberFormat="1" applyFont="1" applyFill="1" applyBorder="1" applyAlignment="1" applyProtection="1">
      <alignment horizontal="center" vertical="center"/>
    </xf>
    <xf numFmtId="2" fontId="7" fillId="0" borderId="11" xfId="0" applyNumberFormat="1" applyFont="1" applyFill="1" applyBorder="1" applyAlignment="1" applyProtection="1">
      <alignment horizontal="center" vertical="center"/>
    </xf>
    <xf numFmtId="2" fontId="7" fillId="0" borderId="35" xfId="0" applyNumberFormat="1" applyFont="1" applyFill="1" applyBorder="1" applyAlignment="1" applyProtection="1">
      <alignment horizontal="center" vertical="center"/>
    </xf>
    <xf numFmtId="2" fontId="7" fillId="0" borderId="36" xfId="0" applyNumberFormat="1" applyFont="1" applyFill="1" applyBorder="1" applyAlignment="1" applyProtection="1">
      <alignment horizontal="center" vertical="center"/>
    </xf>
    <xf numFmtId="0" fontId="9" fillId="0" borderId="37" xfId="0" applyFont="1" applyFill="1" applyBorder="1" applyAlignment="1">
      <alignment horizontal="center" vertical="center"/>
    </xf>
    <xf numFmtId="0" fontId="9" fillId="0" borderId="38" xfId="0" applyFont="1" applyFill="1" applyBorder="1" applyAlignment="1">
      <alignment horizontal="center" vertical="center"/>
    </xf>
    <xf numFmtId="0" fontId="9" fillId="0" borderId="39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10" fillId="0" borderId="40" xfId="0" applyNumberFormat="1" applyFont="1" applyFill="1" applyBorder="1" applyAlignment="1" applyProtection="1">
      <alignment horizontal="center" vertical="center"/>
    </xf>
    <xf numFmtId="164" fontId="10" fillId="0" borderId="40" xfId="0" applyNumberFormat="1" applyFont="1" applyFill="1" applyBorder="1" applyAlignment="1" applyProtection="1">
      <alignment horizontal="center" vertical="center"/>
    </xf>
    <xf numFmtId="2" fontId="10" fillId="0" borderId="40" xfId="0" applyNumberFormat="1" applyFont="1" applyFill="1" applyBorder="1" applyAlignment="1" applyProtection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4" xfId="0" applyNumberFormat="1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2" fillId="0" borderId="0" xfId="0" applyFont="1"/>
    <xf numFmtId="0" fontId="13" fillId="0" borderId="25" xfId="0" applyFont="1" applyBorder="1" applyAlignment="1">
      <alignment horizontal="center" vertical="center"/>
    </xf>
    <xf numFmtId="164" fontId="12" fillId="0" borderId="29" xfId="0" applyNumberFormat="1" applyFont="1" applyBorder="1" applyAlignment="1">
      <alignment horizontal="center" vertical="center"/>
    </xf>
    <xf numFmtId="164" fontId="12" fillId="0" borderId="41" xfId="0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164" fontId="12" fillId="0" borderId="40" xfId="0" applyNumberFormat="1" applyFont="1" applyBorder="1" applyAlignment="1">
      <alignment horizontal="center" vertical="center"/>
    </xf>
    <xf numFmtId="164" fontId="12" fillId="0" borderId="34" xfId="0" applyNumberFormat="1" applyFont="1" applyBorder="1" applyAlignment="1">
      <alignment horizontal="center" vertical="center"/>
    </xf>
    <xf numFmtId="2" fontId="12" fillId="0" borderId="40" xfId="0" applyNumberFormat="1" applyFont="1" applyBorder="1" applyAlignment="1">
      <alignment horizontal="center" vertical="center"/>
    </xf>
    <xf numFmtId="2" fontId="12" fillId="0" borderId="34" xfId="0" applyNumberFormat="1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164" fontId="12" fillId="0" borderId="35" xfId="0" applyNumberFormat="1" applyFont="1" applyBorder="1" applyAlignment="1">
      <alignment horizontal="center" vertical="center"/>
    </xf>
    <xf numFmtId="164" fontId="12" fillId="0" borderId="36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14" fillId="2" borderId="29" xfId="0" applyNumberFormat="1" applyFont="1" applyFill="1" applyBorder="1" applyAlignment="1" applyProtection="1">
      <alignment horizontal="center" vertical="center"/>
    </xf>
    <xf numFmtId="0" fontId="14" fillId="2" borderId="29" xfId="0" applyNumberFormat="1" applyFont="1" applyFill="1" applyBorder="1" applyAlignment="1" applyProtection="1">
      <alignment horizontal="center" vertical="center"/>
    </xf>
    <xf numFmtId="164" fontId="15" fillId="2" borderId="29" xfId="0" applyNumberFormat="1" applyFont="1" applyFill="1" applyBorder="1" applyAlignment="1">
      <alignment horizontal="center" vertical="center"/>
    </xf>
    <xf numFmtId="164" fontId="15" fillId="2" borderId="41" xfId="0" applyNumberFormat="1" applyFont="1" applyFill="1" applyBorder="1" applyAlignment="1">
      <alignment horizontal="center" vertical="center"/>
    </xf>
    <xf numFmtId="0" fontId="14" fillId="2" borderId="40" xfId="0" applyNumberFormat="1" applyFont="1" applyFill="1" applyBorder="1" applyAlignment="1" applyProtection="1">
      <alignment horizontal="center" vertical="center"/>
    </xf>
    <xf numFmtId="164" fontId="14" fillId="2" borderId="40" xfId="0" applyNumberFormat="1" applyFont="1" applyFill="1" applyBorder="1" applyAlignment="1" applyProtection="1">
      <alignment horizontal="center" vertical="center"/>
    </xf>
    <xf numFmtId="164" fontId="14" fillId="2" borderId="34" xfId="0" applyNumberFormat="1" applyFont="1" applyFill="1" applyBorder="1" applyAlignment="1" applyProtection="1">
      <alignment horizontal="center" vertical="center"/>
    </xf>
    <xf numFmtId="2" fontId="14" fillId="2" borderId="40" xfId="0" applyNumberFormat="1" applyFont="1" applyFill="1" applyBorder="1" applyAlignment="1" applyProtection="1">
      <alignment horizontal="center" vertical="center"/>
    </xf>
    <xf numFmtId="2" fontId="14" fillId="2" borderId="34" xfId="0" applyNumberFormat="1" applyFont="1" applyFill="1" applyBorder="1" applyAlignment="1" applyProtection="1">
      <alignment horizontal="center" vertical="center"/>
    </xf>
    <xf numFmtId="0" fontId="13" fillId="0" borderId="19" xfId="0" applyFont="1" applyFill="1" applyBorder="1" applyAlignment="1">
      <alignment horizontal="center" vertical="center"/>
    </xf>
    <xf numFmtId="0" fontId="13" fillId="0" borderId="42" xfId="0" applyFont="1" applyFill="1" applyBorder="1" applyAlignment="1">
      <alignment horizontal="center" vertical="center"/>
    </xf>
    <xf numFmtId="0" fontId="13" fillId="0" borderId="18" xfId="0" applyFont="1" applyFill="1" applyBorder="1" applyAlignment="1">
      <alignment horizontal="center" vertical="center"/>
    </xf>
    <xf numFmtId="165" fontId="12" fillId="0" borderId="43" xfId="0" applyNumberFormat="1" applyFont="1" applyBorder="1" applyAlignment="1">
      <alignment horizontal="center" vertical="center"/>
    </xf>
    <xf numFmtId="165" fontId="12" fillId="0" borderId="29" xfId="0" applyNumberFormat="1" applyFont="1" applyBorder="1" applyAlignment="1">
      <alignment horizontal="center" vertical="center"/>
    </xf>
    <xf numFmtId="165" fontId="12" fillId="0" borderId="44" xfId="0" applyNumberFormat="1" applyFont="1" applyBorder="1" applyAlignment="1">
      <alignment horizontal="center" vertical="center"/>
    </xf>
    <xf numFmtId="165" fontId="12" fillId="0" borderId="41" xfId="0" applyNumberFormat="1" applyFont="1" applyBorder="1" applyAlignment="1">
      <alignment horizontal="center" vertical="center"/>
    </xf>
    <xf numFmtId="165" fontId="12" fillId="0" borderId="45" xfId="0" applyNumberFormat="1" applyFont="1" applyBorder="1" applyAlignment="1">
      <alignment horizontal="center" vertical="center"/>
    </xf>
    <xf numFmtId="165" fontId="12" fillId="0" borderId="40" xfId="0" applyNumberFormat="1" applyFont="1" applyBorder="1" applyAlignment="1">
      <alignment horizontal="center" vertical="center"/>
    </xf>
    <xf numFmtId="165" fontId="12" fillId="0" borderId="22" xfId="0" applyNumberFormat="1" applyFont="1" applyBorder="1" applyAlignment="1">
      <alignment horizontal="center" vertical="center"/>
    </xf>
    <xf numFmtId="165" fontId="12" fillId="0" borderId="34" xfId="0" applyNumberFormat="1" applyFont="1" applyBorder="1" applyAlignment="1">
      <alignment horizontal="center" vertical="center"/>
    </xf>
    <xf numFmtId="165" fontId="12" fillId="0" borderId="46" xfId="0" applyNumberFormat="1" applyFont="1" applyBorder="1" applyAlignment="1">
      <alignment horizontal="center" vertical="center"/>
    </xf>
    <xf numFmtId="165" fontId="12" fillId="0" borderId="35" xfId="0" applyNumberFormat="1" applyFont="1" applyBorder="1" applyAlignment="1">
      <alignment horizontal="center" vertical="center"/>
    </xf>
    <xf numFmtId="165" fontId="12" fillId="0" borderId="23" xfId="0" applyNumberFormat="1" applyFont="1" applyBorder="1" applyAlignment="1">
      <alignment horizontal="center" vertical="center"/>
    </xf>
    <xf numFmtId="165" fontId="12" fillId="0" borderId="36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16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49" fontId="3" fillId="0" borderId="5" xfId="0" applyNumberFormat="1" applyFont="1" applyBorder="1" applyAlignment="1">
      <alignment horizontal="center" vertical="center"/>
    </xf>
    <xf numFmtId="49" fontId="3" fillId="0" borderId="0" xfId="0" applyNumberFormat="1" applyFont="1" applyBorder="1" applyAlignment="1">
      <alignment horizontal="center" vertical="center"/>
    </xf>
    <xf numFmtId="49" fontId="3" fillId="0" borderId="3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0" xfId="0" applyNumberFormat="1" applyFont="1" applyBorder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/>
    </xf>
    <xf numFmtId="49" fontId="3" fillId="0" borderId="7" xfId="0" applyNumberFormat="1" applyFont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1" fillId="0" borderId="19" xfId="1" applyFont="1" applyBorder="1" applyAlignment="1">
      <alignment horizontal="center" vertical="center" wrapText="1"/>
    </xf>
    <xf numFmtId="0" fontId="1" fillId="0" borderId="18" xfId="1" applyFont="1" applyBorder="1" applyAlignment="1">
      <alignment horizontal="center" vertical="center" wrapText="1"/>
    </xf>
    <xf numFmtId="0" fontId="1" fillId="0" borderId="20" xfId="1" applyFont="1" applyBorder="1" applyAlignment="1">
      <alignment horizontal="center" vertical="center" wrapText="1"/>
    </xf>
    <xf numFmtId="0" fontId="13" fillId="3" borderId="0" xfId="0" applyFont="1" applyFill="1" applyAlignment="1">
      <alignment horizontal="center" vertical="center" wrapText="1"/>
    </xf>
  </cellXfs>
  <cellStyles count="2">
    <cellStyle name="Normal" xfId="0" builtinId="0"/>
    <cellStyle name="Normal 4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ickerplantrtdserver">
      <tp t="s">
        <v>TN</v>
        <stp/>
        <stp>FWRC1#GBPUSD#Month Wise Rates#0#S#Desc.2</stp>
        <tr r="C1" s="20"/>
      </tp>
      <tp t="s">
        <v>1M</v>
        <stp/>
        <stp>FWRC1#GBPUSD#Month Wise Rates#0#S#Desc.7</stp>
        <tr r="D1" s="20"/>
      </tp>
      <tp t="s">
        <v>2M</v>
        <stp/>
        <stp>FWRC1#GBPUSD#Month Wise Rates#0#S#Desc.8</stp>
        <tr r="E1" s="20"/>
      </tp>
      <tp t="s">
        <v>3M</v>
        <stp/>
        <stp>FWRC1#GBPUSD#Month Wise Rates#0#S#Desc.9</stp>
        <tr r="F1" s="20"/>
      </tp>
      <tp t="s">
        <v>1M</v>
        <stp/>
        <stp>FWRC1#EURUSD#Month Wise Rates#0#S#Desc.7</stp>
        <tr r="D1" s="19"/>
      </tp>
      <tp t="s">
        <v>TN</v>
        <stp/>
        <stp>FWRC1#EURUSD#Month Wise Rates#0#S#Desc.2</stp>
        <tr r="C1" s="19"/>
      </tp>
      <tp t="s">
        <v>3M</v>
        <stp/>
        <stp>FWRC1#EURUSD#Month Wise Rates#0#S#Desc.9</stp>
        <tr r="F1" s="19"/>
      </tp>
      <tp t="s">
        <v>2M</v>
        <stp/>
        <stp>FWRC1#EURUSD#Month Wise Rates#0#S#Desc.8</stp>
        <tr r="E1" s="19"/>
      </tp>
      <tp>
        <v>-0.45</v>
        <stp/>
        <stp>12#2#1#6069#SUSDJPY#%Chg</stp>
        <tr r="D9" s="10"/>
      </tp>
      <tp>
        <v>105.547</v>
        <stp/>
        <stp>12#2#1#6069#SUSDJPY#LTP</stp>
        <tr r="E12" s="23"/>
      </tp>
      <tp>
        <v>105.36</v>
        <stp/>
        <stp>12#2#1#6069#SUSDJPY#Low</stp>
        <tr r="G9" s="10"/>
        <tr r="D12" s="23"/>
      </tp>
      <tp t="s">
        <v>USDJPY</v>
        <stp/>
        <stp>12#2#1#6069#SUSDJPY#S#Descr.</stp>
        <tr r="A29" s="23"/>
        <tr r="A12" s="23"/>
      </tp>
      <tp>
        <v>105.547</v>
        <stp/>
        <stp>12#2#1#6069#SUSDJPY#Bid</stp>
        <tr r="B9" s="10"/>
      </tp>
      <tp>
        <v>1.3514900000000001</v>
        <stp/>
        <stp>12#2#1#6031#SGBPUSD#52WkHigh</stp>
        <tr r="I8" s="10"/>
      </tp>
      <tp t="s">
        <v>23-Sep-2020</v>
        <stp/>
        <stp>FWRC1#USDJPY#Month Wise Rates#0#S#PillarDate7</stp>
        <tr r="D2" s="21"/>
      </tp>
      <tp t="s">
        <v>20-Aug-2020</v>
        <stp/>
        <stp>FWRC1#USDJPY#Month Wise Rates#0#S#PillarDate2</stp>
        <tr r="C2" s="21"/>
      </tp>
      <tp t="s">
        <v>20-Oct-2020</v>
        <stp/>
        <stp>FWRC1#USDJPY#Month Wise Rates#0#S#PillarDate8</stp>
        <tr r="E2" s="21"/>
      </tp>
      <tp t="s">
        <v>20-Nov-2020</v>
        <stp/>
        <stp>FWRC1#USDJPY#Month Wise Rates#0#S#PillarDate9</stp>
        <tr r="F2" s="21"/>
      </tp>
      <tp>
        <v>105.54900000000001</v>
        <stp/>
        <stp>12#2#1#6069#SUSDJPY#Ask</stp>
        <tr r="C9" s="10"/>
      </tp>
      <tp t="s">
        <v>29-Jan-2021</v>
        <stp/>
        <stp>FWRC1#JPYINR#Month End Rates#0#S#PillarDate9</stp>
        <tr r="I2" s="18"/>
      </tp>
      <tp t="s">
        <v>31-Dec-2020</v>
        <stp/>
        <stp>FWRC1#JPYINR#Month End Rates#0#S#PillarDate8</stp>
        <tr r="H2" s="18"/>
      </tp>
      <tp t="s">
        <v>20-Aug-2020</v>
        <stp/>
        <stp>FWRC1#JPYINR#Month End Rates#0#S#PillarDate2</stp>
        <tr r="C2" s="18"/>
      </tp>
      <tp t="s">
        <v>27-Nov-2020</v>
        <stp/>
        <stp>FWRC1#JPYINR#Month End Rates#0#S#PillarDate7</stp>
        <tr r="G2" s="18"/>
      </tp>
      <tp t="s">
        <v>29-Oct-2020</v>
        <stp/>
        <stp>FWRC1#JPYINR#Month End Rates#0#S#PillarDate6</stp>
        <tr r="F2" s="18"/>
      </tp>
      <tp t="s">
        <v>30-Sep-2020</v>
        <stp/>
        <stp>FWRC1#JPYINR#Month End Rates#0#S#PillarDate5</stp>
        <tr r="E2" s="18"/>
      </tp>
      <tp t="s">
        <v>31-Aug-2020</v>
        <stp/>
        <stp>FWRC1#JPYINR#Month End Rates#0#S#PillarDate4</stp>
        <tr r="D2" s="18"/>
      </tp>
      <tp t="s">
        <v>29-Jan-2021</v>
        <stp/>
        <stp>FWRC1#GBPINR#Month End Rates#0#S#PillarDate9</stp>
        <tr r="I2" s="17"/>
      </tp>
      <tp t="s">
        <v>31-Dec-2020</v>
        <stp/>
        <stp>FWRC1#GBPINR#Month End Rates#0#S#PillarDate8</stp>
        <tr r="H2" s="17"/>
      </tp>
      <tp t="s">
        <v>20-Aug-2020</v>
        <stp/>
        <stp>FWRC1#GBPINR#Month End Rates#0#S#PillarDate2</stp>
        <tr r="C2" s="17"/>
      </tp>
      <tp t="s">
        <v>30-Sep-2020</v>
        <stp/>
        <stp>FWRC1#GBPINR#Month End Rates#0#S#PillarDate5</stp>
        <tr r="E2" s="17"/>
      </tp>
      <tp t="s">
        <v>28-Aug-2020</v>
        <stp/>
        <stp>FWRC1#GBPINR#Month End Rates#0#S#PillarDate4</stp>
        <tr r="D2" s="17"/>
      </tp>
      <tp t="s">
        <v>27-Nov-2020</v>
        <stp/>
        <stp>FWRC1#GBPINR#Month End Rates#0#S#PillarDate7</stp>
        <tr r="G2" s="17"/>
      </tp>
      <tp t="s">
        <v>29-Oct-2020</v>
        <stp/>
        <stp>FWRC1#GBPINR#Month End Rates#0#S#PillarDate6</stp>
        <tr r="F2" s="17"/>
      </tp>
      <tp>
        <v>1.1916199999999999</v>
        <stp/>
        <stp>12#2#1#5949#SEURUSD#52WkHigh</stp>
        <tr r="I7" s="10"/>
      </tp>
      <tp>
        <v>1.3162400000000001</v>
        <stp/>
        <stp>12#2#1#6069#SUSDCAD#LTP</stp>
        <tr r="E14" s="23"/>
      </tp>
      <tp>
        <v>0.90542999999999996</v>
        <stp/>
        <stp>12#2#1#6069#SUSDCHF#LTP</stp>
        <tr r="E13" s="23"/>
      </tp>
      <tp>
        <v>0.90329999999999999</v>
        <stp/>
        <stp>12#2#1#6069#SUSDCHF#Low</stp>
        <tr r="D13" s="23"/>
      </tp>
      <tp>
        <v>1.3152999999999999</v>
        <stp/>
        <stp>12#2#1#6069#SUSDCAD#Low</stp>
        <tr r="D14" s="23"/>
      </tp>
      <tp>
        <v>0.72299999999999998</v>
        <stp/>
        <stp>12#2#1#5903#SAUDUSD#LTP</stp>
        <tr r="E15" s="23"/>
      </tp>
      <tp>
        <v>1.19007</v>
        <stp/>
        <stp>12#2#1#5949#SEURUSD#LTP</stp>
        <tr r="E10" s="23"/>
      </tp>
      <tp>
        <v>0.72060000000000002</v>
        <stp/>
        <stp>12#2#1#5903#SAUDUSD#Low</stp>
        <tr r="D15" s="23"/>
      </tp>
      <tp>
        <v>1.1867000000000001</v>
        <stp/>
        <stp>12#2#1#5949#SEURUSD#Low</stp>
        <tr r="G7" s="10"/>
        <tr r="D10" s="23"/>
      </tp>
      <tp>
        <v>0.45</v>
        <stp/>
        <stp>12#2#1#6031#SGBPUSD#%Chg</stp>
        <tr r="D8" s="10"/>
      </tp>
      <tp>
        <v>98.37</v>
        <stp/>
        <stp>17#3#1#6031#GBPINRCOMP#LTP</stp>
        <tr r="E4" s="23"/>
      </tp>
      <tp>
        <v>82.525000000000006</v>
        <stp/>
        <stp>17#3#1#6056#CHFINRCOMP#LTP</stp>
        <tr r="E6" s="23"/>
      </tp>
      <tp>
        <v>54.75</v>
        <stp/>
        <stp>17#3#1#6041#SGDINRCOMP#LTP</stp>
        <tr r="E9" s="23"/>
      </tp>
      <tp>
        <v>54.672499999999999</v>
        <stp/>
        <stp>17#3#1#6041#SGDINRCOMP#Low</stp>
        <tr r="D9" s="23"/>
      </tp>
      <tp t="s">
        <v>USDSGD</v>
        <stp/>
        <stp>12#2#1#6069#SUSDSGD#S#Descr.</stp>
        <tr r="A33" s="23"/>
        <tr r="A16" s="23"/>
      </tp>
      <tp>
        <v>98.194999999999993</v>
        <stp/>
        <stp>17#3#1#6031#GBPINRCOMP#Low</stp>
        <tr r="D4" s="23"/>
        <tr r="G5" s="10"/>
      </tp>
      <tp>
        <v>82.457499999999996</v>
        <stp/>
        <stp>17#3#1#6056#CHFINRCOMP#Low</stp>
        <tr r="D6" s="23"/>
      </tp>
      <tp>
        <v>70.784999999999997</v>
        <stp/>
        <stp>17#3#1#5978#JPYINRCOMP#LTP</stp>
        <tr r="E5" s="23"/>
      </tp>
      <tp>
        <v>88.96</v>
        <stp/>
        <stp>17#3#1#5949#EURINRCOMP#LTP</stp>
        <tr r="E3" s="23"/>
      </tp>
      <tp>
        <v>54.027500000000003</v>
        <stp/>
        <stp>17#3#1#5903#AUDINRCOMP#LTP</stp>
        <tr r="E8" s="23"/>
      </tp>
      <tp>
        <v>56.777500000000003</v>
        <stp/>
        <stp>17#3#1#5921#CADINRCOMP#LTP</stp>
        <tr r="E7" s="23"/>
      </tp>
      <tp>
        <v>88.864999999999995</v>
        <stp/>
        <stp>17#3#1#5949#EURINRCOMP#Low</stp>
        <tr r="D3" s="23"/>
        <tr r="G4" s="10"/>
      </tp>
      <tp>
        <v>56.677500000000002</v>
        <stp/>
        <stp>17#3#1#5921#CADINRCOMP#Low</stp>
        <tr r="D7" s="23"/>
      </tp>
      <tp>
        <v>53.977499999999999</v>
        <stp/>
        <stp>17#3#1#5903#AUDINRCOMP#Low</stp>
        <tr r="D8" s="23"/>
      </tp>
      <tp t="s">
        <v>GBPUSD</v>
        <stp/>
        <stp>12#2#1#6031#SGBPUSD#S#Descr.</stp>
        <tr r="A28" s="23"/>
        <tr r="A11" s="23"/>
      </tp>
      <tp>
        <v>70.73</v>
        <stp/>
        <stp>17#3#1#5978#JPYINRCOMP#Low</stp>
        <tr r="D5" s="23"/>
        <tr r="G6" s="10"/>
      </tp>
      <tp>
        <v>74.754999999999995</v>
        <stp/>
        <stp>17#1#1#6069#USDINRCOMP#LTP</stp>
        <tr r="E2" s="23"/>
      </tp>
      <tp>
        <v>74.739999999999995</v>
        <stp/>
        <stp>17#1#1#6069#USDINRCOMP#Low</stp>
        <tr r="G3" s="10"/>
        <tr r="D2" s="23"/>
      </tp>
      <tp>
        <v>1.3164</v>
        <stp/>
        <stp>12#2#1#6031#SGBPUSD#Ask</stp>
        <tr r="C8" s="10"/>
      </tp>
      <tp t="s">
        <v>21-Sep-2020</v>
        <stp/>
        <stp>FWRC1#USDINR#Month Wise Rates#0#S#PillarDate7</stp>
        <tr r="D2" s="15"/>
      </tp>
      <tp t="s">
        <v>20-Aug-2020</v>
        <stp/>
        <stp>FWRC1#USDINR#Month Wise Rates#0#S#PillarDate2</stp>
        <tr r="C2" s="15"/>
      </tp>
      <tp t="s">
        <v>20-Oct-2020</v>
        <stp/>
        <stp>FWRC1#USDINR#Month Wise Rates#0#S#PillarDate8</stp>
        <tr r="E2" s="15"/>
      </tp>
      <tp t="s">
        <v>20-Nov-2020</v>
        <stp/>
        <stp>FWRC1#USDINR#Month Wise Rates#0#S#PillarDate9</stp>
        <tr r="F2" s="15"/>
      </tp>
      <tp>
        <v>0.23</v>
        <stp/>
        <stp>12#2#1#5949#SEURUSD#%Chg</stp>
        <tr r="D7" s="10"/>
      </tp>
      <tp>
        <v>1.3160000000000001</v>
        <stp/>
        <stp>12#2#1#6031#SGBPUSD#Bid</stp>
        <tr r="B8" s="10"/>
      </tp>
      <tp t="s">
        <v>AUDUSD</v>
        <stp/>
        <stp>12#2#1#5903#SAUDUSD#S#Descr.</stp>
        <tr r="A15" s="23"/>
        <tr r="A32" s="23"/>
      </tp>
      <tp t="s">
        <v>EURUSD</v>
        <stp/>
        <stp>12#2#1#5949#SEURUSD#S#Descr.</stp>
        <tr r="A27" s="23"/>
        <tr r="A10" s="23"/>
      </tp>
      <tp t="s">
        <v>USDCAD</v>
        <stp/>
        <stp>12#2#1#6069#SUSDCAD#S#Descr.</stp>
        <tr r="A31" s="23"/>
        <tr r="A14" s="23"/>
      </tp>
      <tp>
        <v>1.3160000000000001</v>
        <stp/>
        <stp>12#2#1#6031#SGBPUSD#LTP</stp>
        <tr r="E11" s="23"/>
      </tp>
      <tp t="s">
        <v>20-Aug-2020</v>
        <stp/>
        <stp>FWRC1#EURUSD#Month Wise Rates#0#S#PillarDate2</stp>
        <tr r="C2" s="19"/>
      </tp>
      <tp t="s">
        <v>21-Sep-2020</v>
        <stp/>
        <stp>FWRC1#EURUSD#Month Wise Rates#0#S#PillarDate7</stp>
        <tr r="D2" s="19"/>
      </tp>
      <tp t="s">
        <v>20-Oct-2020</v>
        <stp/>
        <stp>FWRC1#EURUSD#Month Wise Rates#0#S#PillarDate8</stp>
        <tr r="E2" s="19"/>
      </tp>
      <tp t="s">
        <v>20-Nov-2020</v>
        <stp/>
        <stp>FWRC1#EURUSD#Month Wise Rates#0#S#PillarDate9</stp>
        <tr r="F2" s="19"/>
      </tp>
      <tp>
        <v>1.30985</v>
        <stp/>
        <stp>12#2#1#6031#SGBPUSD#Low</stp>
        <tr r="G8" s="10"/>
        <tr r="D11" s="23"/>
      </tp>
      <tp t="s">
        <v>20-Aug-2020</v>
        <stp/>
        <stp>FWRC1#GBPUSD#Month Wise Rates#0#S#PillarDate2</stp>
        <tr r="C2" s="20"/>
      </tp>
      <tp t="s">
        <v>21-Sep-2020</v>
        <stp/>
        <stp>FWRC1#GBPUSD#Month Wise Rates#0#S#PillarDate7</stp>
        <tr r="D2" s="20"/>
      </tp>
      <tp t="s">
        <v>20-Oct-2020</v>
        <stp/>
        <stp>FWRC1#GBPUSD#Month Wise Rates#0#S#PillarDate8</stp>
        <tr r="E2" s="20"/>
      </tp>
      <tp t="s">
        <v>20-Nov-2020</v>
        <stp/>
        <stp>FWRC1#GBPUSD#Month Wise Rates#0#S#PillarDate9</stp>
        <tr r="F2" s="20"/>
      </tp>
      <tp t="s">
        <v>2M</v>
        <stp/>
        <stp>FWRC1#USDJPY#Month Wise Rates#0#S#Desc.8</stp>
        <tr r="E1" s="21"/>
      </tp>
      <tp t="s">
        <v>3M</v>
        <stp/>
        <stp>FWRC1#USDJPY#Month Wise Rates#0#S#Desc.9</stp>
        <tr r="F1" s="21"/>
      </tp>
      <tp t="s">
        <v>1M</v>
        <stp/>
        <stp>FWRC1#USDJPY#Month Wise Rates#0#S#Desc.7</stp>
        <tr r="D1" s="21"/>
      </tp>
      <tp t="s">
        <v>TN</v>
        <stp/>
        <stp>FWRC1#USDJPY#Month Wise Rates#0#S#Desc.2</stp>
        <tr r="C1" s="21"/>
      </tp>
      <tp>
        <v>98.394999999999996</v>
        <stp/>
        <stp>17#3#1#6031#GBPINRCOMP#Ask</stp>
        <tr r="C5" s="10"/>
      </tp>
      <tp>
        <v>88.96</v>
        <stp/>
        <stp>17#3#1#5949#EURINRCOMP#Bid</stp>
        <tr r="B4" s="10"/>
      </tp>
      <tp>
        <v>70.784999999999997</v>
        <stp/>
        <stp>17#3#1#5978#JPYINRCOMP#Bid</stp>
        <tr r="B6" s="10"/>
      </tp>
      <tp>
        <v>1.1900900000000001</v>
        <stp/>
        <stp>12#2#1#5949#SEURUSD#Ask</stp>
        <tr r="C7" s="10"/>
      </tp>
      <tp>
        <v>74.754999999999995</v>
        <stp/>
        <stp>17#1#1#6069#USDINRCOMP#Bid</stp>
        <tr r="B3" s="10"/>
      </tp>
      <tp>
        <v>112.22799999999999</v>
        <stp/>
        <stp>12#2#1#6069#SUSDJPY#52WkHigh</stp>
        <tr r="I9" s="10"/>
      </tp>
      <tp>
        <v>1.19007</v>
        <stp/>
        <stp>12#2#1#5949#SEURUSD#Bid</stp>
        <tr r="B7" s="10"/>
      </tp>
      <tp t="s">
        <v>USDCHF</v>
        <stp/>
        <stp>12#2#1#6069#SUSDCHF#S#Descr.</stp>
        <tr r="A13" s="23"/>
        <tr r="A30" s="23"/>
      </tp>
      <tp>
        <v>74.765000000000001</v>
        <stp/>
        <stp>17#1#1#6069#USDINRCOMP#Ask</stp>
        <tr r="C3" s="10"/>
      </tp>
      <tp>
        <v>1.3648</v>
        <stp/>
        <stp>12#2#1#6069#SUSDSGD#LTP</stp>
        <tr r="D33" s="23"/>
        <tr r="K33" s="23"/>
        <tr r="N33" s="23"/>
        <tr r="G33" s="23"/>
        <tr r="B33" s="23"/>
        <tr r="H33" s="23"/>
        <tr r="J33" s="23"/>
        <tr r="F33" s="23"/>
        <tr r="C33" s="23"/>
        <tr r="E16" s="23"/>
        <tr r="I33" s="23"/>
        <tr r="E33" s="23"/>
        <tr r="L33" s="23"/>
        <tr r="M33" s="23"/>
      </tp>
      <tp t="s">
        <v>1M</v>
        <stp/>
        <stp>FWRC1#USDINR#Month Wise Rates#0#S#Desc.7</stp>
        <tr r="D1" s="15"/>
      </tp>
      <tp t="s">
        <v>TN</v>
        <stp/>
        <stp>FWRC1#USDINR#Month Wise Rates#0#S#Desc.2</stp>
        <tr r="C1" s="15"/>
      </tp>
      <tp t="s">
        <v>3M</v>
        <stp/>
        <stp>FWRC1#USDINR#Month Wise Rates#0#S#Desc.9</stp>
        <tr r="F1" s="15"/>
      </tp>
      <tp t="s">
        <v>2M</v>
        <stp/>
        <stp>FWRC1#USDINR#Month Wise Rates#0#S#Desc.8</stp>
        <tr r="E1" s="15"/>
      </tp>
      <tp>
        <v>1.3643000000000001</v>
        <stp/>
        <stp>12#2#1#6069#SUSDSGD#Low</stp>
        <tr r="D16" s="23"/>
      </tp>
      <tp>
        <v>70.795000000000002</v>
        <stp/>
        <stp>17#3#1#5978#JPYINRCOMP#Ask</stp>
        <tr r="C6" s="10"/>
      </tp>
      <tp>
        <v>88.98</v>
        <stp/>
        <stp>17#3#1#5949#EURINRCOMP#Ask</stp>
        <tr r="C4" s="10"/>
      </tp>
      <tp>
        <v>98.37</v>
        <stp/>
        <stp>17#3#1#6031#GBPINRCOMP#Bid</stp>
        <tr r="B5" s="10"/>
      </tp>
      <tp>
        <v>91.925399999999996</v>
        <stp/>
        <stp>FWRC1#EURINR#Month End Rates#0#FwdOutrightBid12</stp>
        <tr r="L7" s="16"/>
      </tp>
      <tp>
        <v>92.299599999999998</v>
        <stp/>
        <stp>FWRC1#EURINR#Month End Rates#0#FwdOutrightBid13</stp>
        <tr r="M7" s="16"/>
      </tp>
      <tp>
        <v>91.139499999999998</v>
        <stp/>
        <stp>FWRC1#EURINR#Month End Rates#0#FwdOutrightBid10</stp>
        <tr r="J7" s="16"/>
      </tp>
      <tp>
        <v>91.571200000000005</v>
        <stp/>
        <stp>FWRC1#EURINR#Month End Rates#0#FwdOutrightBid11</stp>
        <tr r="K7" s="16"/>
      </tp>
      <tp>
        <v>92.658299999999997</v>
        <stp/>
        <stp>FWRC1#EURINR#Month End Rates#0#FwdOutrightBid14</stp>
        <tr r="N7" s="16"/>
      </tp>
      <tp>
        <v>93.009799999999998</v>
        <stp/>
        <stp>FWRC1#EURINR#Month End Rates#0#FwdOutrightBid15</stp>
        <tr r="O7" s="16"/>
      </tp>
      <tp>
        <v>90.517300000000006</v>
        <stp/>
        <stp>FWRC1#EURINR#Month End Rates#0#FwdOutrightAsk8</stp>
        <tr r="H8" s="16"/>
      </tp>
      <tp>
        <v>90.856999999999999</v>
        <stp/>
        <stp>FWRC1#EURINR#Month End Rates#0#FwdOutrightAsk9</stp>
        <tr r="I8" s="16"/>
      </tp>
      <tp>
        <v>89.102000000000004</v>
        <stp/>
        <stp>FWRC1#EURINR#Month End Rates#0#FwdOutrightAsk4</stp>
        <tr r="D8" s="16"/>
      </tp>
      <tp>
        <v>89.415700000000001</v>
        <stp/>
        <stp>FWRC1#EURINR#Month End Rates#0#FwdOutrightAsk5</stp>
        <tr r="E8" s="16"/>
      </tp>
      <tp>
        <v>89.737499999999997</v>
        <stp/>
        <stp>FWRC1#EURINR#Month End Rates#0#FwdOutrightAsk6</stp>
        <tr r="F8" s="16"/>
      </tp>
      <tp>
        <v>90.123199999999997</v>
        <stp/>
        <stp>FWRC1#EURINR#Month End Rates#0#FwdOutrightAsk7</stp>
        <tr r="G8" s="16"/>
      </tp>
      <tp>
        <v>88.964600000000004</v>
        <stp/>
        <stp>FWRC1#EURINR#Month End Rates#0#FwdOutrightAsk1</stp>
        <tr r="C8" s="16"/>
        <tr r="D3" s="5"/>
      </tp>
      <tp>
        <v>88.972300000000004</v>
        <stp/>
        <stp>FWRC1#EURINR#Month End Rates#0#FwdOutrightAsk3</stp>
        <tr r="F3" s="5"/>
      </tp>
      <tp>
        <v>0</v>
        <stp/>
        <stp>17#3#1#6031#GBPINRCOMP#52WkLow</stp>
        <tr r="J5" s="10"/>
      </tp>
      <tp t="s">
        <v>29-Jan-2021</v>
        <stp/>
        <stp>FWRC1#EURINR#Month End Rates#0#S#MonthEndDate9</stp>
        <tr r="I2" s="16"/>
      </tp>
      <tp t="s">
        <v>31-Dec-2020</v>
        <stp/>
        <stp>FWRC1#EURINR#Month End Rates#0#S#MonthEndDate8</stp>
        <tr r="H2" s="16"/>
      </tp>
      <tp t="s">
        <v>27-Nov-2020</v>
        <stp/>
        <stp>FWRC1#EURINR#Month End Rates#0#S#MonthEndDate7</stp>
        <tr r="G2" s="16"/>
      </tp>
      <tp t="s">
        <v>29-Oct-2020</v>
        <stp/>
        <stp>FWRC1#EURINR#Month End Rates#0#S#MonthEndDate6</stp>
        <tr r="F2" s="16"/>
      </tp>
      <tp t="s">
        <v>30-Sep-2020</v>
        <stp/>
        <stp>FWRC1#EURINR#Month End Rates#0#S#MonthEndDate5</stp>
        <tr r="E2" s="16"/>
      </tp>
      <tp t="s">
        <v>31-Aug-2020</v>
        <stp/>
        <stp>FWRC1#EURINR#Month End Rates#0#S#MonthEndDate4</stp>
        <tr r="D2" s="16"/>
      </tp>
      <tp t="s">
        <v>20-Aug-2020</v>
        <stp/>
        <stp>FWRC1#EURINR#Month End Rates#0#S#MonthEndDate2</stp>
        <tr r="C2" s="16"/>
      </tp>
      <tp t="s">
        <v>22-Feb-2021</v>
        <stp/>
        <stp>FWRC1#USDJPY#Month Wise Rates#0#S#PillarDate12</stp>
        <tr r="I2" s="21"/>
      </tp>
      <tp t="s">
        <v>22-Mar-2021</v>
        <stp/>
        <stp>FWRC1#USDJPY#Month Wise Rates#0#S#PillarDate13</stp>
        <tr r="J2" s="21"/>
      </tp>
      <tp t="s">
        <v>21-Dec-2020</v>
        <stp/>
        <stp>FWRC1#USDJPY#Month Wise Rates#0#S#PillarDate10</stp>
        <tr r="G2" s="21"/>
      </tp>
      <tp t="s">
        <v>20-Jan-2021</v>
        <stp/>
        <stp>FWRC1#USDJPY#Month Wise Rates#0#S#PillarDate11</stp>
        <tr r="H2" s="21"/>
      </tp>
      <tp t="s">
        <v>21-Jun-2021</v>
        <stp/>
        <stp>FWRC1#USDJPY#Month Wise Rates#0#S#PillarDate16</stp>
        <tr r="M2" s="21"/>
      </tp>
      <tp t="s">
        <v>20-Jul-2021</v>
        <stp/>
        <stp>FWRC1#USDJPY#Month Wise Rates#0#S#PillarDate17</stp>
        <tr r="N2" s="21"/>
      </tp>
      <tp t="s">
        <v>20-Apr-2021</v>
        <stp/>
        <stp>FWRC1#USDJPY#Month Wise Rates#0#S#PillarDate14</stp>
        <tr r="K2" s="21"/>
      </tp>
      <tp t="s">
        <v>20-May-2021</v>
        <stp/>
        <stp>FWRC1#USDJPY#Month Wise Rates#0#S#PillarDate15</stp>
        <tr r="L2" s="21"/>
      </tp>
      <tp t="s">
        <v>20-Aug-2021</v>
        <stp/>
        <stp>FWRC1#USDJPY#Month Wise Rates#0#S#PillarDate18</stp>
        <tr r="O2" s="21"/>
      </tp>
      <tp>
        <v>1.3677999999999999</v>
        <stp/>
        <stp>12#2#1#6069#SUSDSGD#Open</stp>
        <tr r="B16" s="23"/>
      </tp>
      <tp>
        <v>4.1883999999999997</v>
        <stp/>
        <stp>FWRC1#GBPINR#Month End Rates#0#Bid%14</stp>
        <tr r="N10" s="17"/>
      </tp>
      <tp>
        <v>4.1797000000000004</v>
        <stp/>
        <stp>FWRC1#GBPINR#Month End Rates#0#Bid%15</stp>
        <tr r="O10" s="17"/>
      </tp>
      <tp>
        <v>4.0773000000000001</v>
        <stp/>
        <stp>FWRC1#GBPINR#Month End Rates#0#Bid%10</stp>
        <tr r="J10" s="17"/>
      </tp>
      <tp>
        <v>4.1737000000000002</v>
        <stp/>
        <stp>FWRC1#GBPINR#Month End Rates#0#Bid%11</stp>
        <tr r="K10" s="17"/>
      </tp>
      <tp>
        <v>4.1759000000000004</v>
        <stp/>
        <stp>FWRC1#GBPINR#Month End Rates#0#Bid%12</stp>
        <tr r="L10" s="17"/>
      </tp>
      <tp>
        <v>4.1817000000000002</v>
        <stp/>
        <stp>FWRC1#GBPINR#Month End Rates#0#Bid%13</stp>
        <tr r="M10" s="17"/>
      </tp>
      <tp>
        <v>4.2388000000000003</v>
        <stp/>
        <stp>FWRC1#GBPINR#Month End Rates#0#Ask%14</stp>
        <tr r="N11" s="17"/>
      </tp>
      <tp>
        <v>4.2278000000000002</v>
        <stp/>
        <stp>FWRC1#GBPINR#Month End Rates#0#Ask%15</stp>
        <tr r="O11" s="17"/>
      </tp>
      <tp>
        <v>4.2352999999999996</v>
        <stp/>
        <stp>FWRC1#GBPINR#Month End Rates#0#Ask%12</stp>
        <tr r="L11" s="17"/>
      </tp>
      <tp>
        <v>4.2350000000000003</v>
        <stp/>
        <stp>FWRC1#GBPINR#Month End Rates#0#Ask%13</stp>
        <tr r="M11" s="17"/>
      </tp>
      <tp>
        <v>4.1455000000000002</v>
        <stp/>
        <stp>FWRC1#GBPINR#Month End Rates#0#Ask%10</stp>
        <tr r="J11" s="17"/>
      </tp>
      <tp>
        <v>4.2363999999999997</v>
        <stp/>
        <stp>FWRC1#GBPINR#Month End Rates#0#Ask%11</stp>
        <tr r="K11" s="17"/>
      </tp>
      <tp>
        <v>100.4584</v>
        <stp/>
        <stp>FWRC1#GBPINR#Month End Rates#0#FwdOutrightBid10</stp>
        <tr r="J7" s="17"/>
      </tp>
      <tp>
        <v>100.879</v>
        <stp/>
        <stp>FWRC1#GBPINR#Month End Rates#0#FwdOutrightBid11</stp>
        <tr r="K7" s="17"/>
      </tp>
      <tp>
        <v>101.21810000000001</v>
        <stp/>
        <stp>FWRC1#GBPINR#Month End Rates#0#FwdOutrightBid12</stp>
        <tr r="L7" s="17"/>
      </tp>
      <tp>
        <v>101.5714</v>
        <stp/>
        <stp>FWRC1#GBPINR#Month End Rates#0#FwdOutrightBid13</stp>
        <tr r="M7" s="17"/>
      </tp>
      <tp>
        <v>101.91540000000001</v>
        <stp/>
        <stp>FWRC1#GBPINR#Month End Rates#0#FwdOutrightBid14</stp>
        <tr r="N7" s="17"/>
      </tp>
      <tp>
        <v>102.246</v>
        <stp/>
        <stp>FWRC1#GBPINR#Month End Rates#0#FwdOutrightBid15</stp>
        <tr r="O7" s="17"/>
      </tp>
      <tp>
        <v>1.3102</v>
        <stp/>
        <stp>12#2#1#6031#SGBPUSD#Open</stp>
        <tr r="E8" s="10"/>
        <tr r="B11" s="23"/>
      </tp>
      <tp>
        <v>70.36</v>
        <stp/>
        <stp>17#1#1#6069#USDINRCOMP#52WkLow</stp>
        <tr r="J3" s="10"/>
      </tp>
      <tp>
        <v>233.5</v>
        <stp/>
        <stp>FWRC1#USDINR#Month End Rates#0#AskPrice13</stp>
        <tr r="M5" s="14"/>
      </tp>
      <tp>
        <v>210.75</v>
        <stp/>
        <stp>FWRC1#USDINR#Month End Rates#0#AskPrice12</stp>
        <tr r="L5" s="14"/>
      </tp>
      <tp>
        <v>179.75</v>
        <stp/>
        <stp>FWRC1#USDINR#Month End Rates#0#AskPrice11</stp>
        <tr r="K5" s="14"/>
      </tp>
      <tp>
        <v>152.25</v>
        <stp/>
        <stp>FWRC1#USDINR#Month End Rates#0#AskPrice10</stp>
        <tr r="J5" s="14"/>
      </tp>
      <tp>
        <v>285</v>
        <stp/>
        <stp>FWRC1#USDINR#Month End Rates#0#AskPrice15</stp>
        <tr r="O5" s="14"/>
      </tp>
      <tp>
        <v>260.5</v>
        <stp/>
        <stp>FWRC1#USDINR#Month End Rates#0#AskPrice14</stp>
        <tr r="N5" s="14"/>
      </tp>
      <tp>
        <v>177.75</v>
        <stp/>
        <stp>FWRC1#USDINR#Month End Rates#0#BidPrice11</stp>
        <tr r="K4" s="14"/>
      </tp>
      <tp>
        <v>150.25</v>
        <stp/>
        <stp>FWRC1#USDINR#Month End Rates#0#BidPrice10</stp>
        <tr r="J4" s="14"/>
      </tp>
      <tp>
        <v>231.5</v>
        <stp/>
        <stp>FWRC1#USDINR#Month End Rates#0#BidPrice13</stp>
        <tr r="M4" s="14"/>
      </tp>
      <tp>
        <v>208.75</v>
        <stp/>
        <stp>FWRC1#USDINR#Month End Rates#0#BidPrice12</stp>
        <tr r="L4" s="14"/>
      </tp>
      <tp>
        <v>283</v>
        <stp/>
        <stp>FWRC1#USDINR#Month End Rates#0#BidPrice15</stp>
        <tr r="O4" s="14"/>
      </tp>
      <tp>
        <v>258.5</v>
        <stp/>
        <stp>FWRC1#USDINR#Month End Rates#0#BidPrice14</stp>
        <tr r="N4" s="14"/>
      </tp>
      <tp>
        <v>0</v>
        <stp/>
        <stp>17#3#1#5978#JPYINRCOMP#52WkLow</stp>
        <tr r="J6" s="10"/>
      </tp>
      <tp>
        <v>4.9146999999999998</v>
        <stp/>
        <stp>FWRC1#EURINR#Month End Rates#0#Ask%14</stp>
        <tr r="N11" s="16"/>
      </tp>
      <tp>
        <v>4.8830999999999998</v>
        <stp/>
        <stp>FWRC1#EURINR#Month End Rates#0#Ask%15</stp>
        <tr r="O11" s="16"/>
      </tp>
      <tp>
        <v>4.8041</v>
        <stp/>
        <stp>FWRC1#EURINR#Month End Rates#0#Ask%10</stp>
        <tr r="J11" s="16"/>
      </tp>
      <tp>
        <v>4.8735999999999997</v>
        <stp/>
        <stp>FWRC1#EURINR#Month End Rates#0#Ask%11</stp>
        <tr r="K11" s="16"/>
      </tp>
      <tp>
        <v>4.8743999999999996</v>
        <stp/>
        <stp>FWRC1#EURINR#Month End Rates#0#Ask%12</stp>
        <tr r="L11" s="16"/>
      </tp>
      <tp>
        <v>4.9093999999999998</v>
        <stp/>
        <stp>FWRC1#EURINR#Month End Rates#0#Ask%13</stp>
        <tr r="M11" s="16"/>
      </tp>
      <tp>
        <v>4.8312999999999997</v>
        <stp/>
        <stp>FWRC1#EURINR#Month End Rates#0#Bid%14</stp>
        <tr r="N10" s="16"/>
      </tp>
      <tp>
        <v>4.8292000000000002</v>
        <stp/>
        <stp>FWRC1#EURINR#Month End Rates#0#Bid%15</stp>
        <tr r="O10" s="16"/>
      </tp>
      <tp>
        <v>4.8079999999999998</v>
        <stp/>
        <stp>FWRC1#EURINR#Month End Rates#0#Bid%12</stp>
        <tr r="L10" s="16"/>
      </tp>
      <tp>
        <v>4.8236999999999997</v>
        <stp/>
        <stp>FWRC1#EURINR#Month End Rates#0#Bid%13</stp>
        <tr r="M10" s="16"/>
      </tp>
      <tp>
        <v>4.7054</v>
        <stp/>
        <stp>FWRC1#EURINR#Month End Rates#0#Bid%10</stp>
        <tr r="J10" s="16"/>
      </tp>
      <tp>
        <v>4.8032000000000004</v>
        <stp/>
        <stp>FWRC1#EURINR#Month End Rates#0#Bid%11</stp>
        <tr r="K10" s="16"/>
      </tp>
      <tp>
        <v>73.6387</v>
        <stp/>
        <stp>FWRC1#JPYINR#Month End Rates#0#FwdOutrightAsk14</stp>
        <tr r="N8" s="18"/>
      </tp>
      <tp>
        <v>73.906999999999996</v>
        <stp/>
        <stp>FWRC1#JPYINR#Month End Rates#0#FwdOutrightAsk15</stp>
        <tr r="O8" s="18"/>
      </tp>
      <tp>
        <v>73.074600000000004</v>
        <stp/>
        <stp>FWRC1#JPYINR#Month End Rates#0#FwdOutrightAsk12</stp>
        <tr r="L8" s="18"/>
      </tp>
      <tp>
        <v>73.357900000000001</v>
        <stp/>
        <stp>FWRC1#JPYINR#Month End Rates#0#FwdOutrightAsk13</stp>
        <tr r="M8" s="18"/>
      </tp>
      <tp>
        <v>72.467299999999994</v>
        <stp/>
        <stp>FWRC1#JPYINR#Month End Rates#0#FwdOutrightAsk10</stp>
        <tr r="J8" s="18"/>
      </tp>
      <tp>
        <v>72.804000000000002</v>
        <stp/>
        <stp>FWRC1#JPYINR#Month End Rates#0#FwdOutrightAsk11</stp>
        <tr r="K8" s="18"/>
      </tp>
      <tp t="s">
        <v>JUL-2021</v>
        <stp/>
        <stp>FWRC1#USDINR#Month End Rates#0#S#Desc.15</stp>
        <tr r="O1" s="14"/>
      </tp>
      <tp t="s">
        <v>JUN-2021</v>
        <stp/>
        <stp>FWRC1#USDINR#Month End Rates#0#S#Desc.14</stp>
        <tr r="N1" s="14"/>
      </tp>
      <tp t="s">
        <v>MAY-2021</v>
        <stp/>
        <stp>FWRC1#USDINR#Month End Rates#0#S#Desc.13</stp>
        <tr r="M1" s="14"/>
      </tp>
      <tp t="s">
        <v>APR-2021</v>
        <stp/>
        <stp>FWRC1#USDINR#Month End Rates#0#S#Desc.12</stp>
        <tr r="L1" s="14"/>
      </tp>
      <tp t="s">
        <v>MAR-2021</v>
        <stp/>
        <stp>FWRC1#USDINR#Month End Rates#0#S#Desc.11</stp>
        <tr r="K1" s="14"/>
      </tp>
      <tp t="s">
        <v>FEB-2021</v>
        <stp/>
        <stp>FWRC1#USDINR#Month End Rates#0#S#Desc.10</stp>
        <tr r="J1" s="14"/>
      </tp>
      <tp t="s">
        <v>JUN-2021</v>
        <stp/>
        <stp>FWRC1#GBPINR#Month End Rates#0#S#Desc.14</stp>
        <tr r="N1" s="17"/>
      </tp>
      <tp t="s">
        <v>JUL-2021</v>
        <stp/>
        <stp>FWRC1#GBPINR#Month End Rates#0#S#Desc.15</stp>
        <tr r="O1" s="17"/>
      </tp>
      <tp t="s">
        <v>APR-2021</v>
        <stp/>
        <stp>FWRC1#GBPINR#Month End Rates#0#S#Desc.12</stp>
        <tr r="L1" s="17"/>
      </tp>
      <tp t="s">
        <v>MAY-2021</v>
        <stp/>
        <stp>FWRC1#GBPINR#Month End Rates#0#S#Desc.13</stp>
        <tr r="M1" s="17"/>
      </tp>
      <tp t="s">
        <v>FEB-2021</v>
        <stp/>
        <stp>FWRC1#GBPINR#Month End Rates#0#S#Desc.10</stp>
        <tr r="J1" s="17"/>
      </tp>
      <tp t="s">
        <v>MAR-2021</v>
        <stp/>
        <stp>FWRC1#GBPINR#Month End Rates#0#S#Desc.11</stp>
        <tr r="K1" s="17"/>
      </tp>
      <tp t="s">
        <v>MAR-2021</v>
        <stp/>
        <stp>FWRC1#EURINR#Month End Rates#0#S#Desc.11</stp>
        <tr r="K1" s="16"/>
      </tp>
      <tp t="s">
        <v>FEB-2021</v>
        <stp/>
        <stp>FWRC1#EURINR#Month End Rates#0#S#Desc.10</stp>
        <tr r="J1" s="16"/>
      </tp>
      <tp t="s">
        <v>MAY-2021</v>
        <stp/>
        <stp>FWRC1#EURINR#Month End Rates#0#S#Desc.13</stp>
        <tr r="M1" s="16"/>
      </tp>
      <tp t="s">
        <v>APR-2021</v>
        <stp/>
        <stp>FWRC1#EURINR#Month End Rates#0#S#Desc.12</stp>
        <tr r="L1" s="16"/>
      </tp>
      <tp t="s">
        <v>JUL-2021</v>
        <stp/>
        <stp>FWRC1#EURINR#Month End Rates#0#S#Desc.15</stp>
        <tr r="O1" s="16"/>
      </tp>
      <tp t="s">
        <v>JUN-2021</v>
        <stp/>
        <stp>FWRC1#EURINR#Month End Rates#0#S#Desc.14</stp>
        <tr r="N1" s="16"/>
      </tp>
      <tp t="s">
        <v>JUN-2021</v>
        <stp/>
        <stp>FWRC1#JPYINR#Month End Rates#0#S#Desc.14</stp>
        <tr r="N1" s="18"/>
      </tp>
      <tp t="s">
        <v>JUL-2021</v>
        <stp/>
        <stp>FWRC1#JPYINR#Month End Rates#0#S#Desc.15</stp>
        <tr r="O1" s="18"/>
      </tp>
      <tp t="s">
        <v>FEB-2021</v>
        <stp/>
        <stp>FWRC1#JPYINR#Month End Rates#0#S#Desc.10</stp>
        <tr r="J1" s="18"/>
      </tp>
      <tp t="s">
        <v>MAR-2021</v>
        <stp/>
        <stp>FWRC1#JPYINR#Month End Rates#0#S#Desc.11</stp>
        <tr r="K1" s="18"/>
      </tp>
      <tp t="s">
        <v>APR-2021</v>
        <stp/>
        <stp>FWRC1#JPYINR#Month End Rates#0#S#Desc.12</stp>
        <tr r="L1" s="18"/>
      </tp>
      <tp t="s">
        <v>MAY-2021</v>
        <stp/>
        <stp>FWRC1#JPYINR#Month End Rates#0#S#Desc.13</stp>
        <tr r="M1" s="18"/>
      </tp>
      <tp>
        <v>-0.44390000000000002</v>
        <stp/>
        <stp>FWRC1#USDJPY#Month Wise Rates#0#Ask%8</stp>
        <tr r="E11" s="21"/>
      </tp>
      <tp>
        <v>-0.44540000000000002</v>
        <stp/>
        <stp>FWRC1#USDJPY#Month Wise Rates#0#Ask%9</stp>
        <tr r="F11" s="21"/>
      </tp>
      <tp>
        <v>-0.36009999999999998</v>
        <stp/>
        <stp>FWRC1#USDJPY#Month Wise Rates#0#Ask%7</stp>
        <tr r="D11" s="21"/>
      </tp>
      <tp>
        <v>-0.13830000000000001</v>
        <stp/>
        <stp>FWRC1#USDJPY#Month Wise Rates#0#Ask%2</stp>
        <tr r="C11" s="21"/>
      </tp>
      <tp>
        <v>105.547</v>
        <stp/>
        <stp>FWRC1#USDJPY#Month Wise Rates#0#Close0</stp>
        <tr r="B29" s="23"/>
        <tr r="G29" s="23"/>
        <tr r="D29" s="23"/>
        <tr r="C29" s="23"/>
        <tr r="H29" s="23"/>
        <tr r="I29" s="23"/>
        <tr r="N29" s="23"/>
        <tr r="K29" s="23"/>
        <tr r="F29" s="23"/>
        <tr r="M29" s="23"/>
        <tr r="J29" s="23"/>
        <tr r="E29" s="23"/>
        <tr r="L29" s="23"/>
      </tp>
      <tp>
        <v>-3.64</v>
        <stp/>
        <stp>FWRC1#USDJPY#Month Wise Rates#0#Close7</stp>
        <tr r="C29" s="23"/>
      </tp>
      <tp>
        <v>-8.1199999999999992</v>
        <stp/>
        <stp>FWRC1#USDJPY#Month Wise Rates#0#Close8</stp>
        <tr r="D29" s="23"/>
      </tp>
      <tp>
        <v>-12.1</v>
        <stp/>
        <stp>FWRC1#USDJPY#Month Wise Rates#0#Close9</stp>
        <tr r="E29" s="23"/>
      </tp>
      <tp>
        <v>1.0634999999999999</v>
        <stp/>
        <stp>12#2#1#5949#SEURUSD#52WkLow</stp>
        <tr r="J7" s="10"/>
      </tp>
      <tp t="s">
        <v>12M</v>
        <stp/>
        <stp>FWRC1#USDJPY#Month Wise Rates#0#S#Desc.18</stp>
        <tr r="O1" s="21"/>
      </tp>
      <tp t="s">
        <v>9M</v>
        <stp/>
        <stp>FWRC1#USDJPY#Month Wise Rates#0#S#Desc.15</stp>
        <tr r="L1" s="21"/>
      </tp>
      <tp t="s">
        <v>8M</v>
        <stp/>
        <stp>FWRC1#USDJPY#Month Wise Rates#0#S#Desc.14</stp>
        <tr r="K1" s="21"/>
      </tp>
      <tp t="s">
        <v>11M</v>
        <stp/>
        <stp>FWRC1#USDJPY#Month Wise Rates#0#S#Desc.17</stp>
        <tr r="N1" s="21"/>
      </tp>
      <tp t="s">
        <v>10M</v>
        <stp/>
        <stp>FWRC1#USDJPY#Month Wise Rates#0#S#Desc.16</stp>
        <tr r="M1" s="21"/>
      </tp>
      <tp t="s">
        <v>5M</v>
        <stp/>
        <stp>FWRC1#USDJPY#Month Wise Rates#0#S#Desc.11</stp>
        <tr r="H1" s="21"/>
      </tp>
      <tp t="s">
        <v>4M</v>
        <stp/>
        <stp>FWRC1#USDJPY#Month Wise Rates#0#S#Desc.10</stp>
        <tr r="G1" s="21"/>
      </tp>
      <tp t="s">
        <v>7M</v>
        <stp/>
        <stp>FWRC1#USDJPY#Month Wise Rates#0#S#Desc.13</stp>
        <tr r="J1" s="21"/>
      </tp>
      <tp t="s">
        <v>6M</v>
        <stp/>
        <stp>FWRC1#USDJPY#Month Wise Rates#0#S#Desc.12</stp>
        <tr r="I1" s="21"/>
      </tp>
      <tp>
        <v>4.1394000000000002</v>
        <stp/>
        <stp>FWRC1#GBPINR#Month End Rates#0#Ask%9</stp>
        <tr r="I11" s="17"/>
      </tp>
      <tp>
        <v>4.1368</v>
        <stp/>
        <stp>FWRC1#GBPINR#Month End Rates#0#Ask%8</stp>
        <tr r="H11" s="17"/>
      </tp>
      <tp>
        <v>5.1566999999999998</v>
        <stp/>
        <stp>FWRC1#GBPINR#Month End Rates#0#Ask%2</stp>
        <tr r="C11" s="17"/>
      </tp>
      <tp>
        <v>4.1288999999999998</v>
        <stp/>
        <stp>FWRC1#GBPINR#Month End Rates#0#Ask%7</stp>
        <tr r="G11" s="17"/>
      </tp>
      <tp>
        <v>3.8671000000000002</v>
        <stp/>
        <stp>FWRC1#GBPINR#Month End Rates#0#Ask%6</stp>
        <tr r="F11" s="17"/>
      </tp>
      <tp>
        <v>3.8111000000000002</v>
        <stp/>
        <stp>FWRC1#GBPINR#Month End Rates#0#Ask%5</stp>
        <tr r="E11" s="17"/>
      </tp>
      <tp>
        <v>5.4759000000000002</v>
        <stp/>
        <stp>FWRC1#GBPINR#Month End Rates#0#Ask%4</stp>
        <tr r="D11" s="17"/>
      </tp>
      <tp>
        <v>4.7423000000000002</v>
        <stp/>
        <stp>FWRC1#EURINR#Month End Rates#0#Ask%8</stp>
        <tr r="H11" s="16"/>
      </tp>
      <tp>
        <v>4.7538999999999998</v>
        <stp/>
        <stp>FWRC1#EURINR#Month End Rates#0#Ask%9</stp>
        <tr r="I11" s="16"/>
      </tp>
      <tp>
        <v>4.5487000000000002</v>
        <stp/>
        <stp>FWRC1#EURINR#Month End Rates#0#Ask%4</stp>
        <tr r="D11" s="16"/>
      </tp>
      <tp>
        <v>4.3604000000000003</v>
        <stp/>
        <stp>FWRC1#EURINR#Month End Rates#0#Ask%5</stp>
        <tr r="E11" s="16"/>
      </tp>
      <tp>
        <v>4.4398999999999997</v>
        <stp/>
        <stp>FWRC1#EURINR#Month End Rates#0#Ask%6</stp>
        <tr r="F11" s="16"/>
      </tp>
      <tp>
        <v>4.7378999999999998</v>
        <stp/>
        <stp>FWRC1#EURINR#Month End Rates#0#Ask%7</stp>
        <tr r="G11" s="16"/>
      </tp>
      <tp>
        <v>5.6414</v>
        <stp/>
        <stp>FWRC1#EURINR#Month End Rates#0#Ask%2</stp>
        <tr r="C11" s="16"/>
      </tp>
      <tp>
        <v>71.960800000000006</v>
        <stp/>
        <stp>FWRC1#JPYINR#Month End Rates#0#FwdOutrightAsk8</stp>
        <tr r="H8" s="18"/>
      </tp>
      <tp>
        <v>72.218699999999998</v>
        <stp/>
        <stp>FWRC1#JPYINR#Month End Rates#0#FwdOutrightAsk9</stp>
        <tr r="I8" s="18"/>
      </tp>
      <tp>
        <v>70.878799999999998</v>
        <stp/>
        <stp>FWRC1#JPYINR#Month End Rates#0#FwdOutrightAsk4</stp>
        <tr r="D8" s="18"/>
      </tp>
      <tp>
        <v>71.116699999999994</v>
        <stp/>
        <stp>FWRC1#JPYINR#Month End Rates#0#FwdOutrightAsk5</stp>
        <tr r="E8" s="18"/>
      </tp>
      <tp>
        <v>71.347099999999998</v>
        <stp/>
        <stp>FWRC1#JPYINR#Month End Rates#0#FwdOutrightAsk6</stp>
        <tr r="F8" s="18"/>
      </tp>
      <tp>
        <v>71.641000000000005</v>
        <stp/>
        <stp>FWRC1#JPYINR#Month End Rates#0#FwdOutrightAsk7</stp>
        <tr r="G8" s="18"/>
      </tp>
      <tp>
        <v>70.785200000000003</v>
        <stp/>
        <stp>FWRC1#JPYINR#Month End Rates#0#FwdOutrightAsk1</stp>
        <tr r="C8" s="18"/>
        <tr r="D3" s="7"/>
      </tp>
      <tp>
        <v>70.790000000000006</v>
        <stp/>
        <stp>FWRC1#JPYINR#Month End Rates#0#FwdOutrightAsk3</stp>
        <tr r="F3" s="7"/>
      </tp>
      <tp>
        <v>4.5316000000000001</v>
        <stp/>
        <stp>FWRC1#JPYINR#Month End Rates#0#Ask%9</stp>
        <tr r="I11" s="18"/>
      </tp>
      <tp>
        <v>4.5199999999999996</v>
        <stp/>
        <stp>FWRC1#JPYINR#Month End Rates#0#Ask%8</stp>
        <tr r="H11" s="18"/>
      </tp>
      <tp>
        <v>5.3311999999999999</v>
        <stp/>
        <stp>FWRC1#JPYINR#Month End Rates#0#Ask%2</stp>
        <tr r="C11" s="18"/>
      </tp>
      <tp>
        <v>4.0461</v>
        <stp/>
        <stp>FWRC1#JPYINR#Month End Rates#0#Ask%5</stp>
        <tr r="E11" s="18"/>
      </tp>
      <tp>
        <v>3.9287000000000001</v>
        <stp/>
        <stp>FWRC1#JPYINR#Month End Rates#0#Ask%4</stp>
        <tr r="D11" s="18"/>
      </tp>
      <tp>
        <v>4.4065000000000003</v>
        <stp/>
        <stp>FWRC1#JPYINR#Month End Rates#0#Ask%7</stp>
        <tr r="G11" s="18"/>
      </tp>
      <tp>
        <v>4.0667</v>
        <stp/>
        <stp>FWRC1#JPYINR#Month End Rates#0#Ask%6</stp>
        <tr r="F11" s="18"/>
      </tp>
      <tp>
        <v>3.8546999999999998</v>
        <stp/>
        <stp>FWRC1#USDINR#Month End Rates#0#Ask%8</stp>
        <tr r="H11" s="14"/>
      </tp>
      <tp>
        <v>3.8955000000000002</v>
        <stp/>
        <stp>FWRC1#USDINR#Month End Rates#0#Ask%9</stp>
        <tr r="I11" s="14"/>
      </tp>
      <tp>
        <v>4.8826000000000001</v>
        <stp/>
        <stp>FWRC1#USDINR#Month End Rates#0#Ask%2</stp>
        <tr r="C11" s="14"/>
      </tp>
      <tp>
        <v>3.8014999999999999</v>
        <stp/>
        <stp>FWRC1#USDINR#Month End Rates#0#Ask%6</stp>
        <tr r="F11" s="14"/>
      </tp>
      <tp>
        <v>3.8469000000000002</v>
        <stp/>
        <stp>FWRC1#USDINR#Month End Rates#0#Ask%7</stp>
        <tr r="G11" s="14"/>
      </tp>
      <tp>
        <v>3.7728999999999999</v>
        <stp/>
        <stp>FWRC1#USDINR#Month End Rates#0#Ask%4</stp>
        <tr r="D11" s="14"/>
      </tp>
      <tp>
        <v>3.6917</v>
        <stp/>
        <stp>FWRC1#USDINR#Month End Rates#0#Ask%5</stp>
        <tr r="E11" s="14"/>
      </tp>
      <tp>
        <v>75.814999999999998</v>
        <stp/>
        <stp>FWRC1#USDINR#Month End Rates#0#FwdOutrightAsk8</stp>
        <tr r="H8" s="14"/>
      </tp>
      <tp>
        <v>76.057500000000005</v>
        <stp/>
        <stp>FWRC1#USDINR#Month End Rates#0#FwdOutrightAsk9</stp>
        <tr r="I8" s="14"/>
      </tp>
      <tp>
        <v>74.849999999999994</v>
        <stp/>
        <stp>FWRC1#USDINR#Month End Rates#0#FwdOutrightAsk4</stp>
        <tr r="D8" s="14"/>
      </tp>
      <tp>
        <v>75.075000000000003</v>
        <stp/>
        <stp>FWRC1#USDINR#Month End Rates#0#FwdOutrightAsk5</stp>
        <tr r="E8" s="14"/>
      </tp>
      <tp>
        <v>75.31</v>
        <stp/>
        <stp>FWRC1#USDINR#Month End Rates#0#FwdOutrightAsk6</stp>
        <tr r="F8" s="14"/>
      </tp>
      <tp>
        <v>75.545000000000002</v>
        <stp/>
        <stp>FWRC1#USDINR#Month End Rates#0#FwdOutrightAsk7</stp>
        <tr r="G8" s="14"/>
      </tp>
      <tp>
        <v>74.754999999999995</v>
        <stp/>
        <stp>FWRC1#USDINR#Month End Rates#0#FwdOutrightAsk1</stp>
        <tr r="D3" s="4"/>
        <tr r="C8" s="14"/>
      </tp>
      <tp>
        <v>74.760000000000005</v>
        <stp/>
        <stp>FWRC1#USDINR#Month End Rates#0#FwdOutrightAsk3</stp>
        <tr r="F3" s="4"/>
      </tp>
      <tp t="s">
        <v>29-Jan-2021</v>
        <stp/>
        <stp>FWRC1#USDINR#Month End Rates#0#S#MonthEndDate9</stp>
        <tr r="I2" s="14"/>
      </tp>
      <tp t="s">
        <v>31-Dec-2020</v>
        <stp/>
        <stp>FWRC1#USDINR#Month End Rates#0#S#MonthEndDate8</stp>
        <tr r="H2" s="14"/>
      </tp>
      <tp t="s">
        <v>27-Nov-2020</v>
        <stp/>
        <stp>FWRC1#USDINR#Month End Rates#0#S#MonthEndDate7</stp>
        <tr r="G2" s="14"/>
      </tp>
      <tp t="s">
        <v>29-Oct-2020</v>
        <stp/>
        <stp>FWRC1#USDINR#Month End Rates#0#S#MonthEndDate6</stp>
        <tr r="F2" s="14"/>
      </tp>
      <tp t="s">
        <v>30-Sep-2020</v>
        <stp/>
        <stp>FWRC1#USDINR#Month End Rates#0#S#MonthEndDate5</stp>
        <tr r="E2" s="14"/>
      </tp>
      <tp t="s">
        <v>31-Aug-2020</v>
        <stp/>
        <stp>FWRC1#USDINR#Month End Rates#0#S#MonthEndDate4</stp>
        <tr r="D2" s="14"/>
      </tp>
      <tp t="s">
        <v>20-Aug-2020</v>
        <stp/>
        <stp>FWRC1#USDINR#Month End Rates#0#S#MonthEndDate2</stp>
        <tr r="C2" s="14"/>
      </tp>
      <tp>
        <v>0.72130000000000005</v>
        <stp/>
        <stp>12#2#1#5903#SAUDUSD#Open</stp>
        <tr r="B15" s="23"/>
      </tp>
      <tp>
        <v>1.1871499999999999</v>
        <stp/>
        <stp>12#2#1#5949#SEURUSD#Open</stp>
        <tr r="E7" s="10"/>
        <tr r="B10" s="23"/>
      </tp>
      <tp>
        <v>1.3218000000000001</v>
        <stp/>
        <stp>12#2#1#6069#SUSDCAD#Open</stp>
        <tr r="B14" s="23"/>
      </tp>
      <tp>
        <v>5.85</v>
        <stp/>
        <stp>FWRC1#GBPUSD#Month Wise Rates#0#Close9</stp>
        <tr r="E28" s="23"/>
      </tp>
      <tp>
        <v>4.1500000000000004</v>
        <stp/>
        <stp>FWRC1#GBPUSD#Month Wise Rates#0#Close8</stp>
        <tr r="D28" s="23"/>
      </tp>
      <tp>
        <v>2</v>
        <stp/>
        <stp>FWRC1#GBPUSD#Month Wise Rates#0#Close7</stp>
        <tr r="C28" s="23"/>
      </tp>
      <tp>
        <v>1.3160000000000001</v>
        <stp/>
        <stp>FWRC1#GBPUSD#Month Wise Rates#0#Close0</stp>
        <tr r="G28" s="23"/>
        <tr r="H28" s="23"/>
        <tr r="E28" s="23"/>
        <tr r="D28" s="23"/>
        <tr r="C28" s="23"/>
        <tr r="J28" s="23"/>
        <tr r="M28" s="23"/>
        <tr r="K28" s="23"/>
        <tr r="L28" s="23"/>
        <tr r="I28" s="23"/>
        <tr r="F28" s="23"/>
        <tr r="N28" s="23"/>
        <tr r="B28" s="23"/>
      </tp>
      <tp>
        <v>261.11500000000001</v>
        <stp/>
        <stp>FWRC1#EURINR#Month End Rates#0#Close11</stp>
        <tr r="J20" s="23"/>
      </tp>
      <tp>
        <v>217.94749999999999</v>
        <stp/>
        <stp>FWRC1#EURINR#Month End Rates#0#Close10</stp>
        <tr r="I20" s="23"/>
      </tp>
      <tp>
        <v>333.96249999999998</v>
        <stp/>
        <stp>FWRC1#EURINR#Month End Rates#0#Close13</stp>
        <tr r="L20" s="23"/>
      </tp>
      <tp>
        <v>296.54000000000002</v>
        <stp/>
        <stp>FWRC1#EURINR#Month End Rates#0#Close12</stp>
        <tr r="K20" s="23"/>
      </tp>
      <tp>
        <v>404.98250000000002</v>
        <stp/>
        <stp>FWRC1#EURINR#Month End Rates#0#Close15</stp>
        <tr r="N20" s="23"/>
      </tp>
      <tp>
        <v>369.82499999999999</v>
        <stp/>
        <stp>FWRC1#EURINR#Month End Rates#0#Close14</stp>
        <tr r="M20" s="23"/>
      </tp>
      <tp>
        <v>54.027500000000003</v>
        <stp/>
        <stp>FWRC1#AUDINR#Month Wise Rates#0#Close0</stp>
        <tr r="K25" s="23"/>
        <tr r="F25" s="23"/>
        <tr r="L25" s="23"/>
        <tr r="H25" s="23"/>
        <tr r="I25" s="23"/>
        <tr r="N25" s="23"/>
        <tr r="E25" s="23"/>
        <tr r="G25" s="23"/>
        <tr r="D25" s="23"/>
        <tr r="C25" s="23"/>
        <tr r="J25" s="23"/>
        <tr r="B25" s="23"/>
        <tr r="M25" s="23"/>
      </tp>
      <tp>
        <v>1687.8164999999999</v>
        <stp/>
        <stp>FWRC1#AUDINR#Month Wise Rates#0#Close7</stp>
        <tr r="C25" s="23"/>
      </tp>
      <tp>
        <v>5059.4745000000003</v>
        <stp/>
        <stp>FWRC1#AUDINR#Month Wise Rates#0#Close9</stp>
        <tr r="E25" s="23"/>
      </tp>
      <tp>
        <v>3328.0846000000001</v>
        <stp/>
        <stp>FWRC1#AUDINR#Month Wise Rates#0#Close8</stp>
        <tr r="D25" s="23"/>
      </tp>
      <tp t="s">
        <v>20-Jan-2021</v>
        <stp/>
        <stp>FWRC1#USDINR#Month Wise Rates#0#S#PillarDate11</stp>
        <tr r="H2" s="15"/>
      </tp>
      <tp t="s">
        <v>21-Dec-2020</v>
        <stp/>
        <stp>FWRC1#USDINR#Month Wise Rates#0#S#PillarDate10</stp>
        <tr r="G2" s="15"/>
      </tp>
      <tp t="s">
        <v>22-Mar-2021</v>
        <stp/>
        <stp>FWRC1#USDINR#Month Wise Rates#0#S#PillarDate13</stp>
        <tr r="J2" s="15"/>
      </tp>
      <tp t="s">
        <v>22-Feb-2021</v>
        <stp/>
        <stp>FWRC1#USDINR#Month Wise Rates#0#S#PillarDate12</stp>
        <tr r="I2" s="15"/>
      </tp>
      <tp t="s">
        <v>20-May-2021</v>
        <stp/>
        <stp>FWRC1#USDINR#Month Wise Rates#0#S#PillarDate15</stp>
        <tr r="L2" s="15"/>
      </tp>
      <tp t="s">
        <v>20-Apr-2021</v>
        <stp/>
        <stp>FWRC1#USDINR#Month Wise Rates#0#S#PillarDate14</stp>
        <tr r="K2" s="15"/>
      </tp>
      <tp t="s">
        <v>20-Jul-2021</v>
        <stp/>
        <stp>FWRC1#USDINR#Month Wise Rates#0#S#PillarDate17</stp>
        <tr r="N2" s="15"/>
      </tp>
      <tp t="s">
        <v>21-Jun-2021</v>
        <stp/>
        <stp>FWRC1#USDINR#Month Wise Rates#0#S#PillarDate16</stp>
        <tr r="M2" s="15"/>
      </tp>
      <tp t="s">
        <v>20-Aug-2021</v>
        <stp/>
        <stp>FWRC1#USDINR#Month Wise Rates#0#S#PillarDate18</stp>
        <tr r="O2" s="15"/>
      </tp>
      <tp>
        <v>4.0510999999999999</v>
        <stp/>
        <stp>FWRC1#GBPINR#Month End Rates#0#Bid%8</stp>
        <tr r="H10" s="17"/>
      </tp>
      <tp>
        <v>4.0655000000000001</v>
        <stp/>
        <stp>FWRC1#GBPINR#Month End Rates#0#Bid%9</stp>
        <tr r="I10" s="17"/>
      </tp>
      <tp>
        <v>2.5485000000000002</v>
        <stp/>
        <stp>FWRC1#GBPINR#Month End Rates#0#Bid%2</stp>
        <tr r="C10" s="17"/>
      </tp>
      <tp>
        <v>5.0187999999999997</v>
        <stp/>
        <stp>FWRC1#GBPINR#Month End Rates#0#Bid%4</stp>
        <tr r="D10" s="17"/>
      </tp>
      <tp>
        <v>3.6343000000000001</v>
        <stp/>
        <stp>FWRC1#GBPINR#Month End Rates#0#Bid%5</stp>
        <tr r="E10" s="17"/>
      </tp>
      <tp>
        <v>3.7395</v>
        <stp/>
        <stp>FWRC1#GBPINR#Month End Rates#0#Bid%6</stp>
        <tr r="F10" s="17"/>
      </tp>
      <tp>
        <v>4.0231000000000003</v>
        <stp/>
        <stp>FWRC1#GBPINR#Month End Rates#0#Bid%7</stp>
        <tr r="G10" s="17"/>
      </tp>
      <tp>
        <v>4.6882000000000001</v>
        <stp/>
        <stp>FWRC1#EURINR#Month End Rates#0#Bid%9</stp>
        <tr r="I10" s="16"/>
      </tp>
      <tp>
        <v>4.6646999999999998</v>
        <stp/>
        <stp>FWRC1#EURINR#Month End Rates#0#Bid%8</stp>
        <tr r="H10" s="16"/>
      </tp>
      <tp>
        <v>4.6481000000000003</v>
        <stp/>
        <stp>FWRC1#EURINR#Month End Rates#0#Bid%7</stp>
        <tr r="G10" s="16"/>
      </tp>
      <tp>
        <v>4.3232999999999997</v>
        <stp/>
        <stp>FWRC1#EURINR#Month End Rates#0#Bid%6</stp>
        <tr r="F10" s="16"/>
      </tp>
      <tp>
        <v>4.1955999999999998</v>
        <stp/>
        <stp>FWRC1#EURINR#Month End Rates#0#Bid%5</stp>
        <tr r="E10" s="16"/>
      </tp>
      <tp>
        <v>4.2232000000000003</v>
        <stp/>
        <stp>FWRC1#EURINR#Month End Rates#0#Bid%4</stp>
        <tr r="D10" s="16"/>
      </tp>
      <tp>
        <v>3.1528</v>
        <stp/>
        <stp>FWRC1#EURINR#Month End Rates#0#Bid%2</stp>
        <tr r="C10" s="16"/>
      </tp>
      <tp>
        <v>4.4203999999999999</v>
        <stp/>
        <stp>FWRC1#JPYINR#Month End Rates#0#Bid%8</stp>
        <tr r="H10" s="18"/>
      </tp>
      <tp>
        <v>4.4549000000000003</v>
        <stp/>
        <stp>FWRC1#JPYINR#Month End Rates#0#Bid%9</stp>
        <tr r="I10" s="18"/>
      </tp>
      <tp>
        <v>2.5268000000000002</v>
        <stp/>
        <stp>FWRC1#JPYINR#Month End Rates#0#Bid%2</stp>
        <tr r="C10" s="18"/>
      </tp>
      <tp>
        <v>3.9519000000000002</v>
        <stp/>
        <stp>FWRC1#JPYINR#Month End Rates#0#Bid%6</stp>
        <tr r="F10" s="18"/>
      </tp>
      <tp>
        <v>4.2797999999999998</v>
        <stp/>
        <stp>FWRC1#JPYINR#Month End Rates#0#Bid%7</stp>
        <tr r="G10" s="18"/>
      </tp>
      <tp>
        <v>3.6292</v>
        <stp/>
        <stp>FWRC1#JPYINR#Month End Rates#0#Bid%4</stp>
        <tr r="D10" s="18"/>
      </tp>
      <tp>
        <v>3.8753000000000002</v>
        <stp/>
        <stp>FWRC1#JPYINR#Month End Rates#0#Bid%5</stp>
        <tr r="E10" s="18"/>
      </tp>
      <tp>
        <v>3.8348</v>
        <stp/>
        <stp>FWRC1#USDINR#Month End Rates#0#Bid%9</stp>
        <tr r="I10" s="14"/>
      </tp>
      <tp>
        <v>3.7808000000000002</v>
        <stp/>
        <stp>FWRC1#USDINR#Month End Rates#0#Bid%8</stp>
        <tr r="H10" s="14"/>
      </tp>
      <tp>
        <v>2.4409999999999998</v>
        <stp/>
        <stp>FWRC1#USDINR#Month End Rates#0#Bid%2</stp>
        <tr r="C10" s="14"/>
      </tp>
      <tp>
        <v>3.4531000000000001</v>
        <stp/>
        <stp>FWRC1#USDINR#Month End Rates#0#Bid%5</stp>
        <tr r="E10" s="14"/>
      </tp>
      <tp>
        <v>2.8847999999999998</v>
        <stp/>
        <stp>FWRC1#USDINR#Month End Rates#0#Bid%4</stp>
        <tr r="D10" s="14"/>
      </tp>
      <tp>
        <v>3.7477999999999998</v>
        <stp/>
        <stp>FWRC1#USDINR#Month End Rates#0#Bid%7</stp>
        <tr r="G10" s="14"/>
      </tp>
      <tp>
        <v>3.6615000000000002</v>
        <stp/>
        <stp>FWRC1#USDINR#Month End Rates#0#Bid%6</stp>
        <tr r="F10" s="14"/>
      </tp>
      <tp>
        <v>106.026</v>
        <stp/>
        <stp>12#2#1#6069#SUSDJPY#Close</stp>
        <tr r="H9" s="10"/>
      </tp>
      <tp>
        <v>73.871700000000004</v>
        <stp/>
        <stp>FWRC1#JPYINR#Month End Rates#0#FwdOutrightBid15</stp>
        <tr r="O7" s="18"/>
      </tp>
      <tp>
        <v>73.587699999999998</v>
        <stp/>
        <stp>FWRC1#JPYINR#Month End Rates#0#FwdOutrightBid14</stp>
        <tr r="N7" s="18"/>
      </tp>
      <tp>
        <v>72.763800000000003</v>
        <stp/>
        <stp>FWRC1#JPYINR#Month End Rates#0#FwdOutrightBid11</stp>
        <tr r="K7" s="18"/>
      </tp>
      <tp>
        <v>72.428100000000001</v>
        <stp/>
        <stp>FWRC1#JPYINR#Month End Rates#0#FwdOutrightBid10</stp>
        <tr r="J7" s="18"/>
      </tp>
      <tp>
        <v>73.322999999999993</v>
        <stp/>
        <stp>FWRC1#JPYINR#Month End Rates#0#FwdOutrightBid13</stp>
        <tr r="M7" s="18"/>
      </tp>
      <tp>
        <v>73.034000000000006</v>
        <stp/>
        <stp>FWRC1#JPYINR#Month End Rates#0#FwdOutrightBid12</stp>
        <tr r="L7" s="18"/>
      </tp>
      <tp>
        <v>-0.45479999999999998</v>
        <stp/>
        <stp>FWRC1#USDJPY#Month Wise Rates#0#Bid%9</stp>
        <tr r="F10" s="21"/>
      </tp>
      <tp>
        <v>-0.46029999999999999</v>
        <stp/>
        <stp>FWRC1#USDJPY#Month Wise Rates#0#Bid%8</stp>
        <tr r="E10" s="21"/>
      </tp>
      <tp>
        <v>-0.37019999999999997</v>
        <stp/>
        <stp>FWRC1#USDJPY#Month Wise Rates#0#Bid%7</stp>
        <tr r="D10" s="21"/>
      </tp>
      <tp>
        <v>-0.4148</v>
        <stp/>
        <stp>FWRC1#USDJPY#Month Wise Rates#0#Bid%2</stp>
        <tr r="C10" s="21"/>
      </tp>
      <tp>
        <v>1.1407799999999999</v>
        <stp/>
        <stp>12#2#1#6031#SGBPUSD#52WkLow</stp>
        <tr r="J8" s="10"/>
      </tp>
      <tp>
        <v>19787.817500000001</v>
        <stp/>
        <stp>FWRC1#JPYINR#Month End Rates#0#Close11</stp>
        <tr r="J22" s="23"/>
      </tp>
      <tp>
        <v>16431.165000000001</v>
        <stp/>
        <stp>FWRC1#JPYINR#Month End Rates#0#Close10</stp>
        <tr r="I22" s="23"/>
      </tp>
      <tp>
        <v>25379.855</v>
        <stp/>
        <stp>FWRC1#JPYINR#Month End Rates#0#Close13</stp>
        <tr r="L22" s="23"/>
      </tp>
      <tp>
        <v>22490.134999999998</v>
        <stp/>
        <stp>FWRC1#JPYINR#Month End Rates#0#Close12</stp>
        <tr r="K22" s="23"/>
      </tp>
      <tp>
        <v>30866.865000000002</v>
        <stp/>
        <stp>FWRC1#JPYINR#Month End Rates#0#Close15</stp>
        <tr r="N22" s="23"/>
      </tp>
      <tp>
        <v>28026.702499999999</v>
        <stp/>
        <stp>FWRC1#JPYINR#Month End Rates#0#Close14</stp>
        <tr r="M22" s="23"/>
      </tp>
      <tp>
        <v>4.6649000000000003</v>
        <stp/>
        <stp>FWRC1#JPYINR#Month End Rates#0#Ask%15</stp>
        <tr r="O11" s="18"/>
      </tp>
      <tp>
        <v>4.6699000000000002</v>
        <stp/>
        <stp>FWRC1#JPYINR#Month End Rates#0#Ask%14</stp>
        <tr r="N11" s="18"/>
      </tp>
      <tp>
        <v>4.6534000000000004</v>
        <stp/>
        <stp>FWRC1#JPYINR#Month End Rates#0#Ask%13</stp>
        <tr r="M11" s="18"/>
      </tp>
      <tp>
        <v>4.6460999999999997</v>
        <stp/>
        <stp>FWRC1#JPYINR#Month End Rates#0#Ask%12</stp>
        <tr r="L11" s="18"/>
      </tp>
      <tp>
        <v>4.6454000000000004</v>
        <stp/>
        <stp>FWRC1#JPYINR#Month End Rates#0#Ask%11</stp>
        <tr r="K11" s="18"/>
      </tp>
      <tp>
        <v>4.5385</v>
        <stp/>
        <stp>FWRC1#JPYINR#Month End Rates#0#Ask%10</stp>
        <tr r="J11" s="18"/>
      </tp>
      <tp>
        <v>4.6261999999999999</v>
        <stp/>
        <stp>FWRC1#JPYINR#Month End Rates#0#Bid%15</stp>
        <tr r="O10" s="18"/>
      </tp>
      <tp>
        <v>4.6018999999999997</v>
        <stp/>
        <stp>FWRC1#JPYINR#Month End Rates#0#Bid%14</stp>
        <tr r="N10" s="18"/>
      </tp>
      <tp>
        <v>4.5749000000000004</v>
        <stp/>
        <stp>FWRC1#JPYINR#Month End Rates#0#Bid%11</stp>
        <tr r="K10" s="18"/>
      </tp>
      <tp>
        <v>4.4587000000000003</v>
        <stp/>
        <stp>FWRC1#JPYINR#Month End Rates#0#Bid%10</stp>
        <tr r="J10" s="18"/>
      </tp>
      <tp>
        <v>4.6074999999999999</v>
        <stp/>
        <stp>FWRC1#JPYINR#Month End Rates#0#Bid%13</stp>
        <tr r="M10" s="18"/>
      </tp>
      <tp>
        <v>4.5831</v>
        <stp/>
        <stp>FWRC1#JPYINR#Month End Rates#0#Bid%12</stp>
        <tr r="L10" s="18"/>
      </tp>
      <tp t="s">
        <v>20-Aug-2021</v>
        <stp/>
        <stp>FWRC1#GBPUSD#Month Wise Rates#0#S#PillarDate18</stp>
        <tr r="O2" s="20"/>
      </tp>
      <tp t="s">
        <v>20-May-2021</v>
        <stp/>
        <stp>FWRC1#GBPUSD#Month Wise Rates#0#S#PillarDate15</stp>
        <tr r="L2" s="20"/>
      </tp>
      <tp t="s">
        <v>20-Apr-2021</v>
        <stp/>
        <stp>FWRC1#GBPUSD#Month Wise Rates#0#S#PillarDate14</stp>
        <tr r="K2" s="20"/>
      </tp>
      <tp t="s">
        <v>20-Jul-2021</v>
        <stp/>
        <stp>FWRC1#GBPUSD#Month Wise Rates#0#S#PillarDate17</stp>
        <tr r="N2" s="20"/>
      </tp>
      <tp t="s">
        <v>21-Jun-2021</v>
        <stp/>
        <stp>FWRC1#GBPUSD#Month Wise Rates#0#S#PillarDate16</stp>
        <tr r="M2" s="20"/>
      </tp>
      <tp t="s">
        <v>20-Jan-2021</v>
        <stp/>
        <stp>FWRC1#GBPUSD#Month Wise Rates#0#S#PillarDate11</stp>
        <tr r="H2" s="20"/>
      </tp>
      <tp t="s">
        <v>21-Dec-2020</v>
        <stp/>
        <stp>FWRC1#GBPUSD#Month Wise Rates#0#S#PillarDate10</stp>
        <tr r="G2" s="20"/>
      </tp>
      <tp t="s">
        <v>22-Mar-2021</v>
        <stp/>
        <stp>FWRC1#GBPUSD#Month Wise Rates#0#S#PillarDate13</stp>
        <tr r="J2" s="20"/>
      </tp>
      <tp t="s">
        <v>22-Feb-2021</v>
        <stp/>
        <stp>FWRC1#GBPUSD#Month Wise Rates#0#S#PillarDate12</stp>
        <tr r="I2" s="20"/>
      </tp>
      <tp>
        <v>101.63639999999999</v>
        <stp/>
        <stp>FWRC1#GBPINR#Month End Rates#0#FwdOutrightAsk13</stp>
        <tr r="M8" s="17"/>
      </tp>
      <tp>
        <v>101.2829</v>
        <stp/>
        <stp>FWRC1#GBPINR#Month End Rates#0#FwdOutrightAsk12</stp>
        <tr r="L8" s="17"/>
      </tp>
      <tp>
        <v>100.94110000000001</v>
        <stp/>
        <stp>FWRC1#GBPINR#Month End Rates#0#FwdOutrightAsk11</stp>
        <tr r="K8" s="17"/>
      </tp>
      <tp>
        <v>100.5177</v>
        <stp/>
        <stp>FWRC1#GBPINR#Month End Rates#0#FwdOutrightAsk10</stp>
        <tr r="J8" s="17"/>
      </tp>
      <tp>
        <v>102.3146</v>
        <stp/>
        <stp>FWRC1#GBPINR#Month End Rates#0#FwdOutrightAsk15</stp>
        <tr r="O8" s="17"/>
      </tp>
      <tp>
        <v>101.9821</v>
        <stp/>
        <stp>FWRC1#GBPINR#Month End Rates#0#FwdOutrightAsk14</stp>
        <tr r="N8" s="17"/>
      </tp>
      <tp>
        <v>99.822500000000005</v>
        <stp/>
        <stp>FWRC1#GBPINR#Month End Rates#0#FwdOutrightBid8</stp>
        <tr r="H7" s="17"/>
      </tp>
      <tp>
        <v>100.1455</v>
        <stp/>
        <stp>FWRC1#GBPINR#Month End Rates#0#FwdOutrightBid9</stp>
        <tr r="I7" s="17"/>
      </tp>
      <tp>
        <v>98.478200000000001</v>
        <stp/>
        <stp>FWRC1#GBPINR#Month End Rates#0#FwdOutrightBid4</stp>
        <tr r="D7" s="17"/>
      </tp>
      <tp>
        <v>98.771699999999996</v>
        <stp/>
        <stp>FWRC1#GBPINR#Month End Rates#0#FwdOutrightBid5</stp>
        <tr r="E7" s="17"/>
      </tp>
      <tp>
        <v>99.075699999999998</v>
        <stp/>
        <stp>FWRC1#GBPINR#Month End Rates#0#FwdOutrightBid6</stp>
        <tr r="F7" s="17"/>
      </tp>
      <tp>
        <v>99.443700000000007</v>
        <stp/>
        <stp>FWRC1#GBPINR#Month End Rates#0#FwdOutrightBid7</stp>
        <tr r="G7" s="17"/>
      </tp>
      <tp>
        <v>98.342200000000005</v>
        <stp/>
        <stp>FWRC1#GBPINR#Month End Rates#0#FwdOutrightBid1</stp>
        <tr r="C7" s="17"/>
        <tr r="D2" s="6"/>
      </tp>
      <tp>
        <v>98.355999999999995</v>
        <stp/>
        <stp>FWRC1#GBPINR#Month End Rates#0#FwdOutrightBid3</stp>
        <tr r="F2" s="6"/>
      </tp>
      <tp>
        <v>0.90602000000000005</v>
        <stp/>
        <stp>12#2#1#6069#SUSDCHF#Open</stp>
        <tr r="B13" s="23"/>
      </tp>
      <tp>
        <v>1.3101</v>
        <stp/>
        <stp>12#2#1#6031#SGBPUSD#Close</stp>
        <tr r="H8" s="10"/>
      </tp>
      <tp>
        <v>91.628900000000002</v>
        <stp/>
        <stp>FWRC1#EURINR#Month End Rates#0#FwdOutrightAsk11</stp>
        <tr r="K8" s="16"/>
      </tp>
      <tp>
        <v>91.204700000000003</v>
        <stp/>
        <stp>FWRC1#EURINR#Month End Rates#0#FwdOutrightAsk10</stp>
        <tr r="J8" s="16"/>
      </tp>
      <tp>
        <v>92.378200000000007</v>
        <stp/>
        <stp>FWRC1#EURINR#Month End Rates#0#FwdOutrightAsk13</stp>
        <tr r="M8" s="16"/>
      </tp>
      <tp>
        <v>91.985699999999994</v>
        <stp/>
        <stp>FWRC1#EURINR#Month End Rates#0#FwdOutrightAsk12</stp>
        <tr r="L8" s="16"/>
      </tp>
      <tp>
        <v>93.074100000000001</v>
        <stp/>
        <stp>FWRC1#EURINR#Month End Rates#0#FwdOutrightAsk15</stp>
        <tr r="O8" s="16"/>
      </tp>
      <tp>
        <v>92.741200000000006</v>
        <stp/>
        <stp>FWRC1#EURINR#Month End Rates#0#FwdOutrightAsk14</stp>
        <tr r="N8" s="16"/>
      </tp>
      <tp>
        <v>106.05200000000001</v>
        <stp/>
        <stp>12#2#1#6069#SUSDJPY#High</stp>
        <tr r="C12" s="23"/>
        <tr r="F9" s="10"/>
      </tp>
      <tp>
        <v>177.75</v>
        <stp/>
        <stp>FWRC1#USDINR#Month End Rates#0#Close11</stp>
        <tr r="J19" s="23"/>
      </tp>
      <tp>
        <v>150.25</v>
        <stp/>
        <stp>FWRC1#USDINR#Month End Rates#0#Close10</stp>
        <tr r="I19" s="23"/>
      </tp>
      <tp>
        <v>231.5</v>
        <stp/>
        <stp>FWRC1#USDINR#Month End Rates#0#Close13</stp>
        <tr r="L19" s="23"/>
      </tp>
      <tp>
        <v>208.75</v>
        <stp/>
        <stp>FWRC1#USDINR#Month End Rates#0#Close12</stp>
        <tr r="K19" s="23"/>
      </tp>
      <tp>
        <v>283</v>
        <stp/>
        <stp>FWRC1#USDINR#Month End Rates#0#Close15</stp>
        <tr r="N19" s="23"/>
      </tp>
      <tp>
        <v>258.5</v>
        <stp/>
        <stp>FWRC1#USDINR#Month End Rates#0#Close14</stp>
        <tr r="M19" s="23"/>
      </tp>
      <tp>
        <v>39196.317499999997</v>
        <stp/>
        <stp>FWRC1#GBPINR#Month End Rates#0#AskPrice15</stp>
        <tr r="O5" s="17"/>
      </tp>
      <tp>
        <v>35870.735000000001</v>
        <stp/>
        <stp>FWRC1#GBPINR#Month End Rates#0#AskPrice14</stp>
        <tr r="N5" s="17"/>
      </tp>
      <tp>
        <v>32414.4925</v>
        <stp/>
        <stp>FWRC1#GBPINR#Month End Rates#0#AskPrice13</stp>
        <tr r="M5" s="17"/>
      </tp>
      <tp>
        <v>28878.615000000002</v>
        <stp/>
        <stp>FWRC1#GBPINR#Month End Rates#0#AskPrice12</stp>
        <tr r="L5" s="17"/>
      </tp>
      <tp>
        <v>25460.634999999998</v>
        <stp/>
        <stp>FWRC1#GBPINR#Month End Rates#0#AskPrice11</stp>
        <tr r="K5" s="17"/>
      </tp>
      <tp>
        <v>21227.375</v>
        <stp/>
        <stp>FWRC1#GBPINR#Month End Rates#0#AskPrice10</stp>
        <tr r="J5" s="17"/>
      </tp>
      <tp>
        <v>38759.622499999998</v>
        <stp/>
        <stp>FWRC1#GBPINR#Month End Rates#0#BidPrice15</stp>
        <tr r="O4" s="17"/>
      </tp>
      <tp>
        <v>35453.827499999999</v>
        <stp/>
        <stp>FWRC1#GBPINR#Month End Rates#0#BidPrice14</stp>
        <tr r="N4" s="17"/>
      </tp>
      <tp>
        <v>25090.47</v>
        <stp/>
        <stp>FWRC1#GBPINR#Month End Rates#0#BidPrice11</stp>
        <tr r="K4" s="17"/>
      </tp>
      <tp>
        <v>20883.877499999999</v>
        <stp/>
        <stp>FWRC1#GBPINR#Month End Rates#0#BidPrice10</stp>
        <tr r="J4" s="17"/>
      </tp>
      <tp>
        <v>32014.477500000001</v>
        <stp/>
        <stp>FWRC1#GBPINR#Month End Rates#0#BidPrice13</stp>
        <tr r="M4" s="17"/>
      </tp>
      <tp>
        <v>28480.76</v>
        <stp/>
        <stp>FWRC1#GBPINR#Month End Rates#0#BidPrice12</stp>
        <tr r="L4" s="17"/>
      </tp>
      <tp>
        <v>98.844999999999999</v>
        <stp/>
        <stp>35#1#1#6031#FUTCUR#N3#0#XX#Bid</stp>
        <tr r="B4" s="13"/>
      </tp>
      <tp>
        <v>75.162499999999994</v>
        <stp/>
        <stp>35#1#1#6069#FUTCUR#N3#0#XX#Bid</stp>
        <tr r="B2" s="13"/>
      </tp>
      <tp>
        <v>98.592500000000001</v>
        <stp/>
        <stp>35#1#1#6031#FUTCUR#N2#0#XX#Bid</stp>
        <tr r="B4" s="12"/>
      </tp>
      <tp>
        <v>74.944999999999993</v>
        <stp/>
        <stp>35#1#1#6069#FUTCUR#N2#0#XX#Bid</stp>
        <tr r="B2" s="12"/>
      </tp>
      <tp>
        <v>98.327500000000001</v>
        <stp/>
        <stp>35#1#1#6031#FUTCUR#N1#0#XX#Bid</stp>
        <tr r="B4" s="11"/>
      </tp>
      <tp>
        <v>74.72</v>
        <stp/>
        <stp>35#1#1#6069#FUTCUR#N1#0#XX#Bid</stp>
        <tr r="B2" s="11"/>
      </tp>
      <tp>
        <v>88.894999999999996</v>
        <stp/>
        <stp>35#1#1#5949#FUTCUR#N1#0#XX#Ask</stp>
        <tr r="C3" s="11"/>
      </tp>
      <tp>
        <v>70.777500000000003</v>
        <stp/>
        <stp>35#1#1#5978#FUTCUR#N1#0#XX#Ask</stp>
        <tr r="C5" s="11"/>
      </tp>
      <tp>
        <v>89.167500000000004</v>
        <stp/>
        <stp>35#1#1#5949#FUTCUR#N2#0#XX#Ask</stp>
        <tr r="C3" s="12"/>
      </tp>
      <tp>
        <v>70.992500000000007</v>
        <stp/>
        <stp>35#1#1#5978#FUTCUR#N2#0#XX#Ask</stp>
        <tr r="C5" s="12"/>
      </tp>
      <tp>
        <v>89.462500000000006</v>
        <stp/>
        <stp>35#1#1#5949#FUTCUR#N3#0#XX#Ask</stp>
        <tr r="C3" s="13"/>
      </tp>
      <tp>
        <v>71.224999999999994</v>
        <stp/>
        <stp>35#1#1#5978#FUTCUR#N3#0#XX#Ask</stp>
        <tr r="C5" s="13"/>
      </tp>
      <tp>
        <v>1.1873</v>
        <stp/>
        <stp>12#2#1#5949#SEURUSD#Close</stp>
        <tr r="H7" s="10"/>
      </tp>
      <tp>
        <v>70.984999999999999</v>
        <stp/>
        <stp>35#1#1#5978#FUTCUR#N2#0#XX#Bid</stp>
        <tr r="B5" s="12"/>
      </tp>
      <tp>
        <v>89.162499999999994</v>
        <stp/>
        <stp>35#1#1#5949#FUTCUR#N2#0#XX#Bid</stp>
        <tr r="B3" s="12"/>
      </tp>
      <tp>
        <v>71.19</v>
        <stp/>
        <stp>35#1#1#5978#FUTCUR#N3#0#XX#Bid</stp>
        <tr r="B5" s="13"/>
      </tp>
      <tp>
        <v>89.45</v>
        <stp/>
        <stp>35#1#1#5949#FUTCUR#N3#0#XX#Bid</stp>
        <tr r="B3" s="13"/>
      </tp>
      <tp>
        <v>70.772499999999994</v>
        <stp/>
        <stp>35#1#1#5978#FUTCUR#N1#0#XX#Bid</stp>
        <tr r="B5" s="11"/>
      </tp>
      <tp>
        <v>88.89</v>
        <stp/>
        <stp>35#1#1#5949#FUTCUR#N1#0#XX#Bid</stp>
        <tr r="B3" s="11"/>
      </tp>
      <tp>
        <v>74.722499999999997</v>
        <stp/>
        <stp>35#1#1#6069#FUTCUR#N1#0#XX#Ask</stp>
        <tr r="C2" s="11"/>
      </tp>
      <tp>
        <v>98.334999999999994</v>
        <stp/>
        <stp>35#1#1#6031#FUTCUR#N1#0#XX#Ask</stp>
        <tr r="C4" s="11"/>
      </tp>
      <tp>
        <v>75.17</v>
        <stp/>
        <stp>35#1#1#6069#FUTCUR#N3#0#XX#Ask</stp>
        <tr r="C2" s="13"/>
      </tp>
      <tp>
        <v>98.864999999999995</v>
        <stp/>
        <stp>35#1#1#6031#FUTCUR#N3#0#XX#Ask</stp>
        <tr r="C4" s="13"/>
      </tp>
      <tp>
        <v>74.947500000000005</v>
        <stp/>
        <stp>35#1#1#6069#FUTCUR#N2#0#XX#Ask</stp>
        <tr r="C2" s="12"/>
      </tp>
      <tp>
        <v>98.6</v>
        <stp/>
        <stp>35#1#1#6031#FUTCUR#N2#0#XX#Ask</stp>
        <tr r="C4" s="12"/>
      </tp>
      <tp>
        <v>404.98250000000002</v>
        <stp/>
        <stp>FWRC1#EURINR#Month End Rates#0#BidPrice15</stp>
        <tr r="O4" s="16"/>
      </tp>
      <tp>
        <v>369.82499999999999</v>
        <stp/>
        <stp>FWRC1#EURINR#Month End Rates#0#BidPrice14</stp>
        <tr r="N4" s="16"/>
      </tp>
      <tp>
        <v>333.96249999999998</v>
        <stp/>
        <stp>FWRC1#EURINR#Month End Rates#0#BidPrice13</stp>
        <tr r="M4" s="16"/>
      </tp>
      <tp>
        <v>296.54000000000002</v>
        <stp/>
        <stp>FWRC1#EURINR#Month End Rates#0#BidPrice12</stp>
        <tr r="L4" s="16"/>
      </tp>
      <tp>
        <v>261.11500000000001</v>
        <stp/>
        <stp>FWRC1#EURINR#Month End Rates#0#BidPrice11</stp>
        <tr r="K4" s="16"/>
      </tp>
      <tp>
        <v>217.94749999999999</v>
        <stp/>
        <stp>FWRC1#EURINR#Month End Rates#0#BidPrice10</stp>
        <tr r="J4" s="16"/>
      </tp>
      <tp>
        <v>409.40750000000003</v>
        <stp/>
        <stp>FWRC1#EURINR#Month End Rates#0#AskPrice15</stp>
        <tr r="O5" s="16"/>
      </tp>
      <tp>
        <v>376.1225</v>
        <stp/>
        <stp>FWRC1#EURINR#Month End Rates#0#AskPrice14</stp>
        <tr r="N5" s="16"/>
      </tp>
      <tp>
        <v>264.88499999999999</v>
        <stp/>
        <stp>FWRC1#EURINR#Month End Rates#0#AskPrice11</stp>
        <tr r="K5" s="16"/>
      </tp>
      <tp>
        <v>222.4675</v>
        <stp/>
        <stp>FWRC1#EURINR#Month End Rates#0#AskPrice10</stp>
        <tr r="J5" s="16"/>
      </tp>
      <tp>
        <v>339.82249999999999</v>
        <stp/>
        <stp>FWRC1#EURINR#Month End Rates#0#AskPrice13</stp>
        <tr r="M5" s="16"/>
      </tp>
      <tp>
        <v>300.57</v>
        <stp/>
        <stp>FWRC1#EURINR#Month End Rates#0#AskPrice12</stp>
        <tr r="L5" s="16"/>
      </tp>
      <tp>
        <v>101.178</v>
        <stp/>
        <stp>12#2#1#6069#SUSDJPY#52WkLow</stp>
        <tr r="J9" s="10"/>
      </tp>
      <tp>
        <v>3.8605999999999998</v>
        <stp/>
        <stp>FWRC1#USDINR#Month End Rates#0#Bid%10</stp>
        <tr r="J10" s="14"/>
      </tp>
      <tp>
        <v>3.8913000000000002</v>
        <stp/>
        <stp>FWRC1#USDINR#Month End Rates#0#Bid%11</stp>
        <tr r="K10" s="14"/>
      </tp>
      <tp>
        <v>4.0281000000000002</v>
        <stp/>
        <stp>FWRC1#USDINR#Month End Rates#0#Bid%12</stp>
        <tr r="L10" s="14"/>
      </tp>
      <tp>
        <v>3.9794999999999998</v>
        <stp/>
        <stp>FWRC1#USDINR#Month End Rates#0#Bid%13</stp>
        <tr r="M10" s="14"/>
      </tp>
      <tp>
        <v>4.0190999999999999</v>
        <stp/>
        <stp>FWRC1#USDINR#Month End Rates#0#Bid%14</stp>
        <tr r="N10" s="14"/>
      </tp>
      <tp>
        <v>4.0163000000000002</v>
        <stp/>
        <stp>FWRC1#USDINR#Month End Rates#0#Bid%15</stp>
        <tr r="O10" s="14"/>
      </tp>
      <tp>
        <v>4.0671999999999997</v>
        <stp/>
        <stp>FWRC1#USDINR#Month End Rates#0#Ask%12</stp>
        <tr r="L11" s="14"/>
      </tp>
      <tp>
        <v>4.0144000000000002</v>
        <stp/>
        <stp>FWRC1#USDINR#Month End Rates#0#Ask%13</stp>
        <tr r="M11" s="14"/>
      </tp>
      <tp>
        <v>3.9125000000000001</v>
        <stp/>
        <stp>FWRC1#USDINR#Month End Rates#0#Ask%10</stp>
        <tr r="J11" s="14"/>
      </tp>
      <tp>
        <v>3.9357000000000002</v>
        <stp/>
        <stp>FWRC1#USDINR#Month End Rates#0#Ask%11</stp>
        <tr r="K11" s="14"/>
      </tp>
      <tp>
        <v>4.0507</v>
        <stp/>
        <stp>FWRC1#USDINR#Month End Rates#0#Ask%14</stp>
        <tr r="N11" s="14"/>
      </tp>
      <tp>
        <v>4.0452000000000004</v>
        <stp/>
        <stp>FWRC1#USDINR#Month End Rates#0#Ask%15</stp>
        <tr r="O11" s="14"/>
      </tp>
      <tp t="s">
        <v>12M</v>
        <stp/>
        <stp>FWRC1#GBPUSD#Month Wise Rates#0#S#Desc.18</stp>
        <tr r="O1" s="20"/>
      </tp>
      <tp t="s">
        <v>5M</v>
        <stp/>
        <stp>FWRC1#GBPUSD#Month Wise Rates#0#S#Desc.11</stp>
        <tr r="H1" s="20"/>
      </tp>
      <tp t="s">
        <v>4M</v>
        <stp/>
        <stp>FWRC1#GBPUSD#Month Wise Rates#0#S#Desc.10</stp>
        <tr r="G1" s="20"/>
      </tp>
      <tp t="s">
        <v>7M</v>
        <stp/>
        <stp>FWRC1#GBPUSD#Month Wise Rates#0#S#Desc.13</stp>
        <tr r="J1" s="20"/>
      </tp>
      <tp t="s">
        <v>6M</v>
        <stp/>
        <stp>FWRC1#GBPUSD#Month Wise Rates#0#S#Desc.12</stp>
        <tr r="I1" s="20"/>
      </tp>
      <tp t="s">
        <v>9M</v>
        <stp/>
        <stp>FWRC1#GBPUSD#Month Wise Rates#0#S#Desc.15</stp>
        <tr r="L1" s="20"/>
      </tp>
      <tp t="s">
        <v>8M</v>
        <stp/>
        <stp>FWRC1#GBPUSD#Month Wise Rates#0#S#Desc.14</stp>
        <tr r="K1" s="20"/>
      </tp>
      <tp t="s">
        <v>11M</v>
        <stp/>
        <stp>FWRC1#GBPUSD#Month Wise Rates#0#S#Desc.17</stp>
        <tr r="N1" s="20"/>
      </tp>
      <tp t="s">
        <v>10M</v>
        <stp/>
        <stp>FWRC1#GBPUSD#Month Wise Rates#0#S#Desc.16</stp>
        <tr r="M1" s="20"/>
      </tp>
      <tp>
        <v>82.525000000000006</v>
        <stp/>
        <stp>FWRC1#CHFINR#Month Wise Rates#0#Close0</stp>
        <tr r="H23" s="23"/>
        <tr r="K23" s="23"/>
        <tr r="N23" s="23"/>
        <tr r="E23" s="23"/>
        <tr r="I23" s="23"/>
        <tr r="F23" s="23"/>
        <tr r="B23" s="23"/>
        <tr r="C23" s="23"/>
        <tr r="G23" s="23"/>
        <tr r="J23" s="23"/>
        <tr r="L23" s="23"/>
        <tr r="M23" s="23"/>
        <tr r="D23" s="23"/>
      </tp>
      <tp>
        <v>3227.6295</v>
        <stp/>
        <stp>FWRC1#CHFINR#Month Wise Rates#0#Close7</stp>
        <tr r="C23" s="23"/>
      </tp>
      <tp>
        <v>9718.7919000000002</v>
        <stp/>
        <stp>FWRC1#CHFINR#Month Wise Rates#0#Close9</stp>
        <tr r="E23" s="23"/>
      </tp>
      <tp>
        <v>6376.6116000000002</v>
        <stp/>
        <stp>FWRC1#CHFINR#Month Wise Rates#0#Close8</stp>
        <tr r="D23" s="23"/>
      </tp>
      <tp>
        <v>3.7319</v>
        <stp/>
        <stp>FWRC1#USDINR#Month Wise Rates#0#Bid%9</stp>
        <tr r="F10" s="15"/>
      </tp>
      <tp>
        <v>3.6179999999999999</v>
        <stp/>
        <stp>FWRC1#USDINR#Month Wise Rates#0#Bid%8</stp>
        <tr r="E10" s="15"/>
      </tp>
      <tp>
        <v>3.3944999999999999</v>
        <stp/>
        <stp>FWRC1#USDINR#Month Wise Rates#0#Bid%7</stp>
        <tr r="D10" s="15"/>
      </tp>
      <tp t="s">
        <v/>
        <stp/>
        <stp>FWRC1#USDINR#Month Wise Rates#0#Bid%2</stp>
        <tr r="C10" s="15"/>
      </tp>
      <tp>
        <v>0.2114</v>
        <stp/>
        <stp>FWRC1#GBPUSD#Month Wise Rates#0#Ask%8</stp>
        <tr r="E11" s="20"/>
      </tp>
      <tp>
        <v>0.19750000000000001</v>
        <stp/>
        <stp>FWRC1#GBPUSD#Month Wise Rates#0#Ask%9</stp>
        <tr r="F11" s="20"/>
      </tp>
      <tp>
        <v>0.29120000000000001</v>
        <stp/>
        <stp>FWRC1#GBPUSD#Month Wise Rates#0#Ask%2</stp>
        <tr r="C11" s="20"/>
      </tp>
      <tp>
        <v>0.19939999999999999</v>
        <stp/>
        <stp>FWRC1#GBPUSD#Month Wise Rates#0#Ask%7</stp>
        <tr r="D11" s="20"/>
      </tp>
      <tp t="s">
        <v>12M</v>
        <stp/>
        <stp>FWRC1#EURUSD#Month Wise Rates#0#S#Desc.18</stp>
        <tr r="O1" s="19"/>
      </tp>
      <tp t="s">
        <v>7M</v>
        <stp/>
        <stp>FWRC1#EURUSD#Month Wise Rates#0#S#Desc.13</stp>
        <tr r="J1" s="19"/>
      </tp>
      <tp t="s">
        <v>6M</v>
        <stp/>
        <stp>FWRC1#EURUSD#Month Wise Rates#0#S#Desc.12</stp>
        <tr r="I1" s="19"/>
      </tp>
      <tp t="s">
        <v>5M</v>
        <stp/>
        <stp>FWRC1#EURUSD#Month Wise Rates#0#S#Desc.11</stp>
        <tr r="H1" s="19"/>
      </tp>
      <tp t="s">
        <v>4M</v>
        <stp/>
        <stp>FWRC1#EURUSD#Month Wise Rates#0#S#Desc.10</stp>
        <tr r="G1" s="19"/>
      </tp>
      <tp t="s">
        <v>11M</v>
        <stp/>
        <stp>FWRC1#EURUSD#Month Wise Rates#0#S#Desc.17</stp>
        <tr r="N1" s="19"/>
      </tp>
      <tp t="s">
        <v>10M</v>
        <stp/>
        <stp>FWRC1#EURUSD#Month Wise Rates#0#S#Desc.16</stp>
        <tr r="M1" s="19"/>
      </tp>
      <tp t="s">
        <v>9M</v>
        <stp/>
        <stp>FWRC1#EURUSD#Month Wise Rates#0#S#Desc.15</stp>
        <tr r="L1" s="19"/>
      </tp>
      <tp t="s">
        <v>8M</v>
        <stp/>
        <stp>FWRC1#EURUSD#Month Wise Rates#0#S#Desc.14</stp>
        <tr r="K1" s="19"/>
      </tp>
      <tp>
        <v>76.842500000000001</v>
        <stp/>
        <stp>FWRC1#USDINR#Month End Rates#0#FwdOutrightBid12</stp>
        <tr r="L7" s="14"/>
      </tp>
      <tp>
        <v>77.069999999999993</v>
        <stp/>
        <stp>FWRC1#USDINR#Month End Rates#0#FwdOutrightBid13</stp>
        <tr r="M7" s="14"/>
      </tp>
      <tp>
        <v>76.257499999999993</v>
        <stp/>
        <stp>FWRC1#USDINR#Month End Rates#0#FwdOutrightBid10</stp>
        <tr r="J7" s="14"/>
      </tp>
      <tp>
        <v>76.532499999999999</v>
        <stp/>
        <stp>FWRC1#USDINR#Month End Rates#0#FwdOutrightBid11</stp>
        <tr r="K7" s="14"/>
      </tp>
      <tp>
        <v>77.34</v>
        <stp/>
        <stp>FWRC1#USDINR#Month End Rates#0#FwdOutrightBid14</stp>
        <tr r="N7" s="14"/>
      </tp>
      <tp>
        <v>77.584999999999994</v>
        <stp/>
        <stp>FWRC1#USDINR#Month End Rates#0#FwdOutrightBid15</stp>
        <tr r="O7" s="14"/>
      </tp>
      <tp>
        <v>106</v>
        <stp/>
        <stp>12#2#1#6069#SUSDJPY#Open</stp>
        <tr r="B12" s="23"/>
        <tr r="E9" s="10"/>
      </tp>
      <tp>
        <v>99.877799999999993</v>
        <stp/>
        <stp>FWRC1#GBPINR#Month End Rates#0#FwdOutrightAsk8</stp>
        <tr r="H8" s="17"/>
      </tp>
      <tp>
        <v>100.20229999999999</v>
        <stp/>
        <stp>FWRC1#GBPINR#Month End Rates#0#FwdOutrightAsk9</stp>
        <tr r="I8" s="17"/>
      </tp>
      <tp>
        <v>98.513099999999994</v>
        <stp/>
        <stp>FWRC1#GBPINR#Month End Rates#0#FwdOutrightAsk4</stp>
        <tr r="D8" s="17"/>
      </tp>
      <tp>
        <v>98.816100000000006</v>
        <stp/>
        <stp>FWRC1#GBPINR#Month End Rates#0#FwdOutrightAsk5</stp>
        <tr r="E8" s="17"/>
      </tp>
      <tp>
        <v>99.124499999999998</v>
        <stp/>
        <stp>FWRC1#GBPINR#Month End Rates#0#FwdOutrightAsk6</stp>
        <tr r="F8" s="17"/>
      </tp>
      <tp>
        <v>99.496600000000001</v>
        <stp/>
        <stp>FWRC1#GBPINR#Month End Rates#0#FwdOutrightAsk7</stp>
        <tr r="G8" s="17"/>
      </tp>
      <tp>
        <v>98.381299999999996</v>
        <stp/>
        <stp>FWRC1#GBPINR#Month End Rates#0#FwdOutrightAsk1</stp>
        <tr r="C8" s="17"/>
        <tr r="D3" s="6"/>
      </tp>
      <tp>
        <v>98.388199999999998</v>
        <stp/>
        <stp>FWRC1#GBPINR#Month End Rates#0#FwdOutrightAsk3</stp>
        <tr r="F3" s="6"/>
      </tp>
      <tp>
        <v>0.90676999999999996</v>
        <stp/>
        <stp>12#2#1#6069#SUSDCHF#High</stp>
        <tr r="C13" s="23"/>
      </tp>
      <tp>
        <v>0.78269999999999995</v>
        <stp/>
        <stp>FWRC1#EURUSD#Month Wise Rates#0#Ask%8</stp>
        <tr r="E11" s="19"/>
      </tp>
      <tp>
        <v>0.77449999999999997</v>
        <stp/>
        <stp>FWRC1#EURUSD#Month Wise Rates#0#Ask%9</stp>
        <tr r="F11" s="19"/>
      </tp>
      <tp>
        <v>0.76690000000000003</v>
        <stp/>
        <stp>FWRC1#EURUSD#Month Wise Rates#0#Ask%2</stp>
        <tr r="C11" s="19"/>
      </tp>
      <tp>
        <v>0.76680000000000004</v>
        <stp/>
        <stp>FWRC1#EURUSD#Month Wise Rates#0#Ask%7</stp>
        <tr r="D11" s="19"/>
      </tp>
      <tp>
        <v>1.3683000000000001</v>
        <stp/>
        <stp>12#2#1#6069#SUSDSGD#High</stp>
        <tr r="C16" s="23"/>
      </tp>
      <tp>
        <v>0.7661</v>
        <stp/>
        <stp>FWRC1#EURUSD#Month Wise Rates#0#Bid%9</stp>
        <tr r="F10" s="19"/>
      </tp>
      <tp>
        <v>0.78100000000000003</v>
        <stp/>
        <stp>FWRC1#EURUSD#Month Wise Rates#0#Bid%8</stp>
        <tr r="E10" s="19"/>
      </tp>
      <tp>
        <v>0.70530000000000004</v>
        <stp/>
        <stp>FWRC1#EURUSD#Month Wise Rates#0#Bid%2</stp>
        <tr r="C10" s="19"/>
      </tp>
      <tp>
        <v>0.74760000000000004</v>
        <stp/>
        <stp>FWRC1#EURUSD#Month Wise Rates#0#Bid%7</stp>
        <tr r="D10" s="19"/>
      </tp>
      <tp>
        <v>76.5625</v>
        <stp/>
        <stp>FWRC1#USDINR#Month End Rates#0#FwdOutrightAsk11</stp>
        <tr r="K8" s="14"/>
      </tp>
      <tp>
        <v>76.287499999999994</v>
        <stp/>
        <stp>FWRC1#USDINR#Month End Rates#0#FwdOutrightAsk10</stp>
        <tr r="J8" s="14"/>
      </tp>
      <tp>
        <v>77.099999999999994</v>
        <stp/>
        <stp>FWRC1#USDINR#Month End Rates#0#FwdOutrightAsk13</stp>
        <tr r="M8" s="14"/>
      </tp>
      <tp>
        <v>76.872500000000002</v>
        <stp/>
        <stp>FWRC1#USDINR#Month End Rates#0#FwdOutrightAsk12</stp>
        <tr r="L8" s="14"/>
      </tp>
      <tp>
        <v>77.614999999999995</v>
        <stp/>
        <stp>FWRC1#USDINR#Month End Rates#0#FwdOutrightAsk15</stp>
        <tr r="O8" s="14"/>
      </tp>
      <tp>
        <v>77.37</v>
        <stp/>
        <stp>FWRC1#USDINR#Month End Rates#0#FwdOutrightAsk14</stp>
        <tr r="N8" s="14"/>
      </tp>
      <tp>
        <v>-3.36</v>
        <stp/>
        <stp>FWRC1#USDCAD#Month Wise Rates#0#Close9</stp>
        <tr r="E31" s="23"/>
      </tp>
      <tp>
        <v>-2.1</v>
        <stp/>
        <stp>FWRC1#USDCAD#Month Wise Rates#0#Close8</stp>
        <tr r="D31" s="23"/>
      </tp>
      <tp>
        <v>1.3162400000000001</v>
        <stp/>
        <stp>FWRC1#USDCAD#Month Wise Rates#0#Close0</stp>
        <tr r="N31" s="23"/>
        <tr r="H31" s="23"/>
        <tr r="B31" s="23"/>
        <tr r="F31" s="23"/>
        <tr r="M31" s="23"/>
        <tr r="G31" s="23"/>
        <tr r="L31" s="23"/>
        <tr r="D31" s="23"/>
        <tr r="I31" s="23"/>
        <tr r="C31" s="23"/>
        <tr r="J31" s="23"/>
        <tr r="E31" s="23"/>
        <tr r="K31" s="23"/>
      </tp>
      <tp>
        <v>-1.2</v>
        <stp/>
        <stp>FWRC1#USDCAD#Month Wise Rates#0#Close7</stp>
        <tr r="C31" s="23"/>
      </tp>
      <tp t="s">
        <v>20-Aug-2021</v>
        <stp/>
        <stp>FWRC1#EURUSD#Month Wise Rates#0#S#PillarDate18</stp>
        <tr r="O2" s="19"/>
      </tp>
      <tp t="s">
        <v>20-May-2021</v>
        <stp/>
        <stp>FWRC1#EURUSD#Month Wise Rates#0#S#PillarDate15</stp>
        <tr r="L2" s="19"/>
      </tp>
      <tp t="s">
        <v>20-Apr-2021</v>
        <stp/>
        <stp>FWRC1#EURUSD#Month Wise Rates#0#S#PillarDate14</stp>
        <tr r="K2" s="19"/>
      </tp>
      <tp t="s">
        <v>20-Jul-2021</v>
        <stp/>
        <stp>FWRC1#EURUSD#Month Wise Rates#0#S#PillarDate17</stp>
        <tr r="N2" s="19"/>
      </tp>
      <tp t="s">
        <v>21-Jun-2021</v>
        <stp/>
        <stp>FWRC1#EURUSD#Month Wise Rates#0#S#PillarDate16</stp>
        <tr r="M2" s="19"/>
      </tp>
      <tp t="s">
        <v>20-Jan-2021</v>
        <stp/>
        <stp>FWRC1#EURUSD#Month Wise Rates#0#S#PillarDate11</stp>
        <tr r="H2" s="19"/>
      </tp>
      <tp t="s">
        <v>21-Dec-2020</v>
        <stp/>
        <stp>FWRC1#EURUSD#Month Wise Rates#0#S#PillarDate10</stp>
        <tr r="G2" s="19"/>
      </tp>
      <tp t="s">
        <v>22-Mar-2021</v>
        <stp/>
        <stp>FWRC1#EURUSD#Month Wise Rates#0#S#PillarDate13</stp>
        <tr r="J2" s="19"/>
      </tp>
      <tp t="s">
        <v>22-Feb-2021</v>
        <stp/>
        <stp>FWRC1#EURUSD#Month Wise Rates#0#S#PillarDate12</stp>
        <tr r="I2" s="19"/>
      </tp>
      <tp>
        <v>90.472399999999993</v>
        <stp/>
        <stp>FWRC1#EURINR#Month End Rates#0#FwdOutrightBid8</stp>
        <tr r="H7" s="16"/>
      </tp>
      <tp>
        <v>90.811499999999995</v>
        <stp/>
        <stp>FWRC1#EURINR#Month End Rates#0#FwdOutrightBid9</stp>
        <tr r="I7" s="16"/>
      </tp>
      <tp>
        <v>89.073300000000003</v>
        <stp/>
        <stp>FWRC1#EURINR#Month End Rates#0#FwdOutrightBid4</stp>
        <tr r="D7" s="16"/>
      </tp>
      <tp>
        <v>89.379400000000004</v>
        <stp/>
        <stp>FWRC1#EURINR#Month End Rates#0#FwdOutrightBid5</stp>
        <tr r="E7" s="16"/>
      </tp>
      <tp>
        <v>89.697800000000001</v>
        <stp/>
        <stp>FWRC1#EURINR#Month End Rates#0#FwdOutrightBid6</stp>
        <tr r="F7" s="16"/>
      </tp>
      <tp>
        <v>90.081800000000001</v>
        <stp/>
        <stp>FWRC1#EURINR#Month End Rates#0#FwdOutrightBid7</stp>
        <tr r="G7" s="16"/>
      </tp>
      <tp>
        <v>88.932500000000005</v>
        <stp/>
        <stp>FWRC1#EURINR#Month End Rates#0#FwdOutrightBid1</stp>
        <tr r="D2" s="5"/>
        <tr r="C7" s="16"/>
      </tp>
      <tp>
        <v>88.946200000000005</v>
        <stp/>
        <stp>FWRC1#EURINR#Month End Rates#0#FwdOutrightBid3</stp>
        <tr r="F2" s="5"/>
      </tp>
      <tp>
        <v>-4.62</v>
        <stp/>
        <stp>12#1#1#6069#FUSDSGD\05M#LTP</stp>
        <tr r="G33" s="23"/>
      </tp>
      <tp>
        <v>-4.09</v>
        <stp/>
        <stp>12#1#1#6069#FUSDSGD\04M#LTP</stp>
        <tr r="F33" s="23"/>
      </tp>
      <tp>
        <v>-6.8643999999999998</v>
        <stp/>
        <stp>12#1#1#6069#FUSDSGD\07M#LTP</stp>
        <tr r="I33" s="23"/>
      </tp>
      <tp>
        <v>-5.75</v>
        <stp/>
        <stp>12#1#1#6069#FUSDSGD\06M#LTP</stp>
        <tr r="H33" s="23"/>
      </tp>
      <tp>
        <v>-0.65</v>
        <stp/>
        <stp>12#1#1#6069#FUSDSGD\01M#LTP</stp>
        <tr r="C33" s="23"/>
      </tp>
      <tp>
        <v>-2.2000000000000002</v>
        <stp/>
        <stp>12#1#1#6069#FUSDSGD\03M#LTP</stp>
        <tr r="E33" s="23"/>
      </tp>
      <tp>
        <v>-1.1100000000000001</v>
        <stp/>
        <stp>12#1#1#6069#FUSDSGD\02M#LTP</stp>
        <tr r="D33" s="23"/>
      </tp>
      <tp>
        <v>-9.2200000000000006</v>
        <stp/>
        <stp>12#1#1#6069#FUSDSGD\09M#LTP</stp>
        <tr r="K33" s="23"/>
      </tp>
      <tp>
        <v>-8.0185999999999993</v>
        <stp/>
        <stp>12#1#1#6069#FUSDSGD\08M#LTP</stp>
        <tr r="J33" s="23"/>
      </tp>
      <tp>
        <v>3.7786</v>
        <stp/>
        <stp>FWRC1#USDINR#Month Wise Rates#0#Ask%8</stp>
        <tr r="E11" s="15"/>
      </tp>
      <tp>
        <v>3.8386</v>
        <stp/>
        <stp>FWRC1#USDINR#Month Wise Rates#0#Ask%9</stp>
        <tr r="F11" s="15"/>
      </tp>
      <tp>
        <v>3.7000999999999999</v>
        <stp/>
        <stp>FWRC1#USDINR#Month Wise Rates#0#Ask%7</stp>
        <tr r="D11" s="15"/>
      </tp>
      <tp t="s">
        <v/>
        <stp/>
        <stp>FWRC1#USDINR#Month Wise Rates#0#Ask%2</stp>
        <tr r="C11" s="15"/>
      </tp>
      <tp>
        <v>0.1764</v>
        <stp/>
        <stp>FWRC1#GBPUSD#Month Wise Rates#0#Bid%9</stp>
        <tr r="F10" s="20"/>
      </tp>
      <tp>
        <v>0.18870000000000001</v>
        <stp/>
        <stp>FWRC1#GBPUSD#Month Wise Rates#0#Bid%8</stp>
        <tr r="E10" s="20"/>
      </tp>
      <tp>
        <v>6.93E-2</v>
        <stp/>
        <stp>FWRC1#GBPUSD#Month Wise Rates#0#Bid%2</stp>
        <tr r="C10" s="20"/>
      </tp>
      <tp>
        <v>0.1734</v>
        <stp/>
        <stp>FWRC1#GBPUSD#Month Wise Rates#0#Bid%7</stp>
        <tr r="D10" s="20"/>
      </tp>
      <tp t="s">
        <v>12M</v>
        <stp/>
        <stp>FWRC1#USDINR#Month Wise Rates#0#S#Desc.18</stp>
        <tr r="O1" s="15"/>
      </tp>
      <tp t="s">
        <v>9M</v>
        <stp/>
        <stp>FWRC1#USDINR#Month Wise Rates#0#S#Desc.15</stp>
        <tr r="L1" s="15"/>
      </tp>
      <tp t="s">
        <v>8M</v>
        <stp/>
        <stp>FWRC1#USDINR#Month Wise Rates#0#S#Desc.14</stp>
        <tr r="K1" s="15"/>
      </tp>
      <tp t="s">
        <v>11M</v>
        <stp/>
        <stp>FWRC1#USDINR#Month Wise Rates#0#S#Desc.17</stp>
        <tr r="N1" s="15"/>
      </tp>
      <tp t="s">
        <v>10M</v>
        <stp/>
        <stp>FWRC1#USDINR#Month Wise Rates#0#S#Desc.16</stp>
        <tr r="M1" s="15"/>
      </tp>
      <tp t="s">
        <v>5M</v>
        <stp/>
        <stp>FWRC1#USDINR#Month Wise Rates#0#S#Desc.11</stp>
        <tr r="H1" s="15"/>
      </tp>
      <tp t="s">
        <v>4M</v>
        <stp/>
        <stp>FWRC1#USDINR#Month Wise Rates#0#S#Desc.10</stp>
        <tr r="G1" s="15"/>
      </tp>
      <tp t="s">
        <v>7M</v>
        <stp/>
        <stp>FWRC1#USDINR#Month Wise Rates#0#S#Desc.13</stp>
        <tr r="J1" s="15"/>
      </tp>
      <tp t="s">
        <v>6M</v>
        <stp/>
        <stp>FWRC1#USDINR#Month Wise Rates#0#S#Desc.12</stp>
        <tr r="I1" s="15"/>
      </tp>
      <tp>
        <v>1.3180099999999999</v>
        <stp/>
        <stp>12#2#1#6031#SGBPUSD#High</stp>
        <tr r="C11" s="23"/>
        <tr r="F8" s="10"/>
      </tp>
      <tp>
        <v>-11.062200000000001</v>
        <stp/>
        <stp>12#1#1#6069#FUSDSGD\11M#LTP</stp>
        <tr r="M33" s="23"/>
      </tp>
      <tp>
        <v>-10.186400000000001</v>
        <stp/>
        <stp>12#1#1#6069#FUSDSGD\10M#LTP</stp>
        <tr r="L33" s="23"/>
      </tp>
      <tp>
        <v>-12</v>
        <stp/>
        <stp>12#1#1#6069#FUSDSGD\12M#LTP</stp>
        <tr r="N33" s="23"/>
      </tp>
      <tp>
        <v>-23.77</v>
        <stp/>
        <stp>FWRC1#USDCHF#Month Wise Rates#0#Close9</stp>
        <tr r="E30" s="23"/>
      </tp>
      <tp>
        <v>-16.05</v>
        <stp/>
        <stp>FWRC1#USDCHF#Month Wise Rates#0#Close8</stp>
        <tr r="D30" s="23"/>
      </tp>
      <tp>
        <v>54.75</v>
        <stp/>
        <stp>FWRC1#SGDINR#Month Wise Rates#0#Close0</stp>
        <tr r="G26" s="23"/>
        <tr r="F26" s="23"/>
        <tr r="C26" s="23"/>
        <tr r="J26" s="23"/>
        <tr r="E26" s="23"/>
        <tr r="I26" s="23"/>
        <tr r="N26" s="23"/>
        <tr r="K26" s="23"/>
        <tr r="M26" s="23"/>
        <tr r="B26" s="23"/>
        <tr r="D26" s="23"/>
        <tr r="L26" s="23"/>
        <tr r="H26" s="23"/>
      </tp>
      <tp>
        <v>1598.0428999999999</v>
        <stp/>
        <stp>FWRC1#SGDINR#Month Wise Rates#0#Close7</stp>
        <tr r="C26" s="23"/>
      </tp>
      <tp>
        <v>0.90542999999999996</v>
        <stp/>
        <stp>FWRC1#USDCHF#Month Wise Rates#0#Close0</stp>
        <tr r="K30" s="23"/>
        <tr r="F30" s="23"/>
        <tr r="J30" s="23"/>
        <tr r="C30" s="23"/>
        <tr r="E30" s="23"/>
        <tr r="M30" s="23"/>
        <tr r="I30" s="23"/>
        <tr r="B30" s="23"/>
        <tr r="N30" s="23"/>
        <tr r="L30" s="23"/>
        <tr r="G30" s="23"/>
        <tr r="H30" s="23"/>
        <tr r="D30" s="23"/>
      </tp>
      <tp>
        <v>4757.7484000000004</v>
        <stp/>
        <stp>FWRC1#SGDINR#Month Wise Rates#0#Close9</stp>
        <tr r="E26" s="23"/>
      </tp>
      <tp>
        <v>3051.1237000000001</v>
        <stp/>
        <stp>FWRC1#SGDINR#Month Wise Rates#0#Close8</stp>
        <tr r="D26" s="23"/>
      </tp>
      <tp>
        <v>-8.17</v>
        <stp/>
        <stp>FWRC1#USDCHF#Month Wise Rates#0#Close7</stp>
        <tr r="C30" s="23"/>
      </tp>
      <tp>
        <v>28026.702499999999</v>
        <stp/>
        <stp>FWRC1#JPYINR#Month End Rates#0#BidPrice14</stp>
        <tr r="N4" s="18"/>
      </tp>
      <tp>
        <v>30866.865000000002</v>
        <stp/>
        <stp>FWRC1#JPYINR#Month End Rates#0#BidPrice15</stp>
        <tr r="O4" s="18"/>
      </tp>
      <tp>
        <v>16431.165000000001</v>
        <stp/>
        <stp>FWRC1#JPYINR#Month End Rates#0#BidPrice10</stp>
        <tr r="J4" s="18"/>
      </tp>
      <tp>
        <v>19787.817500000001</v>
        <stp/>
        <stp>FWRC1#JPYINR#Month End Rates#0#BidPrice11</stp>
        <tr r="K4" s="18"/>
      </tp>
      <tp>
        <v>22490.134999999998</v>
        <stp/>
        <stp>FWRC1#JPYINR#Month End Rates#0#BidPrice12</stp>
        <tr r="L4" s="18"/>
      </tp>
      <tp>
        <v>25379.855</v>
        <stp/>
        <stp>FWRC1#JPYINR#Month End Rates#0#BidPrice13</stp>
        <tr r="M4" s="18"/>
      </tp>
      <tp>
        <v>28437.305</v>
        <stp/>
        <stp>FWRC1#JPYINR#Month End Rates#0#AskPrice14</stp>
        <tr r="N5" s="18"/>
      </tp>
      <tp>
        <v>31120.42</v>
        <stp/>
        <stp>FWRC1#JPYINR#Month End Rates#0#AskPrice15</stp>
        <tr r="O5" s="18"/>
      </tp>
      <tp>
        <v>22796.12</v>
        <stp/>
        <stp>FWRC1#JPYINR#Month End Rates#0#AskPrice12</stp>
        <tr r="L5" s="18"/>
      </tp>
      <tp>
        <v>25629.424999999999</v>
        <stp/>
        <stp>FWRC1#JPYINR#Month End Rates#0#AskPrice13</stp>
        <tr r="M5" s="18"/>
      </tp>
      <tp>
        <v>16722.9175</v>
        <stp/>
        <stp>FWRC1#JPYINR#Month End Rates#0#AskPrice10</stp>
        <tr r="J5" s="18"/>
      </tp>
      <tp>
        <v>20089.93</v>
        <stp/>
        <stp>FWRC1#JPYINR#Month End Rates#0#AskPrice11</stp>
        <tr r="K5" s="18"/>
      </tp>
      <tp>
        <v>75.784999999999997</v>
        <stp/>
        <stp>FWRC1#USDINR#Month End Rates#0#FwdOutrightBid8</stp>
        <tr r="H7" s="14"/>
      </tp>
      <tp>
        <v>76.027500000000003</v>
        <stp/>
        <stp>FWRC1#USDINR#Month End Rates#0#FwdOutrightBid9</stp>
        <tr r="I7" s="14"/>
      </tp>
      <tp>
        <v>74.819999999999993</v>
        <stp/>
        <stp>FWRC1#USDINR#Month End Rates#0#FwdOutrightBid4</stp>
        <tr r="D7" s="14"/>
      </tp>
      <tp>
        <v>75.045000000000002</v>
        <stp/>
        <stp>FWRC1#USDINR#Month End Rates#0#FwdOutrightBid5</stp>
        <tr r="E7" s="14"/>
      </tp>
      <tp>
        <v>75.28</v>
        <stp/>
        <stp>FWRC1#USDINR#Month End Rates#0#FwdOutrightBid6</stp>
        <tr r="F7" s="14"/>
      </tp>
      <tp>
        <v>75.515000000000001</v>
        <stp/>
        <stp>FWRC1#USDINR#Month End Rates#0#FwdOutrightBid7</stp>
        <tr r="G7" s="14"/>
      </tp>
      <tp>
        <v>74.734999999999999</v>
        <stp/>
        <stp>FWRC1#USDINR#Month End Rates#0#FwdOutrightBid1</stp>
        <tr r="D2" s="4"/>
        <tr r="C7" s="14"/>
      </tp>
      <tp>
        <v>74.745000000000005</v>
        <stp/>
        <stp>FWRC1#USDINR#Month End Rates#0#FwdOutrightBid3</stp>
        <tr r="F2" s="4"/>
      </tp>
      <tp>
        <v>56.777500000000003</v>
        <stp/>
        <stp>FWRC1#CADINR#Month Wise Rates#0#Close0</stp>
        <tr r="N24" s="23"/>
        <tr r="G24" s="23"/>
        <tr r="F24" s="23"/>
        <tr r="B24" s="23"/>
        <tr r="J24" s="23"/>
        <tr r="H24" s="23"/>
        <tr r="L24" s="23"/>
        <tr r="C24" s="23"/>
        <tr r="I24" s="23"/>
        <tr r="K24" s="23"/>
        <tr r="D24" s="23"/>
        <tr r="E24" s="23"/>
        <tr r="M24" s="23"/>
      </tp>
      <tp>
        <v>1758.0432000000001</v>
        <stp/>
        <stp>FWRC1#CADINR#Month Wise Rates#0#Close7</stp>
        <tr r="C24" s="23"/>
      </tp>
      <tp>
        <v>5296.1876000000002</v>
        <stp/>
        <stp>FWRC1#CADINR#Month Wise Rates#0#Close9</stp>
        <tr r="E24" s="23"/>
      </tp>
      <tp>
        <v>3475.0787</v>
        <stp/>
        <stp>FWRC1#CADINR#Month Wise Rates#0#Close8</stp>
        <tr r="D24" s="23"/>
      </tp>
      <tp>
        <v>0.72397</v>
        <stp/>
        <stp>12#2#1#5903#SAUDUSD#High</stp>
        <tr r="C15" s="23"/>
      </tp>
      <tp>
        <v>1.19153</v>
        <stp/>
        <stp>12#2#1#5949#SEURUSD#High</stp>
        <tr r="C10" s="23"/>
        <tr r="F7" s="10"/>
      </tp>
      <tp>
        <v>1.32317</v>
        <stp/>
        <stp>12#2#1#6069#SUSDCAD#High</stp>
        <tr r="C14" s="23"/>
      </tp>
      <tp>
        <v>25090.47</v>
        <stp/>
        <stp>FWRC1#GBPINR#Month End Rates#0#Close11</stp>
        <tr r="J21" s="23"/>
      </tp>
      <tp>
        <v>20883.877499999999</v>
        <stp/>
        <stp>FWRC1#GBPINR#Month End Rates#0#Close10</stp>
        <tr r="I21" s="23"/>
      </tp>
      <tp>
        <v>32014.477500000001</v>
        <stp/>
        <stp>FWRC1#GBPINR#Month End Rates#0#Close13</stp>
        <tr r="L21" s="23"/>
      </tp>
      <tp>
        <v>28480.76</v>
        <stp/>
        <stp>FWRC1#GBPINR#Month End Rates#0#Close12</stp>
        <tr r="K21" s="23"/>
      </tp>
      <tp>
        <v>38759.622499999998</v>
        <stp/>
        <stp>FWRC1#GBPINR#Month End Rates#0#Close15</stp>
        <tr r="N21" s="23"/>
      </tp>
      <tp>
        <v>35453.827499999999</v>
        <stp/>
        <stp>FWRC1#GBPINR#Month End Rates#0#Close14</stp>
        <tr r="M21" s="23"/>
      </tp>
      <tp>
        <v>71.925299999999993</v>
        <stp/>
        <stp>FWRC1#JPYINR#Month End Rates#0#FwdOutrightBid8</stp>
        <tr r="H7" s="18"/>
      </tp>
      <tp>
        <v>72.184799999999996</v>
        <stp/>
        <stp>FWRC1#JPYINR#Month End Rates#0#FwdOutrightBid9</stp>
        <tr r="I7" s="18"/>
      </tp>
      <tp>
        <v>70.862399999999994</v>
        <stp/>
        <stp>FWRC1#JPYINR#Month End Rates#0#FwdOutrightBid4</stp>
        <tr r="D7" s="18"/>
      </tp>
      <tp>
        <v>71.093199999999996</v>
        <stp/>
        <stp>FWRC1#JPYINR#Month End Rates#0#FwdOutrightBid5</stp>
        <tr r="E7" s="18"/>
      </tp>
      <tp>
        <v>71.321600000000004</v>
        <stp/>
        <stp>FWRC1#JPYINR#Month End Rates#0#FwdOutrightBid6</stp>
        <tr r="F7" s="18"/>
      </tp>
      <tp>
        <v>71.606800000000007</v>
        <stp/>
        <stp>FWRC1#JPYINR#Month End Rates#0#FwdOutrightBid7</stp>
        <tr r="G7" s="18"/>
      </tp>
      <tp>
        <v>70.764300000000006</v>
        <stp/>
        <stp>FWRC1#JPYINR#Month End Rates#0#FwdOutrightBid1</stp>
        <tr r="D2" s="7"/>
        <tr r="C7" s="18"/>
      </tp>
      <tp>
        <v>70.774699999999996</v>
        <stp/>
        <stp>FWRC1#JPYINR#Month End Rates#0#FwdOutrightBid3</stp>
        <tr r="F2" s="7"/>
      </tp>
      <tp>
        <v>22.98</v>
        <stp/>
        <stp>FWRC1#EURUSD#Month Wise Rates#0#Close9</stp>
        <tr r="E27" s="23"/>
      </tp>
      <tp>
        <v>15.534000000000001</v>
        <stp/>
        <stp>FWRC1#EURUSD#Month Wise Rates#0#Close8</stp>
        <tr r="D27" s="23"/>
      </tp>
      <tp>
        <v>7.8</v>
        <stp/>
        <stp>FWRC1#EURUSD#Month Wise Rates#0#Close7</stp>
        <tr r="C27" s="23"/>
      </tp>
      <tp>
        <v>1.19007</v>
        <stp/>
        <stp>FWRC1#EURUSD#Month Wise Rates#0#Close0</stp>
        <tr r="G27" s="23"/>
        <tr r="M27" s="23"/>
        <tr r="K27" s="23"/>
        <tr r="L27" s="23"/>
        <tr r="H27" s="23"/>
        <tr r="F27" s="23"/>
        <tr r="I27" s="23"/>
        <tr r="J27" s="23"/>
        <tr r="C27" s="23"/>
        <tr r="D27" s="23"/>
        <tr r="E27" s="23"/>
        <tr r="B27" s="23"/>
        <tr r="N27" s="23"/>
      </tp>
      <tp>
        <v>1.52</v>
        <stp/>
        <stp>FWRC1#AUDUSD#Month Wise Rates#0#Close9</stp>
        <tr r="E32" s="23"/>
      </tp>
      <tp>
        <v>1.06</v>
        <stp/>
        <stp>FWRC1#AUDUSD#Month Wise Rates#0#Close8</stp>
        <tr r="D32" s="23"/>
      </tp>
      <tp>
        <v>0.54</v>
        <stp/>
        <stp>FWRC1#AUDUSD#Month Wise Rates#0#Close7</stp>
        <tr r="C32" s="23"/>
      </tp>
      <tp>
        <v>0.72299999999999998</v>
        <stp/>
        <stp>FWRC1#AUDUSD#Month Wise Rates#0#Close0</stp>
        <tr r="E32" s="23"/>
        <tr r="K32" s="23"/>
        <tr r="F32" s="23"/>
        <tr r="H32" s="23"/>
        <tr r="D32" s="23"/>
        <tr r="B32" s="23"/>
        <tr r="N32" s="23"/>
        <tr r="C32" s="23"/>
        <tr r="I32" s="23"/>
        <tr r="G32" s="23"/>
        <tr r="L32" s="23"/>
        <tr r="J32" s="23"/>
        <tr r="M32" s="23"/>
      </tp>
      <tp>
        <v>0.26550000000000001</v>
        <stp/>
        <stp>47#5#1#5629#GBP1Y.LIBOR#LTP</stp>
        <tr r="I4" s="8"/>
        <tr r="P38" s="23"/>
      </tp>
      <tp>
        <v>-0.35214000000000001</v>
        <stp/>
        <stp>47#5#1#5629#EUR1Y.LIBOR#LTP</stp>
        <tr r="I3" s="8"/>
        <tr r="P37" s="23"/>
      </tp>
      <tp>
        <v>1.3186</v>
        <stp/>
        <stp>FWRC1#GBPUSD#Month Wise Rates#0#FwdOutrightAsk18</stp>
        <tr r="O8" s="20"/>
      </tp>
      <tp>
        <v>1.3179000000000001</v>
        <stp/>
        <stp>FWRC1#GBPUSD#Month Wise Rates#0#FwdOutrightAsk12</stp>
        <tr r="I8" s="20"/>
      </tp>
      <tp>
        <v>1.3178000000000001</v>
        <stp/>
        <stp>FWRC1#GBPUSD#Month Wise Rates#0#FwdOutrightAsk13</stp>
        <tr r="J8" s="20"/>
      </tp>
      <tp>
        <v>1.3170999999999999</v>
        <stp/>
        <stp>FWRC1#GBPUSD#Month Wise Rates#0#FwdOutrightAsk10</stp>
        <tr r="G8" s="20"/>
      </tp>
      <tp>
        <v>1.3176000000000001</v>
        <stp/>
        <stp>FWRC1#GBPUSD#Month Wise Rates#0#FwdOutrightAsk11</stp>
        <tr r="H8" s="20"/>
      </tp>
      <tp>
        <v>1.3183</v>
        <stp/>
        <stp>FWRC1#GBPUSD#Month Wise Rates#0#FwdOutrightAsk16</stp>
        <tr r="M8" s="20"/>
      </tp>
      <tp>
        <v>1.3186</v>
        <stp/>
        <stp>FWRC1#GBPUSD#Month Wise Rates#0#FwdOutrightAsk17</stp>
        <tr r="N8" s="20"/>
      </tp>
      <tp>
        <v>1.3181</v>
        <stp/>
        <stp>FWRC1#GBPUSD#Month Wise Rates#0#FwdOutrightAsk14</stp>
        <tr r="K8" s="20"/>
      </tp>
      <tp>
        <v>1.3183</v>
        <stp/>
        <stp>FWRC1#GBPUSD#Month Wise Rates#0#FwdOutrightAsk15</stp>
        <tr r="L8" s="20"/>
      </tp>
      <tp>
        <v>1.1998</v>
        <stp/>
        <stp>FWRC1#EURUSD#Month Wise Rates#0#FwdOutrightAsk18</stp>
        <tr r="O8" s="19"/>
      </tp>
      <tp>
        <v>1.1973</v>
        <stp/>
        <stp>FWRC1#EURUSD#Month Wise Rates#0#FwdOutrightAsk15</stp>
        <tr r="L8" s="19"/>
      </tp>
      <tp>
        <v>1.1969000000000001</v>
        <stp/>
        <stp>FWRC1#EURUSD#Month Wise Rates#0#FwdOutrightAsk14</stp>
        <tr r="K8" s="19"/>
      </tp>
      <tp>
        <v>1.1991000000000001</v>
        <stp/>
        <stp>FWRC1#EURUSD#Month Wise Rates#0#FwdOutrightAsk17</stp>
        <tr r="N8" s="19"/>
      </tp>
      <tp>
        <v>1.1983999999999999</v>
        <stp/>
        <stp>FWRC1#EURUSD#Month Wise Rates#0#FwdOutrightAsk16</stp>
        <tr r="M8" s="19"/>
      </tp>
      <tp>
        <v>1.1942999999999999</v>
        <stp/>
        <stp>FWRC1#EURUSD#Month Wise Rates#0#FwdOutrightAsk11</stp>
        <tr r="H8" s="19"/>
      </tp>
      <tp>
        <v>1.1931</v>
        <stp/>
        <stp>FWRC1#EURUSD#Month Wise Rates#0#FwdOutrightAsk10</stp>
        <tr r="G8" s="19"/>
      </tp>
      <tp>
        <v>1.1961999999999999</v>
        <stp/>
        <stp>FWRC1#EURUSD#Month Wise Rates#0#FwdOutrightAsk13</stp>
        <tr r="J8" s="19"/>
      </tp>
      <tp>
        <v>1.1951000000000001</v>
        <stp/>
        <stp>FWRC1#EURUSD#Month Wise Rates#0#FwdOutrightAsk12</stp>
        <tr r="I8" s="19"/>
      </tp>
      <tp>
        <v>-8.5999999999999993E-2</v>
        <stp/>
        <stp>47#5#1#5629#JPY1W.LIBOR#LTP</stp>
        <tr r="C39" s="23"/>
      </tp>
      <tp>
        <v>0.11071</v>
        <stp/>
        <stp>47#5#1#5629#JPY2W.LIBOR#LTP</stp>
        <tr r="D39" s="23"/>
      </tp>
      <tp>
        <v>0.83313000000000004</v>
        <stp/>
        <stp>47#5#1#5629#GBP11M.LIBOR#LTP</stp>
        <tr r="O38" s="23"/>
      </tp>
      <tp>
        <v>0.77937999999999996</v>
        <stp/>
        <stp>47#5#1#5629#GBP10M.LIBOR#LTP</stp>
        <tr r="N38" s="23"/>
      </tp>
      <tp t="s">
        <v>SGDINRCOMP</v>
        <stp/>
        <stp>17#3#1#6041#SGDINRCOMP#S#Descr.</stp>
        <tr r="A9" s="23"/>
        <tr r="A26" s="23"/>
      </tp>
      <tp>
        <v>9441.8914000000004</v>
        <stp/>
        <stp>FWRC1#GBPINR#Month Wise Rates#0#BidPrice9</stp>
        <tr r="G6" s="22"/>
      </tp>
      <tp>
        <v>6226.1277</v>
        <stp/>
        <stp>FWRC1#GBPINR#Month Wise Rates#0#BidPrice8</stp>
        <tr r="G5" s="22"/>
      </tp>
      <tp>
        <v>98.37</v>
        <stp/>
        <stp>FWRC1#GBPINR#Month Wise Rates#0#BidPrice0</stp>
        <tr r="G3" s="22"/>
      </tp>
      <tp>
        <v>3148.6716999999999</v>
        <stp/>
        <stp>FWRC1#GBPINR#Month Wise Rates#0#BidPrice7</stp>
        <tr r="G4" s="22"/>
      </tp>
      <tp t="s">
        <v>USDINRCOMP</v>
        <stp/>
        <stp>17#1#1#6069#USDINRCOMP#S#Descr.</stp>
        <tr r="A2" s="23"/>
        <tr r="A19" s="23"/>
      </tp>
      <tp>
        <v>8.4750000000000006E-2</v>
        <stp/>
        <stp>47#5#1#5629#USDON.LIBOR#LTP</stp>
        <tr r="B36" s="23"/>
      </tp>
      <tp>
        <v>31</v>
        <stp/>
        <stp>FWRC1#USDINR#Month End Rates#0#AskPrice5</stp>
        <tr r="E5" s="14"/>
      </tp>
      <tp>
        <v>54.5</v>
        <stp/>
        <stp>FWRC1#USDINR#Month End Rates#0#AskPrice6</stp>
        <tr r="F5" s="14"/>
      </tp>
      <tp>
        <v>78</v>
        <stp/>
        <stp>FWRC1#USDINR#Month End Rates#0#AskPrice7</stp>
        <tr r="G5" s="14"/>
      </tp>
      <tp>
        <v>74.765000000000001</v>
        <stp/>
        <stp>FWRC1#USDINR#Month End Rates#0#AskPrice0</stp>
        <tr r="B3" s="4"/>
      </tp>
      <tp>
        <v>2</v>
        <stp/>
        <stp>FWRC1#USDINR#Month End Rates#0#AskPrice2</stp>
        <tr r="C3" s="4"/>
      </tp>
      <tp>
        <v>1</v>
        <stp/>
        <stp>FWRC1#USDINR#Month End Rates#0#AskPrice3</stp>
        <tr r="E3" s="4"/>
      </tp>
      <tp>
        <v>105</v>
        <stp/>
        <stp>FWRC1#USDINR#Month End Rates#0#AskPrice8</stp>
        <tr r="H5" s="14"/>
      </tp>
      <tp>
        <v>129.25</v>
        <stp/>
        <stp>FWRC1#USDINR#Month End Rates#0#AskPrice9</stp>
        <tr r="I5" s="14"/>
      </tp>
      <tp>
        <v>0.36725999999999998</v>
        <stp/>
        <stp>47#5#1#5629#USD5M.LIBOR#LTP</stp>
        <tr r="F2" s="8"/>
        <tr r="I36" s="23"/>
      </tp>
      <tp>
        <v>0.31709999999999999</v>
        <stp/>
        <stp>47#5#1#5629#USD4M.LIBOR#LTP</stp>
        <tr r="H36" s="23"/>
        <tr r="E2" s="8"/>
      </tp>
      <tp>
        <v>0.46740999999999999</v>
        <stp/>
        <stp>47#5#1#5629#USD7M.LIBOR#LTP</stp>
        <tr r="K36" s="23"/>
      </tp>
      <tp>
        <v>0.31963000000000003</v>
        <stp/>
        <stp>47#5#1#5629#USD6M.LIBOR#LTP</stp>
        <tr r="G2" s="8"/>
        <tr r="J36" s="23"/>
      </tp>
      <tp>
        <v>0.16138</v>
        <stp/>
        <stp>47#5#1#5629#USD1M.LIBOR#LTP</stp>
        <tr r="B2" s="8"/>
        <tr r="E36" s="23"/>
      </tp>
      <tp>
        <v>0.26774999999999999</v>
        <stp/>
        <stp>47#5#1#5629#USD3M.LIBOR#LTP</stp>
        <tr r="D2" s="8"/>
        <tr r="G36" s="23"/>
      </tp>
      <tp>
        <v>0.20888000000000001</v>
        <stp/>
        <stp>47#5#1#5629#USD2M.LIBOR#LTP</stp>
        <tr r="F36" s="23"/>
        <tr r="C2" s="8"/>
      </tp>
      <tp>
        <v>0.55079999999999996</v>
        <stp/>
        <stp>47#5#1#5629#USD9M.LIBOR#LTP</stp>
        <tr r="H2" s="8"/>
        <tr r="M36" s="23"/>
      </tp>
      <tp>
        <v>0.51214999999999999</v>
        <stp/>
        <stp>47#5#1#5629#USD8M.LIBOR#LTP</stp>
        <tr r="L36" s="23"/>
      </tp>
      <tp>
        <v>4211.1324999999997</v>
        <stp/>
        <stp>FWRC1#GBPINR#Month End Rates#0#AskPrice5</stp>
        <tr r="E5" s="17"/>
      </tp>
      <tp>
        <v>1180.6375</v>
        <stp/>
        <stp>FWRC1#GBPINR#Month End Rates#0#AskPrice4</stp>
        <tr r="D5" s="17"/>
      </tp>
      <tp>
        <v>11016.3675</v>
        <stp/>
        <stp>FWRC1#GBPINR#Month End Rates#0#AskPrice7</stp>
        <tr r="G5" s="17"/>
      </tp>
      <tp>
        <v>7295.45</v>
        <stp/>
        <stp>FWRC1#GBPINR#Month End Rates#0#AskPrice6</stp>
        <tr r="F5" s="17"/>
      </tp>
      <tp>
        <v>98.394999999999996</v>
        <stp/>
        <stp>FWRC1#GBPINR#Month End Rates#0#AskPrice0</stp>
        <tr r="B3" s="6"/>
      </tp>
      <tp>
        <v>139.65350000000001</v>
        <stp/>
        <stp>FWRC1#GBPINR#Month End Rates#0#AskPrice3</stp>
        <tr r="E3" s="6"/>
      </tp>
      <tp>
        <v>277.95339999999999</v>
        <stp/>
        <stp>FWRC1#GBPINR#Month End Rates#0#AskPrice2</stp>
        <tr r="C5" s="17"/>
        <tr r="C3" s="6"/>
      </tp>
      <tp>
        <v>18072.544999999998</v>
        <stp/>
        <stp>FWRC1#GBPINR#Month End Rates#0#AskPrice9</stp>
        <tr r="I5" s="17"/>
      </tp>
      <tp>
        <v>14828.14</v>
        <stp/>
        <stp>FWRC1#GBPINR#Month End Rates#0#AskPrice8</stp>
        <tr r="H5" s="17"/>
      </tp>
      <tp>
        <v>2.7498999999999998</v>
        <stp/>
        <stp>FWRC1#EURINR#Month End Rates#0#AskPrice2</stp>
        <tr r="C5" s="16"/>
        <tr r="C3" s="5"/>
      </tp>
      <tp>
        <v>1.3769</v>
        <stp/>
        <stp>FWRC1#EURINR#Month End Rates#0#AskPrice3</stp>
        <tr r="E3" s="5"/>
      </tp>
      <tp>
        <v>88.98</v>
        <stp/>
        <stp>FWRC1#EURINR#Month End Rates#0#AskPrice0</stp>
        <tr r="B3" s="5"/>
      </tp>
      <tp>
        <v>75.747500000000002</v>
        <stp/>
        <stp>FWRC1#EURINR#Month End Rates#0#AskPrice6</stp>
        <tr r="F5" s="16"/>
      </tp>
      <tp>
        <v>114.32</v>
        <stp/>
        <stp>FWRC1#EURINR#Month End Rates#0#AskPrice7</stp>
        <tr r="G5" s="16"/>
      </tp>
      <tp>
        <v>12.195</v>
        <stp/>
        <stp>FWRC1#EURINR#Month End Rates#0#AskPrice4</stp>
        <tr r="D5" s="16"/>
      </tp>
      <tp>
        <v>43.572499999999998</v>
        <stp/>
        <stp>FWRC1#EURINR#Month End Rates#0#AskPrice5</stp>
        <tr r="E5" s="16"/>
      </tp>
      <tp>
        <v>153.72499999999999</v>
        <stp/>
        <stp>FWRC1#EURINR#Month End Rates#0#AskPrice8</stp>
        <tr r="H5" s="16"/>
      </tp>
      <tp>
        <v>187.70249999999999</v>
        <stp/>
        <stp>FWRC1#EURINR#Month End Rates#0#AskPrice9</stp>
        <tr r="I5" s="16"/>
      </tp>
      <tp>
        <v>8460.0949999999993</v>
        <stp/>
        <stp>FWRC1#JPYINR#Month End Rates#0#AskPrice7</stp>
        <tr r="G5" s="18"/>
      </tp>
      <tp>
        <v>5520.6149999999998</v>
        <stp/>
        <stp>FWRC1#JPYINR#Month End Rates#0#AskPrice6</stp>
        <tr r="F5" s="18"/>
      </tp>
      <tp>
        <v>3217.1550000000002</v>
        <stp/>
        <stp>FWRC1#JPYINR#Month End Rates#0#AskPrice5</stp>
        <tr r="E5" s="18"/>
      </tp>
      <tp>
        <v>838.09749999999997</v>
        <stp/>
        <stp>FWRC1#JPYINR#Month End Rates#0#AskPrice4</stp>
        <tr r="D5" s="18"/>
      </tp>
      <tp>
        <v>102.7402</v>
        <stp/>
        <stp>FWRC1#JPYINR#Month End Rates#0#AskPrice3</stp>
        <tr r="E3" s="7"/>
      </tp>
      <tp>
        <v>206.7792</v>
        <stp/>
        <stp>FWRC1#JPYINR#Month End Rates#0#AskPrice2</stp>
        <tr r="C5" s="18"/>
        <tr r="C3" s="7"/>
      </tp>
      <tp>
        <v>70.795000000000002</v>
        <stp/>
        <stp>FWRC1#JPYINR#Month End Rates#0#AskPrice0</stp>
        <tr r="B3" s="7"/>
      </tp>
      <tp>
        <v>14236.852500000001</v>
        <stp/>
        <stp>FWRC1#JPYINR#Month End Rates#0#AskPrice9</stp>
        <tr r="I5" s="18"/>
      </tp>
      <tp>
        <v>11658.405000000001</v>
        <stp/>
        <stp>FWRC1#JPYINR#Month End Rates#0#AskPrice8</stp>
        <tr r="H5" s="18"/>
      </tp>
      <tp>
        <v>98.7119</v>
        <stp/>
        <stp>FWRC1#EURINR#Month Wise Rates#0#BidPrice9</stp>
        <tr r="E6" s="22"/>
      </tp>
      <tp>
        <v>65.000100000000003</v>
        <stp/>
        <stp>FWRC1#EURINR#Month Wise Rates#0#BidPrice8</stp>
        <tr r="E5" s="22"/>
      </tp>
      <tp>
        <v>88.96</v>
        <stp/>
        <stp>FWRC1#EURINR#Month Wise Rates#0#BidPrice0</stp>
        <tr r="E3" s="22"/>
      </tp>
      <tp>
        <v>32.942700000000002</v>
        <stp/>
        <stp>FWRC1#EURINR#Month Wise Rates#0#BidPrice7</stp>
        <tr r="E4" s="22"/>
      </tp>
      <tp>
        <v>70.795000000000002</v>
        <stp/>
        <stp>FWRC1#JPYINR#Month Wise Rates#0#AskPrice0</stp>
        <tr r="J3" s="22"/>
      </tp>
      <tp>
        <v>2590.4834999999998</v>
        <stp/>
        <stp>FWRC1#JPYINR#Month Wise Rates#0#AskPrice7</stp>
        <tr r="J4" s="22"/>
      </tp>
      <tp>
        <v>7464.4916000000003</v>
        <stp/>
        <stp>FWRC1#JPYINR#Month Wise Rates#0#AskPrice9</stp>
        <tr r="J6" s="22"/>
      </tp>
      <tp>
        <v>4986.5914000000002</v>
        <stp/>
        <stp>FWRC1#JPYINR#Month Wise Rates#0#AskPrice8</stp>
        <tr r="J5" s="22"/>
      </tp>
      <tp>
        <v>-0.17</v>
        <stp/>
        <stp>17#1#1#6069#USDINRCOMP#%Chg</stp>
        <tr r="D3" s="10"/>
      </tp>
      <tp>
        <v>0</v>
        <stp/>
        <stp>17#3#1#5949#EURINRCOMP#52WkHigh</stp>
        <tr r="I4" s="10"/>
        <tr r="J4" s="10"/>
      </tp>
      <tp>
        <v>-7.83</v>
        <stp/>
        <stp>FWRC1#USDJPY#Month Wise Rates#0#AskPrice8</stp>
        <tr r="E5" s="21"/>
        <tr r="P5" s="22"/>
      </tp>
      <tp>
        <v>-11.85</v>
        <stp/>
        <stp>FWRC1#USDJPY#Month Wise Rates#0#AskPrice9</stp>
        <tr r="P6" s="22"/>
        <tr r="F5" s="21"/>
      </tp>
      <tp>
        <v>-3.54</v>
        <stp/>
        <stp>FWRC1#USDJPY#Month Wise Rates#0#AskPrice7</stp>
        <tr r="D5" s="21"/>
        <tr r="P4" s="22"/>
      </tp>
      <tp>
        <v>-0.04</v>
        <stp/>
        <stp>FWRC1#USDJPY#Month Wise Rates#0#AskPrice2</stp>
        <tr r="C5" s="21"/>
      </tp>
      <tp>
        <v>105.54900000000001</v>
        <stp/>
        <stp>FWRC1#USDJPY#Month Wise Rates#0#AskPrice0</stp>
        <tr r="P3" s="22"/>
      </tp>
      <tp>
        <v>0</v>
        <stp/>
        <stp>17#3#1#5978#JPYINRCOMP#52WkHigh</stp>
        <tr r="I6" s="10"/>
      </tp>
      <tp>
        <v>-12.1</v>
        <stp/>
        <stp>FWRC1#USDJPY#Month Wise Rates#0#BidPrice9</stp>
        <tr r="O6" s="22"/>
        <tr r="F4" s="21"/>
      </tp>
      <tp>
        <v>-8.1199999999999992</v>
        <stp/>
        <stp>FWRC1#USDJPY#Month Wise Rates#0#BidPrice8</stp>
        <tr r="E4" s="21"/>
        <tr r="O5" s="22"/>
      </tp>
      <tp>
        <v>-3.64</v>
        <stp/>
        <stp>FWRC1#USDJPY#Month Wise Rates#0#BidPrice7</stp>
        <tr r="D4" s="21"/>
        <tr r="O4" s="22"/>
      </tp>
      <tp>
        <v>105.547</v>
        <stp/>
        <stp>FWRC1#USDJPY#Month Wise Rates#0#BidPrice0</stp>
        <tr r="O3" s="22"/>
      </tp>
      <tp>
        <v>-0.12</v>
        <stp/>
        <stp>FWRC1#USDJPY#Month Wise Rates#0#BidPrice2</stp>
        <tr r="C4" s="21"/>
      </tp>
      <tp>
        <v>76</v>
        <stp/>
        <stp>FWRC1#USDINR#Month End Rates#0#BidPrice7</stp>
        <tr r="G4" s="14"/>
      </tp>
      <tp>
        <v>52.5</v>
        <stp/>
        <stp>FWRC1#USDINR#Month End Rates#0#BidPrice6</stp>
        <tr r="F4" s="14"/>
      </tp>
      <tp>
        <v>29</v>
        <stp/>
        <stp>FWRC1#USDINR#Month End Rates#0#BidPrice5</stp>
        <tr r="E4" s="14"/>
      </tp>
      <tp>
        <v>6.5</v>
        <stp/>
        <stp>FWRC1#USDINR#Month End Rates#0#BidPrice4</stp>
        <tr r="D4" s="14"/>
        <tr r="D5" s="14"/>
      </tp>
      <tp>
        <v>0.5</v>
        <stp/>
        <stp>FWRC1#USDINR#Month End Rates#0#BidPrice3</stp>
        <tr r="E2" s="4"/>
      </tp>
      <tp>
        <v>1</v>
        <stp/>
        <stp>FWRC1#USDINR#Month End Rates#0#BidPrice2</stp>
        <tr r="C4" s="14"/>
        <tr r="C5" s="14"/>
        <tr r="C2" s="4"/>
      </tp>
      <tp>
        <v>74.754999999999995</v>
        <stp/>
        <stp>FWRC1#USDINR#Month End Rates#0#BidPrice0</stp>
        <tr r="B2" s="4"/>
      </tp>
      <tp>
        <v>127.25</v>
        <stp/>
        <stp>FWRC1#USDINR#Month End Rates#0#BidPrice9</stp>
        <tr r="I4" s="14"/>
      </tp>
      <tp>
        <v>103</v>
        <stp/>
        <stp>FWRC1#USDINR#Month End Rates#0#BidPrice8</stp>
        <tr r="H4" s="14"/>
      </tp>
      <tp>
        <v>7056.5725000000002</v>
        <stp/>
        <stp>FWRC1#GBPINR#Month End Rates#0#BidPrice6</stp>
        <tr r="F4" s="17"/>
      </tp>
      <tp>
        <v>10736.8675</v>
        <stp/>
        <stp>FWRC1#GBPINR#Month End Rates#0#BidPrice7</stp>
        <tr r="G4" s="17"/>
      </tp>
      <tp>
        <v>1082.355</v>
        <stp/>
        <stp>FWRC1#GBPINR#Month End Rates#0#BidPrice4</stp>
        <tr r="D4" s="17"/>
      </tp>
      <tp>
        <v>4016.8575000000001</v>
        <stp/>
        <stp>FWRC1#GBPINR#Month End Rates#0#BidPrice5</stp>
        <tr r="E4" s="17"/>
      </tp>
      <tp>
        <v>137.40049999999999</v>
        <stp/>
        <stp>FWRC1#GBPINR#Month End Rates#0#BidPrice2</stp>
        <tr r="C2" s="6"/>
        <tr r="C4" s="17"/>
      </tp>
      <tp>
        <v>67.880499999999998</v>
        <stp/>
        <stp>FWRC1#GBPINR#Month End Rates#0#BidPrice3</stp>
        <tr r="E2" s="6"/>
      </tp>
      <tp>
        <v>98.37</v>
        <stp/>
        <stp>FWRC1#GBPINR#Month End Rates#0#BidPrice0</stp>
        <tr r="B2" s="6"/>
      </tp>
      <tp>
        <v>14524.795</v>
        <stp/>
        <stp>FWRC1#GBPINR#Month End Rates#0#BidPrice8</stp>
        <tr r="H4" s="17"/>
      </tp>
      <tp>
        <v>17754.532500000001</v>
        <stp/>
        <stp>FWRC1#GBPINR#Month End Rates#0#BidPrice9</stp>
        <tr r="I4" s="17"/>
      </tp>
      <tp>
        <v>88.96</v>
        <stp/>
        <stp>FWRC1#EURINR#Month End Rates#0#BidPrice0</stp>
        <tr r="B2" s="5"/>
      </tp>
      <tp>
        <v>0.76670000000000005</v>
        <stp/>
        <stp>FWRC1#EURINR#Month End Rates#0#BidPrice3</stp>
        <tr r="E2" s="5"/>
      </tp>
      <tp>
        <v>1.5371999999999999</v>
        <stp/>
        <stp>FWRC1#EURINR#Month End Rates#0#BidPrice2</stp>
        <tr r="C4" s="16"/>
        <tr r="C2" s="5"/>
      </tp>
      <tp>
        <v>41.935000000000002</v>
        <stp/>
        <stp>FWRC1#EURINR#Month End Rates#0#BidPrice5</stp>
        <tr r="E4" s="16"/>
      </tp>
      <tp>
        <v>11.324999999999999</v>
        <stp/>
        <stp>FWRC1#EURINR#Month End Rates#0#BidPrice4</stp>
        <tr r="D4" s="16"/>
      </tp>
      <tp>
        <v>112.17749999999999</v>
        <stp/>
        <stp>FWRC1#EURINR#Month End Rates#0#BidPrice7</stp>
        <tr r="G4" s="16"/>
      </tp>
      <tp>
        <v>73.775000000000006</v>
        <stp/>
        <stp>FWRC1#EURINR#Month End Rates#0#BidPrice6</stp>
        <tr r="F4" s="16"/>
      </tp>
      <tp>
        <v>185.15</v>
        <stp/>
        <stp>FWRC1#EURINR#Month End Rates#0#BidPrice9</stp>
        <tr r="I4" s="16"/>
      </tp>
      <tp>
        <v>151.24250000000001</v>
        <stp/>
        <stp>FWRC1#EURINR#Month End Rates#0#BidPrice8</stp>
        <tr r="H4" s="16"/>
      </tp>
      <tp>
        <v>774.3</v>
        <stp/>
        <stp>FWRC1#JPYINR#Month End Rates#0#BidPrice4</stp>
        <tr r="D4" s="18"/>
      </tp>
      <tp>
        <v>3081.7375000000002</v>
        <stp/>
        <stp>FWRC1#JPYINR#Month End Rates#0#BidPrice5</stp>
        <tr r="E4" s="18"/>
      </tp>
      <tp>
        <v>5365.5349999999999</v>
        <stp/>
        <stp>FWRC1#JPYINR#Month End Rates#0#BidPrice6</stp>
        <tr r="F4" s="18"/>
      </tp>
      <tp>
        <v>8217.9874999999993</v>
        <stp/>
        <stp>FWRC1#JPYINR#Month End Rates#0#BidPrice7</stp>
        <tr r="G4" s="18"/>
      </tp>
      <tp>
        <v>70.784999999999997</v>
        <stp/>
        <stp>FWRC1#JPYINR#Month End Rates#0#BidPrice0</stp>
        <tr r="B2" s="7"/>
      </tp>
      <tp>
        <v>98.019400000000005</v>
        <stp/>
        <stp>FWRC1#JPYINR#Month End Rates#0#BidPrice2</stp>
        <tr r="C2" s="7"/>
        <tr r="C4" s="18"/>
      </tp>
      <tp>
        <v>50.022300000000001</v>
        <stp/>
        <stp>FWRC1#JPYINR#Month End Rates#0#BidPrice3</stp>
        <tr r="E2" s="7"/>
      </tp>
      <tp>
        <v>11403.1425</v>
        <stp/>
        <stp>FWRC1#JPYINR#Month End Rates#0#BidPrice8</stp>
        <tr r="H4" s="18"/>
      </tp>
      <tp>
        <v>13997.924999999999</v>
        <stp/>
        <stp>FWRC1#JPYINR#Month End Rates#0#BidPrice9</stp>
        <tr r="I4" s="18"/>
      </tp>
      <tp>
        <v>67.535799999999995</v>
        <stp/>
        <stp>FWRC1#EURINR#Month Wise Rates#0#AskPrice8</stp>
        <tr r="F5" s="22"/>
      </tp>
      <tp>
        <v>101.3527</v>
        <stp/>
        <stp>FWRC1#EURINR#Month Wise Rates#0#AskPrice9</stp>
        <tr r="F6" s="22"/>
      </tp>
      <tp>
        <v>88.98</v>
        <stp/>
        <stp>FWRC1#EURINR#Month Wise Rates#0#AskPrice0</stp>
        <tr r="F3" s="22"/>
      </tp>
      <tp>
        <v>35.477499999999999</v>
        <stp/>
        <stp>FWRC1#EURINR#Month Wise Rates#0#AskPrice7</stp>
        <tr r="F4" s="22"/>
      </tp>
      <tp>
        <v>70.784999999999997</v>
        <stp/>
        <stp>FWRC1#JPYINR#Month Wise Rates#0#BidPrice0</stp>
        <tr r="I3" s="22"/>
      </tp>
      <tp>
        <v>2393.2872000000002</v>
        <stp/>
        <stp>FWRC1#JPYINR#Month Wise Rates#0#BidPrice7</stp>
        <tr r="I4" s="22"/>
      </tp>
      <tp>
        <v>4776.6932999999999</v>
        <stp/>
        <stp>FWRC1#JPYINR#Month Wise Rates#0#BidPrice8</stp>
        <tr r="I5" s="22"/>
      </tp>
      <tp>
        <v>7254.8091000000004</v>
        <stp/>
        <stp>FWRC1#JPYINR#Month Wise Rates#0#BidPrice9</stp>
        <tr r="I6" s="22"/>
      </tp>
      <tp>
        <v>6527.2554</v>
        <stp/>
        <stp>FWRC1#GBPINR#Month Wise Rates#0#AskPrice8</stp>
        <tr r="H5" s="22"/>
      </tp>
      <tp>
        <v>9761.5162999999993</v>
        <stp/>
        <stp>FWRC1#GBPINR#Month Wise Rates#0#AskPrice9</stp>
        <tr r="H6" s="22"/>
      </tp>
      <tp>
        <v>98.394999999999996</v>
        <stp/>
        <stp>FWRC1#GBPINR#Month Wise Rates#0#AskPrice0</stp>
        <tr r="H3" s="22"/>
      </tp>
      <tp>
        <v>3434.5826999999999</v>
        <stp/>
        <stp>FWRC1#GBPINR#Month Wise Rates#0#AskPrice7</stp>
        <tr r="H4" s="22"/>
      </tp>
      <tp>
        <v>1.3184</v>
        <stp/>
        <stp>FWRC1#GBPUSD#Month Wise Rates#0#FwdOutrightBid18</stp>
        <tr r="O7" s="20"/>
      </tp>
      <tp>
        <v>1.3173999999999999</v>
        <stp/>
        <stp>FWRC1#GBPUSD#Month Wise Rates#0#FwdOutrightBid11</stp>
        <tr r="H7" s="20"/>
      </tp>
      <tp>
        <v>1.3165</v>
        <stp/>
        <stp>FWRC1#GBPUSD#Month Wise Rates#0#FwdOutrightBid10</stp>
        <tr r="G7" s="20"/>
      </tp>
      <tp>
        <v>1.3177000000000001</v>
        <stp/>
        <stp>FWRC1#GBPUSD#Month Wise Rates#0#FwdOutrightBid13</stp>
        <tr r="J7" s="20"/>
      </tp>
      <tp>
        <v>1.3174999999999999</v>
        <stp/>
        <stp>FWRC1#GBPUSD#Month Wise Rates#0#FwdOutrightBid12</stp>
        <tr r="I7" s="20"/>
      </tp>
      <tp>
        <v>1.3180000000000001</v>
        <stp/>
        <stp>FWRC1#GBPUSD#Month Wise Rates#0#FwdOutrightBid15</stp>
        <tr r="L7" s="20"/>
      </tp>
      <tp>
        <v>1.3179000000000001</v>
        <stp/>
        <stp>FWRC1#GBPUSD#Month Wise Rates#0#FwdOutrightBid14</stp>
        <tr r="K7" s="20"/>
      </tp>
      <tp>
        <v>1.3183</v>
        <stp/>
        <stp>FWRC1#GBPUSD#Month Wise Rates#0#FwdOutrightBid17</stp>
        <tr r="N7" s="20"/>
      </tp>
      <tp>
        <v>1.3182</v>
        <stp/>
        <stp>FWRC1#GBPUSD#Month Wise Rates#0#FwdOutrightBid16</stp>
        <tr r="M7" s="20"/>
      </tp>
      <tp>
        <v>1.1994</v>
        <stp/>
        <stp>FWRC1#EURUSD#Month Wise Rates#0#FwdOutrightBid18</stp>
        <tr r="O7" s="19"/>
      </tp>
      <tp>
        <v>1.1978</v>
        <stp/>
        <stp>FWRC1#EURUSD#Month Wise Rates#0#FwdOutrightBid16</stp>
        <tr r="M7" s="19"/>
      </tp>
      <tp>
        <v>1.1986000000000001</v>
        <stp/>
        <stp>FWRC1#EURUSD#Month Wise Rates#0#FwdOutrightBid17</stp>
        <tr r="N7" s="19"/>
      </tp>
      <tp>
        <v>1.1961999999999999</v>
        <stp/>
        <stp>FWRC1#EURUSD#Month Wise Rates#0#FwdOutrightBid14</stp>
        <tr r="K7" s="19"/>
      </tp>
      <tp>
        <v>1.1970000000000001</v>
        <stp/>
        <stp>FWRC1#EURUSD#Month Wise Rates#0#FwdOutrightBid15</stp>
        <tr r="L7" s="19"/>
      </tp>
      <tp>
        <v>1.1950000000000001</v>
        <stp/>
        <stp>FWRC1#EURUSD#Month Wise Rates#0#FwdOutrightBid12</stp>
        <tr r="I7" s="19"/>
      </tp>
      <tp>
        <v>1.1955</v>
        <stp/>
        <stp>FWRC1#EURUSD#Month Wise Rates#0#FwdOutrightBid13</stp>
        <tr r="J7" s="19"/>
      </tp>
      <tp>
        <v>1.1930000000000001</v>
        <stp/>
        <stp>FWRC1#EURUSD#Month Wise Rates#0#FwdOutrightBid10</stp>
        <tr r="G7" s="19"/>
      </tp>
      <tp>
        <v>1.1941999999999999</v>
        <stp/>
        <stp>FWRC1#EURUSD#Month Wise Rates#0#FwdOutrightBid11</stp>
        <tr r="H7" s="19"/>
      </tp>
      <tp>
        <v>-0.56371000000000004</v>
        <stp/>
        <stp>47#5#1#5629#EUR1W.LIBOR#LTP</stp>
        <tr r="C37" s="23"/>
      </tp>
      <tp>
        <v>4.471E-2</v>
        <stp/>
        <stp>47#5#1#5629#EUR2W.LIBOR#LTP</stp>
        <tr r="D37" s="23"/>
      </tp>
      <tp>
        <v>0</v>
        <stp/>
        <stp>17#3#1#6031#GBPINRCOMP#52WkHigh</stp>
        <tr r="I5" s="10"/>
      </tp>
      <tp>
        <v>0.10883</v>
        <stp/>
        <stp>47#5#1#5629#JPY1Y.LIBOR#LTP</stp>
        <tr r="I5" s="8"/>
        <tr r="P39" s="23"/>
      </tp>
      <tp>
        <v>5.8749999999999997E-2</v>
        <stp/>
        <stp>47#5#1#5629#GBP1W.LIBOR#LTP</stp>
        <tr r="C38" s="23"/>
        <tr r="D38" s="23"/>
      </tp>
      <tp>
        <v>77.756500000000003</v>
        <stp/>
        <stp>FWRC1#USDINR#Month Wise Rates#0#FwdOutrightBid18</stp>
        <tr r="O7" s="15"/>
      </tp>
      <tp>
        <v>77.259</v>
        <stp/>
        <stp>FWRC1#USDINR#Month Wise Rates#0#FwdOutrightBid16</stp>
        <tr r="M7" s="15"/>
      </tp>
      <tp>
        <v>77.503299999999996</v>
        <stp/>
        <stp>FWRC1#USDINR#Month Wise Rates#0#FwdOutrightBid17</stp>
        <tr r="N7" s="15"/>
      </tp>
      <tp>
        <v>76.739199999999997</v>
        <stp/>
        <stp>FWRC1#USDINR#Month Wise Rates#0#FwdOutrightBid14</stp>
        <tr r="K7" s="15"/>
      </tp>
      <tp>
        <v>76.9893</v>
        <stp/>
        <stp>FWRC1#USDINR#Month Wise Rates#0#FwdOutrightBid15</stp>
        <tr r="L7" s="15"/>
      </tp>
      <tp>
        <v>76.224599999999995</v>
        <stp/>
        <stp>FWRC1#USDINR#Month Wise Rates#0#FwdOutrightBid12</stp>
        <tr r="I7" s="15"/>
      </tp>
      <tp>
        <v>76.457499999999996</v>
        <stp/>
        <stp>FWRC1#USDINR#Month Wise Rates#0#FwdOutrightBid13</stp>
        <tr r="J7" s="15"/>
      </tp>
      <tp>
        <v>75.705600000000004</v>
        <stp/>
        <stp>FWRC1#USDINR#Month Wise Rates#0#FwdOutrightBid10</stp>
        <tr r="G7" s="15"/>
      </tp>
      <tp>
        <v>75.952200000000005</v>
        <stp/>
        <stp>FWRC1#USDINR#Month Wise Rates#0#FwdOutrightBid11</stp>
        <tr r="H7" s="15"/>
      </tp>
      <tp>
        <v>0.63</v>
        <stp/>
        <stp>17#3#1#5978#JPYINRCOMP#%Chg</stp>
        <tr r="D6" s="10"/>
      </tp>
      <tp>
        <v>0.38429000000000002</v>
        <stp/>
        <stp>47#5#1#5629#JPY10M.LIBOR#LTP</stp>
        <tr r="N39" s="23"/>
      </tp>
      <tp>
        <v>0.41143000000000002</v>
        <stp/>
        <stp>47#5#1#5629#JPY11M.LIBOR#LTP</stp>
        <tr r="O39" s="23"/>
      </tp>
      <tp>
        <v>0.46038000000000001</v>
        <stp/>
        <stp>47#5#1#5629#USD1Y.LIBOR#LTP</stp>
        <tr r="I2" s="8"/>
        <tr r="P36" s="23"/>
      </tp>
      <tp>
        <v>0.63939999999999997</v>
        <stp/>
        <stp>47#5#1#5629#USD11M.LIBOR#LTP</stp>
        <tr r="O36" s="23"/>
      </tp>
      <tp>
        <v>0.59025000000000005</v>
        <stp/>
        <stp>47#5#1#5629#USD10M.LIBOR#LTP</stp>
        <tr r="N36" s="23"/>
      </tp>
      <tp>
        <v>105.0737</v>
        <stp/>
        <stp>FWRC1#USDJPY#Month Wise Rates#0#FwdOutrightBid15</stp>
        <tr r="L7" s="21"/>
      </tp>
      <tp>
        <v>105.1187</v>
        <stp/>
        <stp>FWRC1#USDJPY#Month Wise Rates#0#FwdOutrightBid14</stp>
        <tr r="K7" s="21"/>
      </tp>
      <tp>
        <v>104.9601</v>
        <stp/>
        <stp>FWRC1#USDJPY#Month Wise Rates#0#FwdOutrightBid17</stp>
        <tr r="N7" s="21"/>
      </tp>
      <tp>
        <v>105.01739999999999</v>
        <stp/>
        <stp>FWRC1#USDJPY#Month Wise Rates#0#FwdOutrightBid16</stp>
        <tr r="M7" s="21"/>
      </tp>
      <tp>
        <v>105.267</v>
        <stp/>
        <stp>FWRC1#USDJPY#Month Wise Rates#0#FwdOutrightBid11</stp>
        <tr r="H7" s="21"/>
      </tp>
      <tp>
        <v>105.38549999999999</v>
        <stp/>
        <stp>FWRC1#USDJPY#Month Wise Rates#0#FwdOutrightBid10</stp>
        <tr r="G7" s="21"/>
      </tp>
      <tp>
        <v>105.1734</v>
        <stp/>
        <stp>FWRC1#USDJPY#Month Wise Rates#0#FwdOutrightBid13</stp>
        <tr r="J7" s="21"/>
      </tp>
      <tp>
        <v>105.2229</v>
        <stp/>
        <stp>FWRC1#USDJPY#Month Wise Rates#0#FwdOutrightBid12</stp>
        <tr r="I7" s="21"/>
      </tp>
      <tp>
        <v>104.9055</v>
        <stp/>
        <stp>FWRC1#USDJPY#Month Wise Rates#0#FwdOutrightBid18</stp>
        <tr r="O7" s="21"/>
      </tp>
      <tp t="s">
        <v>JPYINRCOMP</v>
        <stp/>
        <stp>17#3#1#5978#JPYINRCOMP#S#Descr.</stp>
        <tr r="A22" s="23"/>
        <tr r="A5" s="23"/>
      </tp>
      <tp t="s">
        <v>CHFINRCOMP</v>
        <stp/>
        <stp>17#3#1#6056#CHFINRCOMP#S#Descr.</stp>
        <tr r="A6" s="23"/>
        <tr r="A23" s="23"/>
      </tp>
      <tp>
        <v>0.35499999999999998</v>
        <stp/>
        <stp>47#5#1#5629#EUR11M.LIBOR#LTP</stp>
        <tr r="O37" s="23"/>
      </tp>
      <tp>
        <v>0.32429000000000002</v>
        <stp/>
        <stp>47#5#1#5629#EUR10M.LIBOR#LTP</stp>
        <tr r="N37" s="23"/>
      </tp>
      <tp>
        <v>0.56188000000000005</v>
        <stp/>
        <stp>47#5#1#5629#GBP5M.LIBOR#LTP</stp>
        <tr r="I38" s="23"/>
        <tr r="F4" s="8"/>
      </tp>
      <tp>
        <v>0.53</v>
        <stp/>
        <stp>47#5#1#5629#GBP4M.LIBOR#LTP</stp>
        <tr r="H38" s="23"/>
        <tr r="E4" s="8"/>
      </tp>
      <tp>
        <v>0.63688</v>
        <stp/>
        <stp>47#5#1#5629#GBP7M.LIBOR#LTP</stp>
        <tr r="K38" s="23"/>
      </tp>
      <tp>
        <v>0.13100000000000001</v>
        <stp/>
        <stp>47#5#1#5629#GBP6M.LIBOR#LTP</stp>
        <tr r="G4" s="8"/>
        <tr r="J38" s="23"/>
      </tp>
      <tp>
        <v>5.5500000000000001E-2</v>
        <stp/>
        <stp>47#5#1#5629#GBP1M.LIBOR#LTP</stp>
        <tr r="E38" s="23"/>
        <tr r="B4" s="8"/>
      </tp>
      <tp>
        <v>7.3380000000000001E-2</v>
        <stp/>
        <stp>47#5#1#5629#GBP3M.LIBOR#LTP</stp>
        <tr r="D4" s="8"/>
        <tr r="G38" s="23"/>
      </tp>
      <tp>
        <v>7.7630000000000005E-2</v>
        <stp/>
        <stp>47#5#1#5629#GBP2M.LIBOR#LTP</stp>
        <tr r="F38" s="23"/>
        <tr r="C4" s="8"/>
      </tp>
      <tp>
        <v>0.73624999999999996</v>
        <stp/>
        <stp>47#5#1#5629#GBP9M.LIBOR#LTP</stp>
        <tr r="M38" s="23"/>
        <tr r="H4" s="8"/>
      </tp>
      <tp>
        <v>0.69438</v>
        <stp/>
        <stp>47#5#1#5629#GBP8M.LIBOR#LTP</stp>
        <tr r="L38" s="23"/>
      </tp>
      <tp>
        <v>0.38</v>
        <stp/>
        <stp>17#3#1#6031#GBPINRCOMP#%Chg</stp>
        <tr r="D5" s="10"/>
      </tp>
      <tp>
        <v>15.566000000000001</v>
        <stp/>
        <stp>FWRC1#EURUSD#Month Wise Rates#0#AskPrice8</stp>
        <tr r="L5" s="22"/>
        <tr r="E5" s="19"/>
      </tp>
      <tp>
        <v>23.23</v>
        <stp/>
        <stp>FWRC1#EURUSD#Month Wise Rates#0#AskPrice9</stp>
        <tr r="L6" s="22"/>
        <tr r="F5" s="19"/>
      </tp>
      <tp>
        <v>1.1900900000000001</v>
        <stp/>
        <stp>FWRC1#EURUSD#Month Wise Rates#0#AskPrice0</stp>
        <tr r="L3" s="22"/>
      </tp>
      <tp>
        <v>0.25</v>
        <stp/>
        <stp>FWRC1#EURUSD#Month Wise Rates#0#AskPrice2</stp>
        <tr r="C5" s="19"/>
      </tp>
      <tp>
        <v>8</v>
        <stp/>
        <stp>FWRC1#EURUSD#Month Wise Rates#0#AskPrice7</stp>
        <tr r="L4" s="22"/>
        <tr r="D5" s="19"/>
      </tp>
      <tp>
        <v>-0.57986000000000004</v>
        <stp/>
        <stp>47#5#1#5629#EURON.LIBOR#LTP</stp>
        <tr r="B37" s="23"/>
      </tp>
      <tp>
        <v>0.17357</v>
        <stp/>
        <stp>47#5#1#5629#EUR5M.LIBOR#LTP</stp>
        <tr r="F3" s="8"/>
        <tr r="I37" s="23"/>
      </tp>
      <tp>
        <v>0.14713999999999999</v>
        <stp/>
        <stp>47#5#1#5629#EUR4M.LIBOR#LTP</stp>
        <tr r="E3" s="8"/>
        <tr r="H37" s="23"/>
      </tp>
      <tp>
        <v>0.22928999999999999</v>
        <stp/>
        <stp>47#5#1#5629#EUR7M.LIBOR#LTP</stp>
        <tr r="K37" s="23"/>
      </tp>
      <tp>
        <v>-0.46914</v>
        <stp/>
        <stp>47#5#1#5629#EUR6M.LIBOR#LTP</stp>
        <tr r="G3" s="8"/>
        <tr r="J37" s="23"/>
      </tp>
      <tp>
        <v>-0.55100000000000005</v>
        <stp/>
        <stp>47#5#1#5629#EUR1M.LIBOR#LTP</stp>
        <tr r="B3" s="8"/>
        <tr r="E37" s="23"/>
      </tp>
      <tp>
        <v>-0.51300000000000001</v>
        <stp/>
        <stp>47#5#1#5629#EUR3M.LIBOR#LTP</stp>
        <tr r="D3" s="8"/>
        <tr r="G37" s="23"/>
      </tp>
      <tp>
        <v>-0.48714000000000002</v>
        <stp/>
        <stp>47#5#1#5629#EUR2M.LIBOR#LTP</stp>
        <tr r="F37" s="23"/>
        <tr r="C3" s="8"/>
      </tp>
      <tp>
        <v>0.29357</v>
        <stp/>
        <stp>47#5#1#5629#EUR9M.LIBOR#LTP</stp>
        <tr r="H3" s="8"/>
        <tr r="M37" s="23"/>
      </tp>
      <tp>
        <v>0.26357000000000003</v>
        <stp/>
        <stp>47#5#1#5629#EUR8M.LIBOR#LTP</stp>
        <tr r="L37" s="23"/>
      </tp>
      <tp>
        <v>4.6500000000000004</v>
        <stp/>
        <stp>FWRC1#GBPUSD#Month Wise Rates#0#AskPrice8</stp>
        <tr r="E5" s="20"/>
        <tr r="N5" s="22"/>
      </tp>
      <tp>
        <v>6.55</v>
        <stp/>
        <stp>FWRC1#GBPUSD#Month Wise Rates#0#AskPrice9</stp>
        <tr r="N6" s="22"/>
        <tr r="F5" s="20"/>
      </tp>
      <tp>
        <v>0.105</v>
        <stp/>
        <stp>FWRC1#GBPUSD#Month Wise Rates#0#AskPrice2</stp>
        <tr r="C5" s="20"/>
      </tp>
      <tp>
        <v>1.3164</v>
        <stp/>
        <stp>FWRC1#GBPUSD#Month Wise Rates#0#AskPrice0</stp>
        <tr r="N3" s="22"/>
      </tp>
      <tp>
        <v>2.2999999999999998</v>
        <stp/>
        <stp>FWRC1#GBPUSD#Month Wise Rates#0#AskPrice7</stp>
        <tr r="D5" s="20"/>
        <tr r="N4" s="22"/>
      </tp>
      <tp>
        <v>70.327600000000004</v>
        <stp/>
        <stp>FWRC1#USDINR#Month Wise Rates#0#BidPrice9</stp>
        <tr r="C6" s="22"/>
        <tr r="F4" s="15"/>
      </tp>
      <tp>
        <v>45.206899999999997</v>
        <stp/>
        <stp>FWRC1#USDINR#Month Wise Rates#0#BidPrice8</stp>
        <tr r="C5" s="22"/>
        <tr r="E4" s="15"/>
      </tp>
      <tp>
        <v>22.25</v>
        <stp/>
        <stp>FWRC1#USDINR#Month Wise Rates#0#BidPrice7</stp>
        <tr r="C4" s="22"/>
        <tr r="D4" s="15"/>
      </tp>
      <tp>
        <v>74.754999999999995</v>
        <stp/>
        <stp>FWRC1#USDINR#Month Wise Rates#0#BidPrice0</stp>
        <tr r="C3" s="22"/>
      </tp>
      <tp t="s">
        <v/>
        <stp/>
        <stp>FWRC1#USDINR#Month Wise Rates#0#BidPrice2</stp>
        <tr r="C4" s="15"/>
      </tp>
      <tp t="s">
        <v>GBPINRCOMP</v>
        <stp/>
        <stp>17#3#1#6031#GBPINRCOMP#S#Descr.</stp>
        <tr r="A4" s="23"/>
        <tr r="A21" s="23"/>
      </tp>
      <tp>
        <v>5.0880000000000002E-2</v>
        <stp/>
        <stp>47#5#1#5629#GBPON.LIBOR#LTP</stp>
        <tr r="B38" s="23"/>
      </tp>
      <tp t="s">
        <v>AUDINRCOMP</v>
        <stp/>
        <stp>17#3#1#5903#AUDINRCOMP#S#Descr.</stp>
        <tr r="A8" s="23"/>
        <tr r="A25" s="23"/>
      </tp>
      <tp>
        <v>0.21571000000000001</v>
        <stp/>
        <stp>47#5#1#5629#JPY5M.LIBOR#LTP</stp>
        <tr r="F5" s="8"/>
        <tr r="I39" s="23"/>
      </tp>
      <tp>
        <v>0.28571000000000002</v>
        <stp/>
        <stp>47#5#1#5629#JPY7M.LIBOR#LTP</stp>
        <tr r="K39" s="23"/>
      </tp>
      <tp>
        <v>-4.283E-2</v>
        <stp/>
        <stp>47#5#1#5629#JPY6M.LIBOR#LTP</stp>
        <tr r="G5" s="8"/>
        <tr r="J39" s="23"/>
      </tp>
      <tp>
        <v>-0.09</v>
        <stp/>
        <stp>47#5#1#5629#JPY1M.LIBOR#LTP</stp>
        <tr r="E39" s="23"/>
        <tr r="B5" s="8"/>
      </tp>
      <tp>
        <v>-5.5169999999999997E-2</v>
        <stp/>
        <stp>47#5#1#5629#JPY3M.LIBOR#LTP</stp>
        <tr r="G39" s="23"/>
        <tr r="D5" s="8"/>
      </tp>
      <tp>
        <v>-6.4500000000000002E-2</v>
        <stp/>
        <stp>47#5#1#5629#JPY2M.LIBOR#LTP</stp>
        <tr r="F39" s="23"/>
        <tr r="H39" s="23"/>
        <tr r="E5" s="8"/>
        <tr r="C5" s="8"/>
      </tp>
      <tp>
        <v>0.35428999999999999</v>
        <stp/>
        <stp>47#5#1#5629#JPY9M.LIBOR#LTP</stp>
        <tr r="H5" s="8"/>
        <tr r="M39" s="23"/>
      </tp>
      <tp>
        <v>0.32571</v>
        <stp/>
        <stp>47#5#1#5629#JPY8M.LIBOR#LTP</stp>
        <tr r="L39" s="23"/>
      </tp>
      <tp>
        <v>5.85</v>
        <stp/>
        <stp>FWRC1#GBPUSD#Month Wise Rates#0#BidPrice9</stp>
        <tr r="M6" s="22"/>
        <tr r="F4" s="20"/>
      </tp>
      <tp>
        <v>4.1500000000000004</v>
        <stp/>
        <stp>FWRC1#GBPUSD#Month Wise Rates#0#BidPrice8</stp>
        <tr r="E4" s="20"/>
        <tr r="M5" s="22"/>
      </tp>
      <tp>
        <v>1.3160000000000001</v>
        <stp/>
        <stp>FWRC1#GBPUSD#Month Wise Rates#0#BidPrice0</stp>
        <tr r="M3" s="22"/>
      </tp>
      <tp>
        <v>2.5000000000000001E-2</v>
        <stp/>
        <stp>FWRC1#GBPUSD#Month Wise Rates#0#BidPrice2</stp>
        <tr r="C4" s="20"/>
      </tp>
      <tp>
        <v>2</v>
        <stp/>
        <stp>FWRC1#GBPUSD#Month Wise Rates#0#BidPrice7</stp>
        <tr r="M4" s="22"/>
        <tr r="D4" s="20"/>
      </tp>
      <tp>
        <v>47.206899999999997</v>
        <stp/>
        <stp>FWRC1#USDINR#Month Wise Rates#0#AskPrice8</stp>
        <tr r="E5" s="15"/>
        <tr r="D5" s="22"/>
      </tp>
      <tp>
        <v>72.327600000000004</v>
        <stp/>
        <stp>FWRC1#USDINR#Month Wise Rates#0#AskPrice9</stp>
        <tr r="F5" s="15"/>
        <tr r="D6" s="22"/>
      </tp>
      <tp>
        <v>24.25</v>
        <stp/>
        <stp>FWRC1#USDINR#Month Wise Rates#0#AskPrice7</stp>
        <tr r="D5" s="15"/>
        <tr r="D4" s="22"/>
      </tp>
      <tp t="s">
        <v/>
        <stp/>
        <stp>FWRC1#USDINR#Month Wise Rates#0#AskPrice2</stp>
        <tr r="C5" s="15"/>
      </tp>
      <tp>
        <v>74.765000000000001</v>
        <stp/>
        <stp>FWRC1#USDINR#Month Wise Rates#0#AskPrice0</stp>
        <tr r="D3" s="22"/>
      </tp>
      <tp>
        <v>-9.0499999999999997E-2</v>
        <stp/>
        <stp>47#5#1#5629#JPYSN.LIBOR#LTP</stp>
        <tr r="B39" s="23"/>
      </tp>
      <tp t="s">
        <v>CADINRCOMP</v>
        <stp/>
        <stp>17#3#1#5921#CADINRCOMP#S#Descr.</stp>
        <tr r="A24" s="23"/>
        <tr r="A7" s="23"/>
      </tp>
      <tp>
        <v>22.98</v>
        <stp/>
        <stp>FWRC1#EURUSD#Month Wise Rates#0#BidPrice9</stp>
        <tr r="K6" s="22"/>
        <tr r="F4" s="19"/>
      </tp>
      <tp>
        <v>15.534000000000001</v>
        <stp/>
        <stp>FWRC1#EURUSD#Month Wise Rates#0#BidPrice8</stp>
        <tr r="E4" s="19"/>
        <tr r="K5" s="22"/>
      </tp>
      <tp>
        <v>0.23</v>
        <stp/>
        <stp>FWRC1#EURUSD#Month Wise Rates#0#BidPrice2</stp>
        <tr r="C4" s="19"/>
      </tp>
      <tp>
        <v>1.19007</v>
        <stp/>
        <stp>FWRC1#EURUSD#Month Wise Rates#0#BidPrice0</stp>
        <tr r="K3" s="22"/>
      </tp>
      <tp>
        <v>7.8</v>
        <stp/>
        <stp>FWRC1#EURUSD#Month Wise Rates#0#BidPrice7</stp>
        <tr r="K4" s="22"/>
        <tr r="D4" s="19"/>
      </tp>
      <tp>
        <v>105.03440000000001</v>
        <stp/>
        <stp>FWRC1#USDJPY#Month Wise Rates#0#FwdOutrightAsk16</stp>
        <tr r="M8" s="21"/>
      </tp>
      <tp>
        <v>104.9971</v>
        <stp/>
        <stp>FWRC1#USDJPY#Month Wise Rates#0#FwdOutrightAsk17</stp>
        <tr r="N8" s="21"/>
      </tp>
      <tp>
        <v>105.1407</v>
        <stp/>
        <stp>FWRC1#USDJPY#Month Wise Rates#0#FwdOutrightAsk14</stp>
        <tr r="K8" s="21"/>
      </tp>
      <tp>
        <v>105.09569999999999</v>
        <stp/>
        <stp>FWRC1#USDJPY#Month Wise Rates#0#FwdOutrightAsk15</stp>
        <tr r="L8" s="21"/>
      </tp>
      <tp>
        <v>105.2371</v>
        <stp/>
        <stp>FWRC1#USDJPY#Month Wise Rates#0#FwdOutrightAsk12</stp>
        <tr r="I8" s="21"/>
      </tp>
      <tp>
        <v>105.19540000000001</v>
        <stp/>
        <stp>FWRC1#USDJPY#Month Wise Rates#0#FwdOutrightAsk13</stp>
        <tr r="J8" s="21"/>
      </tp>
      <tp>
        <v>105.4025</v>
        <stp/>
        <stp>FWRC1#USDJPY#Month Wise Rates#0#FwdOutrightAsk10</stp>
        <tr r="G8" s="21"/>
      </tp>
      <tp>
        <v>105.28400000000001</v>
        <stp/>
        <stp>FWRC1#USDJPY#Month Wise Rates#0#FwdOutrightAsk11</stp>
        <tr r="H8" s="21"/>
      </tp>
      <tp>
        <v>104.92749999999999</v>
        <stp/>
        <stp>FWRC1#USDJPY#Month Wise Rates#0#FwdOutrightAsk18</stp>
        <tr r="O8" s="21"/>
      </tp>
      <tp>
        <v>0.11538</v>
        <stp/>
        <stp>47#5#1#5629#USD1W.LIBOR#LTP</stp>
        <tr r="C36" s="23"/>
      </tp>
      <tp>
        <v>0.17113</v>
        <stp/>
        <stp>47#5#1#5629#USD2W.LIBOR#LTP</stp>
        <tr r="D36" s="23"/>
      </tp>
      <tp t="s">
        <v>EURINRCOMP</v>
        <stp/>
        <stp>17#3#1#5949#EURINRCOMP#S#Descr.</stp>
        <tr r="A3" s="23"/>
        <tr r="A20" s="23"/>
      </tp>
      <tp>
        <v>76.905000000000001</v>
        <stp/>
        <stp>17#1#1#6069#USDINRCOMP#52WkHigh</stp>
        <tr r="I3" s="10"/>
      </tp>
      <tp>
        <v>77.786500000000004</v>
        <stp/>
        <stp>FWRC1#USDINR#Month Wise Rates#0#FwdOutrightAsk18</stp>
        <tr r="O8" s="15"/>
      </tp>
      <tp>
        <v>77.019300000000001</v>
        <stp/>
        <stp>FWRC1#USDINR#Month Wise Rates#0#FwdOutrightAsk15</stp>
        <tr r="L8" s="15"/>
      </tp>
      <tp>
        <v>76.769199999999998</v>
        <stp/>
        <stp>FWRC1#USDINR#Month Wise Rates#0#FwdOutrightAsk14</stp>
        <tr r="K8" s="15"/>
      </tp>
      <tp>
        <v>77.533299999999997</v>
        <stp/>
        <stp>FWRC1#USDINR#Month Wise Rates#0#FwdOutrightAsk17</stp>
        <tr r="N8" s="15"/>
      </tp>
      <tp>
        <v>77.289000000000001</v>
        <stp/>
        <stp>FWRC1#USDINR#Month Wise Rates#0#FwdOutrightAsk16</stp>
        <tr r="M8" s="15"/>
      </tp>
      <tp>
        <v>75.982200000000006</v>
        <stp/>
        <stp>FWRC1#USDINR#Month Wise Rates#0#FwdOutrightAsk11</stp>
        <tr r="H8" s="15"/>
      </tp>
      <tp>
        <v>75.735600000000005</v>
        <stp/>
        <stp>FWRC1#USDINR#Month Wise Rates#0#FwdOutrightAsk10</stp>
        <tr r="G8" s="15"/>
      </tp>
      <tp>
        <v>76.487499999999997</v>
        <stp/>
        <stp>FWRC1#USDINR#Month Wise Rates#0#FwdOutrightAsk13</stp>
        <tr r="J8" s="15"/>
      </tp>
      <tp>
        <v>76.254599999999996</v>
        <stp/>
        <stp>FWRC1#USDINR#Month Wise Rates#0#FwdOutrightAsk12</stp>
        <tr r="I8" s="15"/>
      </tp>
      <tp>
        <v>0.38</v>
        <stp/>
        <stp>17#3#1#5949#EURINRCOMP#%Chg</stp>
        <tr r="D4" s="10"/>
      </tp>
      <tp t="s">
        <v/>
        <stp/>
        <stp>FWRC1#USDINR#Month Wise Rates#0#FwdOutrightBid2</stp>
        <tr r="C7" s="15"/>
      </tp>
      <tp>
        <v>74.977500000000006</v>
        <stp/>
        <stp>FWRC1#USDINR#Month Wise Rates#0#FwdOutrightBid7</stp>
        <tr r="D7" s="15"/>
      </tp>
      <tp>
        <v>75.458299999999994</v>
        <stp/>
        <stp>FWRC1#USDINR#Month Wise Rates#0#FwdOutrightBid9</stp>
        <tr r="F7" s="15"/>
      </tp>
      <tp>
        <v>75.207099999999997</v>
        <stp/>
        <stp>FWRC1#USDINR#Month Wise Rates#0#FwdOutrightBid8</stp>
        <tr r="E7" s="15"/>
      </tp>
      <tp>
        <v>105.426</v>
        <stp/>
        <stp>FWRC1#USDJPY#Month Wise Rates#0#FwdOutrightBid9</stp>
        <tr r="F7" s="21"/>
      </tp>
      <tp>
        <v>105.4658</v>
        <stp/>
        <stp>FWRC1#USDJPY#Month Wise Rates#0#FwdOutrightBid8</stp>
        <tr r="E7" s="21"/>
      </tp>
      <tp>
        <v>105.5106</v>
        <stp/>
        <stp>FWRC1#USDJPY#Month Wise Rates#0#FwdOutrightBid7</stp>
        <tr r="D7" s="21"/>
      </tp>
      <tp>
        <v>105.5504</v>
        <stp/>
        <stp>FWRC1#USDJPY#Month Wise Rates#0#FwdOutrightBid2</stp>
        <tr r="C7" s="21"/>
      </tp>
      <tp>
        <v>15.16</v>
        <stp/>
        <stp>FWRC1#GBPUSD#Month Wise Rates#0#BidPrice13</stp>
        <tr r="M10" s="22"/>
        <tr r="J4" s="20"/>
      </tp>
      <tp>
        <v>13.8</v>
        <stp/>
        <stp>FWRC1#GBPUSD#Month Wise Rates#0#BidPrice12</stp>
        <tr r="M9" s="22"/>
        <tr r="I4" s="20"/>
      </tp>
      <tp>
        <v>12.85</v>
        <stp/>
        <stp>FWRC1#GBPUSD#Month Wise Rates#0#BidPrice11</stp>
        <tr r="M8" s="22"/>
        <tr r="H4" s="20"/>
      </tp>
      <tp>
        <v>7.44</v>
        <stp/>
        <stp>FWRC1#GBPUSD#Month Wise Rates#0#BidPrice10</stp>
        <tr r="M7" s="22"/>
        <tr r="G4" s="20"/>
      </tp>
      <tp>
        <v>20.190000000000001</v>
        <stp/>
        <stp>FWRC1#GBPUSD#Month Wise Rates#0#BidPrice17</stp>
        <tr r="N4" s="20"/>
        <tr r="M14" s="22"/>
      </tp>
      <tp>
        <v>19.2</v>
        <stp/>
        <stp>FWRC1#GBPUSD#Month Wise Rates#0#BidPrice16</stp>
        <tr r="M13" s="22"/>
        <tr r="M4" s="20"/>
      </tp>
      <tp>
        <v>17.760000000000002</v>
        <stp/>
        <stp>FWRC1#GBPUSD#Month Wise Rates#0#BidPrice15</stp>
        <tr r="L4" s="20"/>
        <tr r="M12" s="22"/>
      </tp>
      <tp>
        <v>16.2</v>
        <stp/>
        <stp>FWRC1#GBPUSD#Month Wise Rates#0#BidPrice14</stp>
        <tr r="M11" s="22"/>
        <tr r="K4" s="20"/>
      </tp>
      <tp>
        <v>22</v>
        <stp/>
        <stp>FWRC1#GBPUSD#Month Wise Rates#0#BidPrice18</stp>
        <tr r="O4" s="20"/>
        <tr r="M15" s="22"/>
      </tp>
      <tp>
        <v>23.2</v>
        <stp/>
        <stp>FWRC1#GBPUSD#Month Wise Rates#0#AskPrice18</stp>
        <tr r="N15" s="22"/>
        <tr r="O5" s="20"/>
      </tp>
      <tp>
        <v>13.25</v>
        <stp/>
        <stp>FWRC1#GBPUSD#Month Wise Rates#0#AskPrice11</stp>
        <tr r="N8" s="22"/>
        <tr r="H5" s="20"/>
      </tp>
      <tp>
        <v>7.76</v>
        <stp/>
        <stp>FWRC1#GBPUSD#Month Wise Rates#0#AskPrice10</stp>
        <tr r="N7" s="22"/>
        <tr r="G5" s="20"/>
      </tp>
      <tp>
        <v>15.64</v>
        <stp/>
        <stp>FWRC1#GBPUSD#Month Wise Rates#0#AskPrice13</stp>
        <tr r="N10" s="22"/>
        <tr r="J5" s="20"/>
      </tp>
      <tp>
        <v>14.8</v>
        <stp/>
        <stp>FWRC1#GBPUSD#Month Wise Rates#0#AskPrice12</stp>
        <tr r="N9" s="22"/>
        <tr r="I5" s="20"/>
      </tp>
      <tp>
        <v>19.91</v>
        <stp/>
        <stp>FWRC1#GBPUSD#Month Wise Rates#0#AskPrice15</stp>
        <tr r="L5" s="20"/>
        <tr r="N12" s="22"/>
      </tp>
      <tp>
        <v>17.89</v>
        <stp/>
        <stp>FWRC1#GBPUSD#Month Wise Rates#0#AskPrice14</stp>
        <tr r="K5" s="20"/>
        <tr r="N11" s="22"/>
      </tp>
      <tp>
        <v>22.49</v>
        <stp/>
        <stp>FWRC1#GBPUSD#Month Wise Rates#0#AskPrice17</stp>
        <tr r="N14" s="22"/>
        <tr r="N5" s="20"/>
      </tp>
      <tp>
        <v>20.399999999999999</v>
        <stp/>
        <stp>FWRC1#GBPUSD#Month Wise Rates#0#AskPrice16</stp>
        <tr r="M5" s="20"/>
        <tr r="N13" s="22"/>
      </tp>
      <tp>
        <v>324.33030000000002</v>
        <stp/>
        <stp>FWRC1#EURINR#Month Wise Rates#0#AskPrice15</stp>
        <tr r="F12" s="22"/>
      </tp>
      <tp>
        <v>288.64049999999997</v>
        <stp/>
        <stp>FWRC1#EURINR#Month Wise Rates#0#AskPrice14</stp>
        <tr r="F11" s="22"/>
      </tp>
      <tp>
        <v>400.07940000000002</v>
        <stp/>
        <stp>FWRC1#EURINR#Month Wise Rates#0#AskPrice17</stp>
        <tr r="F14" s="22"/>
      </tp>
      <tp>
        <v>364.95100000000002</v>
        <stp/>
        <stp>FWRC1#EURINR#Month Wise Rates#0#AskPrice16</stp>
        <tr r="F13" s="22"/>
      </tp>
      <tp>
        <v>176.84110000000001</v>
        <stp/>
        <stp>FWRC1#EURINR#Month Wise Rates#0#AskPrice11</stp>
        <tr r="F8" s="22"/>
      </tp>
      <tp>
        <v>137.85730000000001</v>
        <stp/>
        <stp>FWRC1#EURINR#Month Wise Rates#0#AskPrice10</stp>
        <tr r="F7" s="22"/>
      </tp>
      <tp>
        <v>250.5677</v>
        <stp/>
        <stp>FWRC1#EURINR#Month Wise Rates#0#AskPrice13</stp>
        <tr r="F10" s="22"/>
      </tp>
      <tp>
        <v>215.50960000000001</v>
        <stp/>
        <stp>FWRC1#EURINR#Month Wise Rates#0#AskPrice12</stp>
        <tr r="F9" s="22"/>
      </tp>
      <tp>
        <v>434.399</v>
        <stp/>
        <stp>FWRC1#EURINR#Month Wise Rates#0#AskPrice18</stp>
        <tr r="F15" s="22"/>
      </tp>
      <tp>
        <v>429.70499999999998</v>
        <stp/>
        <stp>FWRC1#EURINR#Month Wise Rates#0#BidPrice18</stp>
        <tr r="E15" s="22"/>
      </tp>
      <tp>
        <v>393.38170000000002</v>
        <stp/>
        <stp>FWRC1#EURINR#Month Wise Rates#0#BidPrice17</stp>
        <tr r="E14" s="22"/>
      </tp>
      <tp>
        <v>358.65769999999998</v>
        <stp/>
        <stp>FWRC1#EURINR#Month Wise Rates#0#BidPrice16</stp>
        <tr r="E13" s="22"/>
      </tp>
      <tp>
        <v>319.9812</v>
        <stp/>
        <stp>FWRC1#EURINR#Month Wise Rates#0#BidPrice15</stp>
        <tr r="E12" s="22"/>
      </tp>
      <tp>
        <v>284.5326</v>
        <stp/>
        <stp>FWRC1#EURINR#Month Wise Rates#0#BidPrice14</stp>
        <tr r="E11" s="22"/>
      </tp>
      <tp>
        <v>245.47659999999999</v>
        <stp/>
        <stp>FWRC1#EURINR#Month Wise Rates#0#BidPrice13</stp>
        <tr r="E10" s="22"/>
      </tp>
      <tp>
        <v>212.57820000000001</v>
        <stp/>
        <stp>FWRC1#EURINR#Month Wise Rates#0#BidPrice12</stp>
        <tr r="E9" s="22"/>
      </tp>
      <tp>
        <v>173.98589999999999</v>
        <stp/>
        <stp>FWRC1#EURINR#Month Wise Rates#0#BidPrice11</stp>
        <tr r="E8" s="22"/>
      </tp>
      <tp>
        <v>135.27160000000001</v>
        <stp/>
        <stp>FWRC1#EURINR#Month Wise Rates#0#BidPrice10</stp>
        <tr r="E7" s="22"/>
      </tp>
      <tp>
        <v>82.61</v>
        <stp/>
        <stp>17#3#1#6056#CHFINRCOMP#Open</stp>
        <tr r="B6" s="23"/>
      </tp>
      <tp>
        <v>70.775000000000006</v>
        <stp/>
        <stp>17#3#1#5978#JPYINRCOMP#Open</stp>
        <tr r="E6" s="10"/>
        <tr r="B5" s="23"/>
      </tp>
      <tp t="s">
        <v>DEC-2020</v>
        <stp/>
        <stp>FWRC1#JPYINR#Month End Rates#0#S#Desc.8</stp>
        <tr r="H1" s="18"/>
      </tp>
      <tp t="s">
        <v>JAN-2021</v>
        <stp/>
        <stp>FWRC1#JPYINR#Month End Rates#0#S#Desc.9</stp>
        <tr r="I1" s="18"/>
      </tp>
      <tp t="s">
        <v>AUG-2020</v>
        <stp/>
        <stp>FWRC1#JPYINR#Month End Rates#0#S#Desc.4</stp>
        <tr r="D1" s="18"/>
      </tp>
      <tp t="s">
        <v>SEP-2020</v>
        <stp/>
        <stp>FWRC1#JPYINR#Month End Rates#0#S#Desc.5</stp>
        <tr r="E1" s="18"/>
      </tp>
      <tp t="s">
        <v>OCT-2020</v>
        <stp/>
        <stp>FWRC1#JPYINR#Month End Rates#0#S#Desc.6</stp>
        <tr r="F1" s="18"/>
      </tp>
      <tp t="s">
        <v>NOV-2020</v>
        <stp/>
        <stp>FWRC1#JPYINR#Month End Rates#0#S#Desc.7</stp>
        <tr r="G1" s="18"/>
      </tp>
      <tp t="s">
        <v>CASH/SPOT</v>
        <stp/>
        <stp>FWRC1#JPYINR#Month End Rates#0#S#Desc.2</stp>
        <tr r="C1" s="18"/>
      </tp>
      <tp>
        <v>29</v>
        <stp/>
        <stp>FWRC1#USDINR#Month End Rates#0#Close5</stp>
        <tr r="D19" s="23"/>
      </tp>
      <tp>
        <v>6.5</v>
        <stp/>
        <stp>FWRC1#USDINR#Month End Rates#0#Close4</stp>
        <tr r="C19" s="23"/>
      </tp>
      <tp>
        <v>76</v>
        <stp/>
        <stp>FWRC1#USDINR#Month End Rates#0#Close7</stp>
        <tr r="F19" s="23"/>
      </tp>
      <tp>
        <v>52.5</v>
        <stp/>
        <stp>FWRC1#USDINR#Month End Rates#0#Close6</stp>
        <tr r="E19" s="23"/>
      </tp>
      <tp>
        <v>74.754999999999995</v>
        <stp/>
        <stp>FWRC1#USDINR#Month End Rates#0#Close0</stp>
        <tr r="D19" s="23"/>
        <tr r="E19" s="23"/>
        <tr r="H19" s="23"/>
        <tr r="B19" s="23"/>
        <tr r="J19" s="23"/>
        <tr r="L19" s="23"/>
        <tr r="F19" s="23"/>
        <tr r="G19" s="23"/>
        <tr r="N19" s="23"/>
        <tr r="I19" s="23"/>
        <tr r="M19" s="23"/>
        <tr r="C19" s="23"/>
        <tr r="K19" s="23"/>
      </tp>
      <tp>
        <v>127.25</v>
        <stp/>
        <stp>FWRC1#USDINR#Month End Rates#0#Close9</stp>
        <tr r="H19" s="23"/>
      </tp>
      <tp>
        <v>103</v>
        <stp/>
        <stp>FWRC1#USDINR#Month End Rates#0#Close8</stp>
        <tr r="G19" s="23"/>
      </tp>
      <tp>
        <v>300.14999999999998</v>
        <stp/>
        <stp>FWRC1#USDINR#Month Wise Rates#0#BidPrice18</stp>
        <tr r="O4" s="15"/>
        <tr r="C15" s="22"/>
      </tp>
      <tp>
        <v>274.83330000000001</v>
        <stp/>
        <stp>FWRC1#USDINR#Month Wise Rates#0#BidPrice17</stp>
        <tr r="N4" s="15"/>
        <tr r="C14" s="22"/>
      </tp>
      <tp>
        <v>250.4</v>
        <stp/>
        <stp>FWRC1#USDINR#Month Wise Rates#0#BidPrice16</stp>
        <tr r="C13" s="22"/>
        <tr r="M4" s="15"/>
      </tp>
      <tp>
        <v>223.42740000000001</v>
        <stp/>
        <stp>FWRC1#USDINR#Month Wise Rates#0#BidPrice15</stp>
        <tr r="L4" s="15"/>
        <tr r="C12" s="22"/>
      </tp>
      <tp>
        <v>198.41669999999999</v>
        <stp/>
        <stp>FWRC1#USDINR#Month Wise Rates#0#BidPrice14</stp>
        <tr r="K4" s="15"/>
        <tr r="C11" s="22"/>
      </tp>
      <tp>
        <v>170.25</v>
        <stp/>
        <stp>FWRC1#USDINR#Month Wise Rates#0#BidPrice13</stp>
        <tr r="C10" s="22"/>
        <tr r="J4" s="15"/>
      </tp>
      <tp>
        <v>146.96430000000001</v>
        <stp/>
        <stp>FWRC1#USDINR#Month Wise Rates#0#BidPrice12</stp>
        <tr r="C9" s="22"/>
        <tr r="I4" s="15"/>
      </tp>
      <tp>
        <v>119.72410000000001</v>
        <stp/>
        <stp>FWRC1#USDINR#Month Wise Rates#0#BidPrice11</stp>
        <tr r="C8" s="22"/>
        <tr r="H4" s="15"/>
      </tp>
      <tp>
        <v>95.058800000000005</v>
        <stp/>
        <stp>FWRC1#USDINR#Month Wise Rates#0#BidPrice10</stp>
        <tr r="G4" s="15"/>
        <tr r="C7" s="22"/>
      </tp>
      <tp>
        <v>225.42740000000001</v>
        <stp/>
        <stp>FWRC1#USDINR#Month Wise Rates#0#AskPrice15</stp>
        <tr r="L5" s="15"/>
        <tr r="D12" s="22"/>
      </tp>
      <tp>
        <v>200.41669999999999</v>
        <stp/>
        <stp>FWRC1#USDINR#Month Wise Rates#0#AskPrice14</stp>
        <tr r="K5" s="15"/>
        <tr r="D11" s="22"/>
      </tp>
      <tp>
        <v>276.83330000000001</v>
        <stp/>
        <stp>FWRC1#USDINR#Month Wise Rates#0#AskPrice17</stp>
        <tr r="D14" s="22"/>
        <tr r="N5" s="15"/>
      </tp>
      <tp>
        <v>252.4</v>
        <stp/>
        <stp>FWRC1#USDINR#Month Wise Rates#0#AskPrice16</stp>
        <tr r="D13" s="22"/>
        <tr r="M5" s="15"/>
      </tp>
      <tp>
        <v>121.72410000000001</v>
        <stp/>
        <stp>FWRC1#USDINR#Month Wise Rates#0#AskPrice11</stp>
        <tr r="D8" s="22"/>
        <tr r="H5" s="15"/>
      </tp>
      <tp>
        <v>97.058800000000005</v>
        <stp/>
        <stp>FWRC1#USDINR#Month Wise Rates#0#AskPrice10</stp>
        <tr r="D7" s="22"/>
        <tr r="G5" s="15"/>
      </tp>
      <tp>
        <v>172.25</v>
        <stp/>
        <stp>FWRC1#USDINR#Month Wise Rates#0#AskPrice13</stp>
        <tr r="D10" s="22"/>
        <tr r="J5" s="15"/>
      </tp>
      <tp>
        <v>148.96430000000001</v>
        <stp/>
        <stp>FWRC1#USDINR#Month Wise Rates#0#AskPrice12</stp>
        <tr r="D9" s="22"/>
        <tr r="I5" s="15"/>
      </tp>
      <tp>
        <v>302.14999999999998</v>
        <stp/>
        <stp>FWRC1#USDINR#Month Wise Rates#0#AskPrice18</stp>
        <tr r="O5" s="15"/>
        <tr r="D15" s="22"/>
      </tp>
      <tp>
        <v>32751.1793</v>
        <stp/>
        <stp>FWRC1#JPYINR#Month Wise Rates#0#BidPrice18</stp>
        <tr r="I15" s="22"/>
      </tp>
      <tp>
        <v>29811.841499999999</v>
        <stp/>
        <stp>FWRC1#JPYINR#Month Wise Rates#0#BidPrice17</stp>
        <tr r="I14" s="22"/>
      </tp>
      <tp>
        <v>27256.532899999998</v>
        <stp/>
        <stp>FWRC1#JPYINR#Month Wise Rates#0#BidPrice16</stp>
        <tr r="I13" s="22"/>
      </tp>
      <tp>
        <v>24268.010999999999</v>
        <stp/>
        <stp>FWRC1#JPYINR#Month Wise Rates#0#BidPrice15</stp>
        <tr r="I12" s="22"/>
      </tp>
      <tp>
        <v>21562.508900000001</v>
        <stp/>
        <stp>FWRC1#JPYINR#Month Wise Rates#0#BidPrice14</stp>
        <tr r="I11" s="22"/>
      </tp>
      <tp>
        <v>18506.680700000001</v>
        <stp/>
        <stp>FWRC1#JPYINR#Month Wise Rates#0#BidPrice13</stp>
        <tr r="I10" s="22"/>
      </tp>
      <tp>
        <v>16071.6926</v>
        <stp/>
        <stp>FWRC1#JPYINR#Month Wise Rates#0#BidPrice12</stp>
        <tr r="I9" s="22"/>
      </tp>
      <tp>
        <v>13117.899100000001</v>
        <stp/>
        <stp>FWRC1#JPYINR#Month Wise Rates#0#BidPrice11</stp>
        <tr r="I8" s="22"/>
      </tp>
      <tp>
        <v>9909.9267999999993</v>
        <stp/>
        <stp>FWRC1#JPYINR#Month Wise Rates#0#BidPrice10</stp>
        <tr r="I7" s="22"/>
      </tp>
      <tp>
        <v>24598.184099999999</v>
        <stp/>
        <stp>FWRC1#JPYINR#Month Wise Rates#0#AskPrice15</stp>
        <tr r="J12" s="22"/>
      </tp>
      <tp>
        <v>21891.717700000001</v>
        <stp/>
        <stp>FWRC1#JPYINR#Month Wise Rates#0#AskPrice14</stp>
        <tr r="J11" s="22"/>
      </tp>
      <tp>
        <v>30248.598999999998</v>
        <stp/>
        <stp>FWRC1#JPYINR#Month Wise Rates#0#AskPrice17</stp>
        <tr r="J14" s="22"/>
      </tp>
      <tp>
        <v>27524.558799999999</v>
        <stp/>
        <stp>FWRC1#JPYINR#Month Wise Rates#0#AskPrice16</stp>
        <tr r="J13" s="22"/>
      </tp>
      <tp>
        <v>13411.548699999999</v>
        <stp/>
        <stp>FWRC1#JPYINR#Month Wise Rates#0#AskPrice11</stp>
        <tr r="J8" s="22"/>
      </tp>
      <tp>
        <v>10201.878199999999</v>
        <stp/>
        <stp>FWRC1#JPYINR#Month Wise Rates#0#AskPrice10</stp>
        <tr r="J7" s="22"/>
      </tp>
      <tp>
        <v>18835.286</v>
        <stp/>
        <stp>FWRC1#JPYINR#Month Wise Rates#0#AskPrice13</stp>
        <tr r="J10" s="22"/>
      </tp>
      <tp>
        <v>16346.0149</v>
        <stp/>
        <stp>FWRC1#JPYINR#Month Wise Rates#0#AskPrice12</stp>
        <tr r="J9" s="22"/>
      </tp>
      <tp>
        <v>33020.213300000003</v>
        <stp/>
        <stp>FWRC1#JPYINR#Month Wise Rates#0#AskPrice18</stp>
        <tr r="J15" s="22"/>
      </tp>
      <tp>
        <v>98.202500000000001</v>
        <stp/>
        <stp>17#3#1#6031#GBPINRCOMP#Open</stp>
        <tr r="E5" s="10"/>
        <tr r="B4" s="23"/>
      </tp>
      <tp>
        <v>54.0075</v>
        <stp/>
        <stp>17#3#1#5903#AUDINRCOMP#Open</stp>
        <tr r="B8" s="23"/>
      </tp>
      <tp>
        <v>0.78469999999999995</v>
        <stp/>
        <stp>FWRC1#EURUSD#Month Wise Rates#0#Bid%18</stp>
        <tr r="O10" s="19"/>
      </tp>
      <tp>
        <v>0.81359999999999999</v>
        <stp/>
        <stp>FWRC1#EURUSD#Month Wise Rates#0#Bid%12</stp>
        <tr r="I10" s="19"/>
      </tp>
      <tp>
        <v>0.80100000000000005</v>
        <stp/>
        <stp>FWRC1#EURUSD#Month Wise Rates#0#Bid%13</stp>
        <tr r="J10" s="19"/>
      </tp>
      <tp>
        <v>0.75480000000000003</v>
        <stp/>
        <stp>FWRC1#EURUSD#Month Wise Rates#0#Bid%10</stp>
        <tr r="G10" s="19"/>
      </tp>
      <tp>
        <v>0.8327</v>
        <stp/>
        <stp>FWRC1#EURUSD#Month Wise Rates#0#Bid%11</stp>
        <tr r="H10" s="19"/>
      </tp>
      <tp>
        <v>0.78029999999999999</v>
        <stp/>
        <stp>FWRC1#EURUSD#Month Wise Rates#0#Bid%16</stp>
        <tr r="M10" s="19"/>
      </tp>
      <tp>
        <v>0.78129999999999999</v>
        <stp/>
        <stp>FWRC1#EURUSD#Month Wise Rates#0#Bid%17</stp>
        <tr r="N10" s="19"/>
      </tp>
      <tp>
        <v>0.79879999999999995</v>
        <stp/>
        <stp>FWRC1#EURUSD#Month Wise Rates#0#Bid%14</stp>
        <tr r="K10" s="19"/>
      </tp>
      <tp>
        <v>0.78069999999999995</v>
        <stp/>
        <stp>FWRC1#EURUSD#Month Wise Rates#0#Bid%15</stp>
        <tr r="L10" s="19"/>
      </tp>
      <tp>
        <v>0.76780000000000004</v>
        <stp/>
        <stp>FWRC1#EURUSD#Month Wise Rates#0#Ask%10</stp>
        <tr r="G11" s="19"/>
      </tp>
      <tp>
        <v>0.84470000000000001</v>
        <stp/>
        <stp>FWRC1#EURUSD#Month Wise Rates#0#Ask%11</stp>
        <tr r="H11" s="19"/>
      </tp>
      <tp>
        <v>0.82679999999999998</v>
        <stp/>
        <stp>FWRC1#EURUSD#Month Wise Rates#0#Ask%12</stp>
        <tr r="I11" s="19"/>
      </tp>
      <tp>
        <v>0.85140000000000005</v>
        <stp/>
        <stp>FWRC1#EURUSD#Month Wise Rates#0#Ask%13</stp>
        <tr r="J11" s="19"/>
      </tp>
      <tp>
        <v>0.82679999999999998</v>
        <stp/>
        <stp>FWRC1#EURUSD#Month Wise Rates#0#Ask%14</stp>
        <tr r="K11" s="19"/>
      </tp>
      <tp>
        <v>0.80879999999999996</v>
        <stp/>
        <stp>FWRC1#EURUSD#Month Wise Rates#0#Ask%15</stp>
        <tr r="L11" s="19"/>
      </tp>
      <tp>
        <v>0.83069999999999999</v>
        <stp/>
        <stp>FWRC1#EURUSD#Month Wise Rates#0#Ask%16</stp>
        <tr r="M11" s="19"/>
      </tp>
      <tp>
        <v>0.83189999999999997</v>
        <stp/>
        <stp>FWRC1#EURUSD#Month Wise Rates#0#Ask%17</stp>
        <tr r="N11" s="19"/>
      </tp>
      <tp>
        <v>0.80910000000000004</v>
        <stp/>
        <stp>FWRC1#EURUSD#Month Wise Rates#0#Ask%18</stp>
        <tr r="O11" s="19"/>
      </tp>
      <tp>
        <v>56.7</v>
        <stp/>
        <stp>17#3#1#5921#CADINRCOMP#Open</stp>
        <tr r="B7" s="23"/>
      </tp>
      <tp>
        <v>54.83</v>
        <stp/>
        <stp>17#3#1#6041#SGDINRCOMP#High</stp>
        <tr r="C9" s="23"/>
      </tp>
      <tp>
        <v>97.995000000000005</v>
        <stp/>
        <stp>17#3#1#6031#GBPINRCOMP#Close</stp>
        <tr r="H5" s="10"/>
      </tp>
      <tp>
        <v>1.1916</v>
        <stp/>
        <stp>FWRC1#EURUSD#Month Wise Rates#0#FwdOutrightAsk8</stp>
        <tr r="E8" s="19"/>
      </tp>
      <tp>
        <v>1.1924999999999999</v>
        <stp/>
        <stp>FWRC1#EURUSD#Month Wise Rates#0#FwdOutrightAsk9</stp>
        <tr r="F8" s="19"/>
      </tp>
      <tp>
        <v>1.1909000000000001</v>
        <stp/>
        <stp>FWRC1#EURUSD#Month Wise Rates#0#FwdOutrightAsk7</stp>
        <tr r="D8" s="19"/>
      </tp>
      <tp>
        <v>1.1902999999999999</v>
        <stp/>
        <stp>FWRC1#EURUSD#Month Wise Rates#0#FwdOutrightAsk2</stp>
        <tr r="C8" s="19"/>
      </tp>
      <tp>
        <v>74.885000000000005</v>
        <stp/>
        <stp>17#1#1#6069#USDINRCOMP#High</stp>
        <tr r="C2" s="23"/>
        <tr r="F3" s="10"/>
      </tp>
      <tp>
        <v>88.917500000000004</v>
        <stp/>
        <stp>17#3#1#5949#EURINRCOMP#Open</stp>
        <tr r="B3" s="23"/>
        <tr r="E4" s="10"/>
      </tp>
      <tp>
        <v>55.9</v>
        <stp/>
        <stp>FWRC1#EURUSD#Month Wise Rates#0#Close13</stp>
        <tr r="I27" s="23"/>
      </tp>
      <tp>
        <v>49.34</v>
        <stp/>
        <stp>FWRC1#EURUSD#Month Wise Rates#0#Close12</stp>
        <tr r="H27" s="23"/>
      </tp>
      <tp>
        <v>41.54</v>
        <stp/>
        <stp>FWRC1#EURUSD#Month Wise Rates#0#Close11</stp>
        <tr r="G27" s="23"/>
      </tp>
      <tp>
        <v>30.27</v>
        <stp/>
        <stp>FWRC1#EURUSD#Month Wise Rates#0#Close10</stp>
        <tr r="F27" s="23"/>
      </tp>
      <tp>
        <v>85.09</v>
        <stp/>
        <stp>FWRC1#EURUSD#Month Wise Rates#0#Close17</stp>
        <tr r="M27" s="23"/>
      </tp>
      <tp>
        <v>77.599999999999994</v>
        <stp/>
        <stp>FWRC1#EURUSD#Month Wise Rates#0#Close16</stp>
        <tr r="L27" s="23"/>
      </tp>
      <tp>
        <v>69.489999999999995</v>
        <stp/>
        <stp>FWRC1#EURUSD#Month Wise Rates#0#Close15</stp>
        <tr r="K27" s="23"/>
      </tp>
      <tp>
        <v>63.3</v>
        <stp/>
        <stp>FWRC1#EURUSD#Month Wise Rates#0#Close14</stp>
        <tr r="J27" s="23"/>
      </tp>
      <tp>
        <v>93.39</v>
        <stp/>
        <stp>FWRC1#EURUSD#Month Wise Rates#0#Close18</stp>
        <tr r="N27" s="23"/>
      </tp>
      <tp t="s">
        <v>CASH/SPOT</v>
        <stp/>
        <stp>FWRC1#GBPINR#Month End Rates#0#S#Desc.2</stp>
        <tr r="C1" s="17"/>
      </tp>
      <tp t="s">
        <v>SEP-2020</v>
        <stp/>
        <stp>FWRC1#GBPINR#Month End Rates#0#S#Desc.5</stp>
        <tr r="E1" s="17"/>
      </tp>
      <tp t="s">
        <v>AUG-2020</v>
        <stp/>
        <stp>FWRC1#GBPINR#Month End Rates#0#S#Desc.4</stp>
        <tr r="D1" s="17"/>
      </tp>
      <tp t="s">
        <v>NOV-2020</v>
        <stp/>
        <stp>FWRC1#GBPINR#Month End Rates#0#S#Desc.7</stp>
        <tr r="G1" s="17"/>
      </tp>
      <tp t="s">
        <v>OCT-2020</v>
        <stp/>
        <stp>FWRC1#GBPINR#Month End Rates#0#S#Desc.6</stp>
        <tr r="F1" s="17"/>
      </tp>
      <tp t="s">
        <v>JAN-2021</v>
        <stp/>
        <stp>FWRC1#GBPINR#Month End Rates#0#S#Desc.9</stp>
        <tr r="I1" s="17"/>
      </tp>
      <tp t="s">
        <v>DEC-2020</v>
        <stp/>
        <stp>FWRC1#GBPINR#Month End Rates#0#S#Desc.8</stp>
        <tr r="H1" s="17"/>
      </tp>
      <tp>
        <v>1.3164</v>
        <stp/>
        <stp>FWRC1#GBPUSD#Month Wise Rates#0#FwdOutrightAsk8</stp>
        <tr r="E8" s="20"/>
      </tp>
      <tp>
        <v>1.3165</v>
        <stp/>
        <stp>FWRC1#GBPUSD#Month Wise Rates#0#FwdOutrightAsk9</stp>
        <tr r="F8" s="20"/>
      </tp>
      <tp>
        <v>1.3160000000000001</v>
        <stp/>
        <stp>FWRC1#GBPUSD#Month Wise Rates#0#FwdOutrightAsk7</stp>
        <tr r="D8" s="20"/>
      </tp>
      <tp>
        <v>1.3160000000000001</v>
        <stp/>
        <stp>FWRC1#GBPUSD#Month Wise Rates#0#FwdOutrightAsk2</stp>
        <tr r="C8" s="20"/>
      </tp>
      <tp>
        <v>-64.150000000000006</v>
        <stp/>
        <stp>FWRC1#USDJPY#Month Wise Rates#0#BidPrice18</stp>
        <tr r="O4" s="21"/>
        <tr r="O15" s="22"/>
      </tp>
      <tp>
        <v>-42.83</v>
        <stp/>
        <stp>FWRC1#USDJPY#Month Wise Rates#0#BidPrice14</stp>
        <tr r="K4" s="21"/>
        <tr r="O11" s="22"/>
      </tp>
      <tp>
        <v>-47.33</v>
        <stp/>
        <stp>FWRC1#USDJPY#Month Wise Rates#0#BidPrice15</stp>
        <tr r="O12" s="22"/>
        <tr r="L4" s="21"/>
      </tp>
      <tp>
        <v>-52.96</v>
        <stp/>
        <stp>FWRC1#USDJPY#Month Wise Rates#0#BidPrice16</stp>
        <tr r="O13" s="22"/>
        <tr r="M4" s="21"/>
      </tp>
      <tp>
        <v>-58.69</v>
        <stp/>
        <stp>FWRC1#USDJPY#Month Wise Rates#0#BidPrice17</stp>
        <tr r="O14" s="22"/>
        <tr r="N4" s="21"/>
      </tp>
      <tp>
        <v>-16.149999999999999</v>
        <stp/>
        <stp>FWRC1#USDJPY#Month Wise Rates#0#BidPrice10</stp>
        <tr r="O7" s="22"/>
        <tr r="G4" s="21"/>
      </tp>
      <tp>
        <v>-28</v>
        <stp/>
        <stp>FWRC1#USDJPY#Month Wise Rates#0#BidPrice11</stp>
        <tr r="O8" s="22"/>
        <tr r="H4" s="21"/>
      </tp>
      <tp>
        <v>-32.409999999999997</v>
        <stp/>
        <stp>FWRC1#USDJPY#Month Wise Rates#0#BidPrice12</stp>
        <tr r="I4" s="21"/>
        <tr r="O9" s="22"/>
      </tp>
      <tp>
        <v>-37.36</v>
        <stp/>
        <stp>FWRC1#USDJPY#Month Wise Rates#0#BidPrice13</stp>
        <tr r="J4" s="21"/>
        <tr r="O10" s="22"/>
      </tp>
      <tp>
        <v>-51.46</v>
        <stp/>
        <stp>FWRC1#USDJPY#Month Wise Rates#0#AskPrice16</stp>
        <tr r="M5" s="21"/>
        <tr r="P13" s="22"/>
      </tp>
      <tp>
        <v>-55.19</v>
        <stp/>
        <stp>FWRC1#USDJPY#Month Wise Rates#0#AskPrice17</stp>
        <tr r="P14" s="22"/>
        <tr r="N5" s="21"/>
      </tp>
      <tp>
        <v>-40.83</v>
        <stp/>
        <stp>FWRC1#USDJPY#Month Wise Rates#0#AskPrice14</stp>
        <tr r="K5" s="21"/>
        <tr r="P11" s="22"/>
      </tp>
      <tp>
        <v>-45.33</v>
        <stp/>
        <stp>FWRC1#USDJPY#Month Wise Rates#0#AskPrice15</stp>
        <tr r="L5" s="21"/>
        <tr r="P12" s="22"/>
      </tp>
      <tp>
        <v>-31.19</v>
        <stp/>
        <stp>FWRC1#USDJPY#Month Wise Rates#0#AskPrice12</stp>
        <tr r="I5" s="21"/>
        <tr r="P9" s="22"/>
      </tp>
      <tp>
        <v>-35.36</v>
        <stp/>
        <stp>FWRC1#USDJPY#Month Wise Rates#0#AskPrice13</stp>
        <tr r="J5" s="21"/>
        <tr r="P10" s="22"/>
      </tp>
      <tp>
        <v>-14.65</v>
        <stp/>
        <stp>FWRC1#USDJPY#Month Wise Rates#0#AskPrice10</stp>
        <tr r="G5" s="21"/>
        <tr r="P7" s="22"/>
      </tp>
      <tp>
        <v>-26.5</v>
        <stp/>
        <stp>FWRC1#USDJPY#Month Wise Rates#0#AskPrice11</stp>
        <tr r="H5" s="21"/>
        <tr r="P8" s="22"/>
      </tp>
      <tp>
        <v>-62.15</v>
        <stp/>
        <stp>FWRC1#USDJPY#Month Wise Rates#0#AskPrice18</stp>
        <tr r="P15" s="22"/>
        <tr r="O5" s="21"/>
      </tp>
      <tp>
        <v>12.85</v>
        <stp/>
        <stp>FWRC1#GBPUSD#Month Wise Rates#0#Close11</stp>
        <tr r="G28" s="23"/>
      </tp>
      <tp>
        <v>7.44</v>
        <stp/>
        <stp>FWRC1#GBPUSD#Month Wise Rates#0#Close10</stp>
        <tr r="F28" s="23"/>
      </tp>
      <tp>
        <v>15.16</v>
        <stp/>
        <stp>FWRC1#GBPUSD#Month Wise Rates#0#Close13</stp>
        <tr r="I28" s="23"/>
      </tp>
      <tp>
        <v>13.8</v>
        <stp/>
        <stp>FWRC1#GBPUSD#Month Wise Rates#0#Close12</stp>
        <tr r="H28" s="23"/>
      </tp>
      <tp>
        <v>17.760000000000002</v>
        <stp/>
        <stp>FWRC1#GBPUSD#Month Wise Rates#0#Close15</stp>
        <tr r="K28" s="23"/>
      </tp>
      <tp>
        <v>16.2</v>
        <stp/>
        <stp>FWRC1#GBPUSD#Month Wise Rates#0#Close14</stp>
        <tr r="J28" s="23"/>
      </tp>
      <tp>
        <v>20.190000000000001</v>
        <stp/>
        <stp>FWRC1#GBPUSD#Month Wise Rates#0#Close17</stp>
        <tr r="M28" s="23"/>
      </tp>
      <tp>
        <v>19.2</v>
        <stp/>
        <stp>FWRC1#GBPUSD#Month Wise Rates#0#Close16</stp>
        <tr r="L28" s="23"/>
      </tp>
      <tp>
        <v>22</v>
        <stp/>
        <stp>FWRC1#GBPUSD#Month Wise Rates#0#Close18</stp>
        <tr r="N28" s="23"/>
      </tp>
      <tp t="s">
        <v>30-Jul-2021</v>
        <stp/>
        <stp>FWRC1#USDINR#Month End Rates#0#S#MonthEndDate15</stp>
        <tr r="O2" s="14"/>
      </tp>
      <tp t="s">
        <v>30-Jun-2021</v>
        <stp/>
        <stp>FWRC1#USDINR#Month End Rates#0#S#MonthEndDate14</stp>
        <tr r="N2" s="14"/>
      </tp>
      <tp t="s">
        <v>31-Mar-2021</v>
        <stp/>
        <stp>FWRC1#USDINR#Month End Rates#0#S#MonthEndDate11</stp>
        <tr r="K2" s="14"/>
      </tp>
      <tp t="s">
        <v>26-Feb-2021</v>
        <stp/>
        <stp>FWRC1#USDINR#Month End Rates#0#S#MonthEndDate10</stp>
        <tr r="J2" s="14"/>
      </tp>
      <tp t="s">
        <v>31-May-2021</v>
        <stp/>
        <stp>FWRC1#USDINR#Month End Rates#0#S#MonthEndDate13</stp>
        <tr r="M2" s="14"/>
      </tp>
      <tp t="s">
        <v>30-Apr-2021</v>
        <stp/>
        <stp>FWRC1#USDINR#Month End Rates#0#S#MonthEndDate12</stp>
        <tr r="L2" s="14"/>
      </tp>
      <tp t="s">
        <v>CASH/SPOT</v>
        <stp/>
        <stp>FWRC1#EURINR#Month End Rates#0#S#Desc.2</stp>
        <tr r="C1" s="16"/>
      </tp>
      <tp t="s">
        <v>NOV-2020</v>
        <stp/>
        <stp>FWRC1#EURINR#Month End Rates#0#S#Desc.7</stp>
        <tr r="G1" s="16"/>
      </tp>
      <tp t="s">
        <v>OCT-2020</v>
        <stp/>
        <stp>FWRC1#EURINR#Month End Rates#0#S#Desc.6</stp>
        <tr r="F1" s="16"/>
      </tp>
      <tp t="s">
        <v>SEP-2020</v>
        <stp/>
        <stp>FWRC1#EURINR#Month End Rates#0#S#Desc.5</stp>
        <tr r="E1" s="16"/>
      </tp>
      <tp t="s">
        <v>AUG-2020</v>
        <stp/>
        <stp>FWRC1#EURINR#Month End Rates#0#S#Desc.4</stp>
        <tr r="D1" s="16"/>
      </tp>
      <tp t="s">
        <v>JAN-2021</v>
        <stp/>
        <stp>FWRC1#EURINR#Month End Rates#0#S#Desc.9</stp>
        <tr r="I1" s="16"/>
      </tp>
      <tp t="s">
        <v>DEC-2020</v>
        <stp/>
        <stp>FWRC1#EURINR#Month End Rates#0#S#Desc.8</stp>
        <tr r="H1" s="16"/>
      </tp>
      <tp>
        <v>54.127499999999998</v>
        <stp/>
        <stp>17#3#1#5903#AUDINRCOMP#High</stp>
        <tr r="C8" s="23"/>
      </tp>
      <tp>
        <v>-0.58879999999999999</v>
        <stp/>
        <stp>FWRC1#USDJPY#Month Wise Rates#0#Ask%18</stp>
        <tr r="O11" s="21"/>
      </tp>
      <tp>
        <v>-0.57140000000000002</v>
        <stp/>
        <stp>FWRC1#USDJPY#Month Wise Rates#0#Ask%17</stp>
        <tr r="N11" s="21"/>
      </tp>
      <tp>
        <v>-0.58350000000000002</v>
        <stp/>
        <stp>FWRC1#USDJPY#Month Wise Rates#0#Ask%16</stp>
        <tr r="M11" s="21"/>
      </tp>
      <tp>
        <v>-0.57420000000000004</v>
        <stp/>
        <stp>FWRC1#USDJPY#Month Wise Rates#0#Ask%15</stp>
        <tr r="L11" s="21"/>
      </tp>
      <tp>
        <v>-0.58109999999999995</v>
        <stp/>
        <stp>FWRC1#USDJPY#Month Wise Rates#0#Ask%14</stp>
        <tr r="K11" s="21"/>
      </tp>
      <tp>
        <v>-0.57140000000000002</v>
        <stp/>
        <stp>FWRC1#USDJPY#Month Wise Rates#0#Ask%13</stp>
        <tr r="J11" s="21"/>
      </tp>
      <tp>
        <v>-0.57989999999999997</v>
        <stp/>
        <stp>FWRC1#USDJPY#Month Wise Rates#0#Ask%12</stp>
        <tr r="I11" s="21"/>
      </tp>
      <tp>
        <v>-0.59899999999999998</v>
        <stp/>
        <stp>FWRC1#USDJPY#Month Wise Rates#0#Ask%11</stp>
        <tr r="H11" s="21"/>
      </tp>
      <tp>
        <v>-0.41189999999999999</v>
        <stp/>
        <stp>FWRC1#USDJPY#Month Wise Rates#0#Ask%10</stp>
        <tr r="G11" s="21"/>
      </tp>
      <tp>
        <v>-0.59950000000000003</v>
        <stp/>
        <stp>FWRC1#USDJPY#Month Wise Rates#0#Bid%15</stp>
        <tr r="L10" s="21"/>
      </tp>
      <tp>
        <v>-0.60950000000000004</v>
        <stp/>
        <stp>FWRC1#USDJPY#Month Wise Rates#0#Bid%14</stp>
        <tr r="K10" s="21"/>
      </tp>
      <tp>
        <v>-0.60770000000000002</v>
        <stp/>
        <stp>FWRC1#USDJPY#Month Wise Rates#0#Bid%17</stp>
        <tr r="N10" s="21"/>
      </tp>
      <tp>
        <v>-0.60050000000000003</v>
        <stp/>
        <stp>FWRC1#USDJPY#Month Wise Rates#0#Bid%16</stp>
        <tr r="M10" s="21"/>
      </tp>
      <tp>
        <v>-0.63290000000000002</v>
        <stp/>
        <stp>FWRC1#USDJPY#Month Wise Rates#0#Bid%11</stp>
        <tr r="H10" s="21"/>
      </tp>
      <tp>
        <v>-0.4541</v>
        <stp/>
        <stp>FWRC1#USDJPY#Month Wise Rates#0#Bid%10</stp>
        <tr r="G10" s="21"/>
      </tp>
      <tp>
        <v>-0.60370000000000001</v>
        <stp/>
        <stp>FWRC1#USDJPY#Month Wise Rates#0#Bid%13</stp>
        <tr r="J10" s="21"/>
      </tp>
      <tp>
        <v>-0.60260000000000002</v>
        <stp/>
        <stp>FWRC1#USDJPY#Month Wise Rates#0#Bid%12</stp>
        <tr r="I10" s="21"/>
      </tp>
      <tp>
        <v>-0.60780000000000001</v>
        <stp/>
        <stp>FWRC1#USDJPY#Month Wise Rates#0#Bid%18</stp>
        <tr r="O10" s="21"/>
      </tp>
      <tp>
        <v>54.68</v>
        <stp/>
        <stp>17#3#1#6041#SGDINRCOMP#Open</stp>
        <tr r="B9" s="23"/>
      </tp>
      <tp>
        <v>56.84</v>
        <stp/>
        <stp>17#3#1#5921#CADINRCOMP#High</stp>
        <tr r="C7" s="23"/>
      </tp>
      <tp>
        <v>41125.763299999999</v>
        <stp/>
        <stp>FWRC1#GBPINR#Month Wise Rates#0#BidPrice18</stp>
        <tr r="G15" s="22"/>
      </tp>
      <tp>
        <v>37712.033100000001</v>
        <stp/>
        <stp>FWRC1#GBPINR#Month Wise Rates#0#BidPrice17</stp>
        <tr r="G14" s="22"/>
      </tp>
      <tp>
        <v>34381.745300000002</v>
        <stp/>
        <stp>FWRC1#GBPINR#Month Wise Rates#0#BidPrice16</stp>
        <tr r="G13" s="22"/>
      </tp>
      <tp>
        <v>30732.203699999998</v>
        <stp/>
        <stp>FWRC1#GBPINR#Month Wise Rates#0#BidPrice15</stp>
        <tr r="G12" s="22"/>
      </tp>
      <tp>
        <v>27340.736400000002</v>
        <stp/>
        <stp>FWRC1#GBPINR#Month Wise Rates#0#BidPrice14</stp>
        <tr r="G11" s="22"/>
      </tp>
      <tp>
        <v>23521.841899999999</v>
        <stp/>
        <stp>FWRC1#GBPINR#Month Wise Rates#0#BidPrice13</stp>
        <tr r="G10" s="22"/>
      </tp>
      <tp>
        <v>20384.834299999999</v>
        <stp/>
        <stp>FWRC1#GBPINR#Month Wise Rates#0#BidPrice12</stp>
        <tr r="G9" s="22"/>
      </tp>
      <tp>
        <v>16708.9745</v>
        <stp/>
        <stp>FWRC1#GBPINR#Month Wise Rates#0#BidPrice11</stp>
        <tr r="G8" s="22"/>
      </tp>
      <tp>
        <v>12947.3999</v>
        <stp/>
        <stp>FWRC1#GBPINR#Month Wise Rates#0#BidPrice10</stp>
        <tr r="G7" s="22"/>
      </tp>
      <tp>
        <v>31161.509300000002</v>
        <stp/>
        <stp>FWRC1#GBPINR#Month Wise Rates#0#AskPrice15</stp>
        <tr r="H12" s="22"/>
      </tp>
      <tp>
        <v>27744.1008</v>
        <stp/>
        <stp>FWRC1#GBPINR#Month Wise Rates#0#AskPrice14</stp>
        <tr r="H11" s="22"/>
      </tp>
      <tp>
        <v>38155.494299999998</v>
        <stp/>
        <stp>FWRC1#GBPINR#Month Wise Rates#0#AskPrice17</stp>
        <tr r="H14" s="22"/>
      </tp>
      <tp>
        <v>34811.337399999997</v>
        <stp/>
        <stp>FWRC1#GBPINR#Month Wise Rates#0#AskPrice16</stp>
        <tr r="H13" s="22"/>
      </tp>
      <tp>
        <v>17057.934000000001</v>
        <stp/>
        <stp>FWRC1#GBPINR#Month Wise Rates#0#AskPrice11</stp>
        <tr r="H8" s="22"/>
      </tp>
      <tp>
        <v>13284.4422</v>
        <stp/>
        <stp>FWRC1#GBPINR#Month Wise Rates#0#AskPrice10</stp>
        <tr r="H7" s="22"/>
      </tp>
      <tp>
        <v>23908.727200000001</v>
        <stp/>
        <stp>FWRC1#GBPINR#Month Wise Rates#0#AskPrice13</stp>
        <tr r="H10" s="22"/>
      </tp>
      <tp>
        <v>20749.9581</v>
        <stp/>
        <stp>FWRC1#GBPINR#Month Wise Rates#0#AskPrice12</stp>
        <tr r="H9" s="22"/>
      </tp>
      <tp>
        <v>41589.116199999997</v>
        <stp/>
        <stp>FWRC1#GBPINR#Month Wise Rates#0#AskPrice18</stp>
        <tr r="H15" s="22"/>
      </tp>
      <tp>
        <v>1.3163</v>
        <stp/>
        <stp>FWRC1#GBPUSD#Month Wise Rates#0#FwdOutrightBid8</stp>
        <tr r="E7" s="20"/>
      </tp>
      <tp>
        <v>1.3163</v>
        <stp/>
        <stp>FWRC1#GBPUSD#Month Wise Rates#0#FwdOutrightBid9</stp>
        <tr r="F7" s="20"/>
      </tp>
      <tp>
        <v>1.3160000000000001</v>
        <stp/>
        <stp>FWRC1#GBPUSD#Month Wise Rates#0#FwdOutrightBid7</stp>
        <tr r="D7" s="20"/>
      </tp>
      <tp>
        <v>1.3160000000000001</v>
        <stp/>
        <stp>FWRC1#GBPUSD#Month Wise Rates#0#FwdOutrightBid2</stp>
        <tr r="C7" s="20"/>
      </tp>
      <tp>
        <v>88.96</v>
        <stp/>
        <stp>FWRC1#EURINR#Month End Rates#0#Close0</stp>
        <tr r="F20" s="23"/>
        <tr r="E20" s="23"/>
        <tr r="J20" s="23"/>
        <tr r="H20" s="23"/>
        <tr r="L20" s="23"/>
        <tr r="K20" s="23"/>
        <tr r="D20" s="23"/>
        <tr r="N20" s="23"/>
        <tr r="C20" s="23"/>
        <tr r="G20" s="23"/>
        <tr r="M20" s="23"/>
        <tr r="B20" s="23"/>
        <tr r="I20" s="23"/>
      </tp>
      <tp>
        <v>112.17749999999999</v>
        <stp/>
        <stp>FWRC1#EURINR#Month End Rates#0#Close7</stp>
        <tr r="F20" s="23"/>
      </tp>
      <tp>
        <v>73.775000000000006</v>
        <stp/>
        <stp>FWRC1#EURINR#Month End Rates#0#Close6</stp>
        <tr r="E20" s="23"/>
      </tp>
      <tp>
        <v>41.935000000000002</v>
        <stp/>
        <stp>FWRC1#EURINR#Month End Rates#0#Close5</stp>
        <tr r="D20" s="23"/>
      </tp>
      <tp>
        <v>11.324999999999999</v>
        <stp/>
        <stp>FWRC1#EURINR#Month End Rates#0#Close4</stp>
        <tr r="C20" s="23"/>
      </tp>
      <tp>
        <v>185.15</v>
        <stp/>
        <stp>FWRC1#EURINR#Month End Rates#0#Close9</stp>
        <tr r="H20" s="23"/>
      </tp>
      <tp>
        <v>151.24250000000001</v>
        <stp/>
        <stp>FWRC1#EURINR#Month End Rates#0#Close8</stp>
        <tr r="G20" s="23"/>
      </tp>
      <tp>
        <v>96.29</v>
        <stp/>
        <stp>FWRC1#EURUSD#Month Wise Rates#0#AskPrice18</stp>
        <tr r="L15" s="22"/>
        <tr r="O5" s="19"/>
      </tp>
      <tp>
        <v>42.14</v>
        <stp/>
        <stp>FWRC1#EURUSD#Month Wise Rates#0#AskPrice11</stp>
        <tr r="H5" s="19"/>
        <tr r="L8" s="22"/>
      </tp>
      <tp>
        <v>30.79</v>
        <stp/>
        <stp>FWRC1#EURUSD#Month Wise Rates#0#AskPrice10</stp>
        <tr r="L7" s="22"/>
        <tr r="G5" s="19"/>
      </tp>
      <tp>
        <v>59.4</v>
        <stp/>
        <stp>FWRC1#EURUSD#Month Wise Rates#0#AskPrice13</stp>
        <tr r="L10" s="22"/>
        <tr r="J5" s="19"/>
      </tp>
      <tp>
        <v>50.14</v>
        <stp/>
        <stp>FWRC1#EURUSD#Month Wise Rates#0#AskPrice12</stp>
        <tr r="I5" s="19"/>
        <tr r="L9" s="22"/>
      </tp>
      <tp>
        <v>71.989999999999995</v>
        <stp/>
        <stp>FWRC1#EURUSD#Month Wise Rates#0#AskPrice15</stp>
        <tr r="L12" s="22"/>
        <tr r="L5" s="19"/>
      </tp>
      <tp>
        <v>65.5</v>
        <stp/>
        <stp>FWRC1#EURUSD#Month Wise Rates#0#AskPrice14</stp>
        <tr r="K5" s="19"/>
        <tr r="L11" s="22"/>
      </tp>
      <tp>
        <v>90.59</v>
        <stp/>
        <stp>FWRC1#EURUSD#Month Wise Rates#0#AskPrice17</stp>
        <tr r="L14" s="22"/>
        <tr r="N5" s="19"/>
      </tp>
      <tp>
        <v>82.6</v>
        <stp/>
        <stp>FWRC1#EURUSD#Month Wise Rates#0#AskPrice16</stp>
        <tr r="L13" s="22"/>
        <tr r="M5" s="19"/>
      </tp>
      <tp>
        <v>55.9</v>
        <stp/>
        <stp>FWRC1#EURUSD#Month Wise Rates#0#BidPrice13</stp>
        <tr r="J4" s="19"/>
        <tr r="K10" s="22"/>
      </tp>
      <tp>
        <v>49.34</v>
        <stp/>
        <stp>FWRC1#EURUSD#Month Wise Rates#0#BidPrice12</stp>
        <tr r="K9" s="22"/>
        <tr r="I4" s="19"/>
      </tp>
      <tp>
        <v>41.54</v>
        <stp/>
        <stp>FWRC1#EURUSD#Month Wise Rates#0#BidPrice11</stp>
        <tr r="K8" s="22"/>
        <tr r="H4" s="19"/>
      </tp>
      <tp>
        <v>30.27</v>
        <stp/>
        <stp>FWRC1#EURUSD#Month Wise Rates#0#BidPrice10</stp>
        <tr r="G4" s="19"/>
        <tr r="K7" s="22"/>
      </tp>
      <tp>
        <v>85.09</v>
        <stp/>
        <stp>FWRC1#EURUSD#Month Wise Rates#0#BidPrice17</stp>
        <tr r="K14" s="22"/>
        <tr r="N4" s="19"/>
      </tp>
      <tp>
        <v>77.599999999999994</v>
        <stp/>
        <stp>FWRC1#EURUSD#Month Wise Rates#0#BidPrice16</stp>
        <tr r="K13" s="22"/>
        <tr r="M4" s="19"/>
      </tp>
      <tp>
        <v>69.489999999999995</v>
        <stp/>
        <stp>FWRC1#EURUSD#Month Wise Rates#0#BidPrice15</stp>
        <tr r="K12" s="22"/>
        <tr r="L4" s="19"/>
      </tp>
      <tp>
        <v>63.3</v>
        <stp/>
        <stp>FWRC1#EURUSD#Month Wise Rates#0#BidPrice14</stp>
        <tr r="K4" s="19"/>
        <tr r="K11" s="22"/>
      </tp>
      <tp>
        <v>93.39</v>
        <stp/>
        <stp>FWRC1#EURUSD#Month Wise Rates#0#BidPrice18</stp>
        <tr r="O4" s="19"/>
        <tr r="K15" s="22"/>
      </tp>
      <tp>
        <v>74.77</v>
        <stp/>
        <stp>17#1#1#6069#USDINRCOMP#Open</stp>
        <tr r="E3" s="10"/>
        <tr r="B2" s="23"/>
      </tp>
      <tp>
        <v>89.075000000000003</v>
        <stp/>
        <stp>17#3#1#5949#EURINRCOMP#High</stp>
        <tr r="C3" s="23"/>
        <tr r="F4" s="10"/>
      </tp>
      <tp>
        <v>1.1915</v>
        <stp/>
        <stp>FWRC1#EURUSD#Month Wise Rates#0#FwdOutrightBid8</stp>
        <tr r="E7" s="19"/>
      </tp>
      <tp>
        <v>1.1922999999999999</v>
        <stp/>
        <stp>FWRC1#EURUSD#Month Wise Rates#0#FwdOutrightBid9</stp>
        <tr r="F7" s="19"/>
      </tp>
      <tp>
        <v>1.1908000000000001</v>
        <stp/>
        <stp>FWRC1#EURUSD#Month Wise Rates#0#FwdOutrightBid7</stp>
        <tr r="D7" s="19"/>
      </tp>
      <tp>
        <v>1.1899</v>
        <stp/>
        <stp>FWRC1#EURUSD#Month Wise Rates#0#FwdOutrightBid2</stp>
        <tr r="C7" s="19"/>
      </tp>
      <tp>
        <v>98.37</v>
        <stp/>
        <stp>FWRC1#GBPINR#Month End Rates#0#Close0</stp>
        <tr r="J21" s="23"/>
        <tr r="H21" s="23"/>
        <tr r="L21" s="23"/>
        <tr r="G21" s="23"/>
        <tr r="M21" s="23"/>
        <tr r="C21" s="23"/>
        <tr r="D21" s="23"/>
        <tr r="K21" s="23"/>
        <tr r="N21" s="23"/>
        <tr r="E21" s="23"/>
        <tr r="F21" s="23"/>
        <tr r="I21" s="23"/>
        <tr r="B21" s="23"/>
      </tp>
      <tp>
        <v>4016.8575000000001</v>
        <stp/>
        <stp>FWRC1#GBPINR#Month End Rates#0#Close5</stp>
        <tr r="D21" s="23"/>
      </tp>
      <tp>
        <v>1082.355</v>
        <stp/>
        <stp>FWRC1#GBPINR#Month End Rates#0#Close4</stp>
        <tr r="C21" s="23"/>
      </tp>
      <tp>
        <v>10736.8675</v>
        <stp/>
        <stp>FWRC1#GBPINR#Month End Rates#0#Close7</stp>
        <tr r="F21" s="23"/>
      </tp>
      <tp>
        <v>7056.5725000000002</v>
        <stp/>
        <stp>FWRC1#GBPINR#Month End Rates#0#Close6</stp>
        <tr r="E21" s="23"/>
      </tp>
      <tp>
        <v>17754.532500000001</v>
        <stp/>
        <stp>FWRC1#GBPINR#Month End Rates#0#Close9</stp>
        <tr r="H21" s="23"/>
      </tp>
      <tp>
        <v>14524.795</v>
        <stp/>
        <stp>FWRC1#GBPINR#Month End Rates#0#Close8</stp>
        <tr r="G21" s="23"/>
      </tp>
      <tp t="s">
        <v>30-Apr-2021</v>
        <stp/>
        <stp>FWRC1#JPYINR#Month End Rates#0#S#PillarDate12</stp>
        <tr r="L2" s="18"/>
      </tp>
      <tp t="s">
        <v>31-May-2021</v>
        <stp/>
        <stp>FWRC1#JPYINR#Month End Rates#0#S#PillarDate13</stp>
        <tr r="M2" s="18"/>
      </tp>
      <tp t="s">
        <v>26-Feb-2021</v>
        <stp/>
        <stp>FWRC1#JPYINR#Month End Rates#0#S#PillarDate10</stp>
        <tr r="J2" s="18"/>
      </tp>
      <tp t="s">
        <v>31-Mar-2021</v>
        <stp/>
        <stp>FWRC1#JPYINR#Month End Rates#0#S#PillarDate11</stp>
        <tr r="K2" s="18"/>
      </tp>
      <tp t="s">
        <v>30-Jun-2021</v>
        <stp/>
        <stp>FWRC1#JPYINR#Month End Rates#0#S#PillarDate14</stp>
        <tr r="N2" s="18"/>
      </tp>
      <tp t="s">
        <v>30-Jul-2021</v>
        <stp/>
        <stp>FWRC1#JPYINR#Month End Rates#0#S#PillarDate15</stp>
        <tr r="O2" s="18"/>
      </tp>
      <tp>
        <v>74.885000000000005</v>
        <stp/>
        <stp>17#1#1#6069#USDINRCOMP#Close</stp>
        <tr r="H3" s="10"/>
      </tp>
      <tp>
        <v>42008.7137</v>
        <stp/>
        <stp>FWRC1#CHFINR#Month Wise Rates#0#Close18</stp>
        <tr r="N23" s="23"/>
      </tp>
      <tp>
        <v>13268.2484</v>
        <stp/>
        <stp>FWRC1#CHFINR#Month Wise Rates#0#Close10</stp>
        <tr r="F23" s="23"/>
      </tp>
      <tp>
        <v>17115.723600000001</v>
        <stp/>
        <stp>FWRC1#CHFINR#Month Wise Rates#0#Close11</stp>
        <tr r="G23" s="23"/>
      </tp>
      <tp>
        <v>20878.552500000002</v>
        <stp/>
        <stp>FWRC1#CHFINR#Month Wise Rates#0#Close12</stp>
        <tr r="H23" s="23"/>
      </tp>
      <tp>
        <v>23921.291000000001</v>
        <stp/>
        <stp>FWRC1#CHFINR#Month Wise Rates#0#Close13</stp>
        <tr r="I23" s="23"/>
      </tp>
      <tp>
        <v>27783.843499999999</v>
        <stp/>
        <stp>FWRC1#CHFINR#Month Wise Rates#0#Close14</stp>
        <tr r="J23" s="23"/>
      </tp>
      <tp>
        <v>31387.749500000002</v>
        <stp/>
        <stp>FWRC1#CHFINR#Month Wise Rates#0#Close15</stp>
        <tr r="K23" s="23"/>
      </tp>
      <tp>
        <v>34457.735500000003</v>
        <stp/>
        <stp>FWRC1#CHFINR#Month Wise Rates#0#Close16</stp>
        <tr r="L23" s="23"/>
      </tp>
      <tp>
        <v>37946.9084</v>
        <stp/>
        <stp>FWRC1#CHFINR#Month Wise Rates#0#Close17</stp>
        <tr r="M23" s="23"/>
      </tp>
      <tp t="s">
        <v>30-Jul-2021</v>
        <stp/>
        <stp>FWRC1#EURINR#Month End Rates#0#S#MonthEndDate15</stp>
        <tr r="O2" s="16"/>
      </tp>
      <tp t="s">
        <v>30-Jun-2021</v>
        <stp/>
        <stp>FWRC1#EURINR#Month End Rates#0#S#MonthEndDate14</stp>
        <tr r="N2" s="16"/>
      </tp>
      <tp t="s">
        <v>31-Mar-2021</v>
        <stp/>
        <stp>FWRC1#EURINR#Month End Rates#0#S#MonthEndDate11</stp>
        <tr r="K2" s="16"/>
      </tp>
      <tp t="s">
        <v>26-Feb-2021</v>
        <stp/>
        <stp>FWRC1#EURINR#Month End Rates#0#S#MonthEndDate10</stp>
        <tr r="J2" s="16"/>
      </tp>
      <tp t="s">
        <v>31-May-2021</v>
        <stp/>
        <stp>FWRC1#EURINR#Month End Rates#0#S#MonthEndDate13</stp>
        <tr r="M2" s="16"/>
      </tp>
      <tp t="s">
        <v>30-Apr-2021</v>
        <stp/>
        <stp>FWRC1#EURINR#Month End Rates#0#S#MonthEndDate12</stp>
        <tr r="L2" s="16"/>
      </tp>
      <tp t="s">
        <v>CASH/SPOT</v>
        <stp/>
        <stp>FWRC1#USDINR#Month End Rates#0#S#Desc.2</stp>
        <tr r="C1" s="14"/>
      </tp>
      <tp t="s">
        <v>NOV-2020</v>
        <stp/>
        <stp>FWRC1#USDINR#Month End Rates#0#S#Desc.7</stp>
        <tr r="G1" s="14"/>
      </tp>
      <tp t="s">
        <v>OCT-2020</v>
        <stp/>
        <stp>FWRC1#USDINR#Month End Rates#0#S#Desc.6</stp>
        <tr r="F1" s="14"/>
      </tp>
      <tp t="s">
        <v>SEP-2020</v>
        <stp/>
        <stp>FWRC1#USDINR#Month End Rates#0#S#Desc.5</stp>
        <tr r="E1" s="14"/>
      </tp>
      <tp t="s">
        <v>AUG-2020</v>
        <stp/>
        <stp>FWRC1#USDINR#Month End Rates#0#S#Desc.4</stp>
        <tr r="D1" s="14"/>
      </tp>
      <tp t="s">
        <v>JAN-2021</v>
        <stp/>
        <stp>FWRC1#USDINR#Month End Rates#0#S#Desc.9</stp>
        <tr r="I1" s="14"/>
      </tp>
      <tp t="s">
        <v>DEC-2020</v>
        <stp/>
        <stp>FWRC1#USDINR#Month End Rates#0#S#Desc.8</stp>
        <tr r="H1" s="14"/>
      </tp>
      <tp>
        <v>4.0419</v>
        <stp/>
        <stp>FWRC1#USDINR#Month Wise Rates#0#Ask%18</stp>
        <tr r="O11" s="15"/>
      </tp>
      <tp>
        <v>4.0270000000000001</v>
        <stp/>
        <stp>FWRC1#USDINR#Month Wise Rates#0#Ask%14</stp>
        <tr r="K11" s="15"/>
      </tp>
      <tp>
        <v>4.0317999999999996</v>
        <stp/>
        <stp>FWRC1#USDINR#Month Wise Rates#0#Ask%15</stp>
        <tr r="L11" s="15"/>
      </tp>
      <tp>
        <v>4.0406000000000004</v>
        <stp/>
        <stp>FWRC1#USDINR#Month Wise Rates#0#Ask%16</stp>
        <tr r="M11" s="15"/>
      </tp>
      <tp>
        <v>4.0468999999999999</v>
        <stp/>
        <stp>FWRC1#USDINR#Month Wise Rates#0#Ask%17</stp>
        <tr r="N11" s="15"/>
      </tp>
      <tp>
        <v>3.8529</v>
        <stp/>
        <stp>FWRC1#USDINR#Month Wise Rates#0#Ask%10</stp>
        <tr r="G11" s="15"/>
      </tp>
      <tp>
        <v>3.8845000000000001</v>
        <stp/>
        <stp>FWRC1#USDINR#Month Wise Rates#0#Ask%11</stp>
        <tr r="H11" s="15"/>
      </tp>
      <tp>
        <v>3.9104000000000001</v>
        <stp/>
        <stp>FWRC1#USDINR#Month Wise Rates#0#Ask%12</stp>
        <tr r="I11" s="15"/>
      </tp>
      <tp>
        <v>3.9300999999999999</v>
        <stp/>
        <stp>FWRC1#USDINR#Month Wise Rates#0#Ask%13</stp>
        <tr r="J11" s="15"/>
      </tp>
      <tp>
        <v>4.008</v>
        <stp/>
        <stp>FWRC1#USDINR#Month Wise Rates#0#Bid%16</stp>
        <tr r="M10" s="15"/>
      </tp>
      <tp>
        <v>4.0171000000000001</v>
        <stp/>
        <stp>FWRC1#USDINR#Month Wise Rates#0#Bid%17</stp>
        <tr r="N10" s="15"/>
      </tp>
      <tp>
        <v>3.9863</v>
        <stp/>
        <stp>FWRC1#USDINR#Month Wise Rates#0#Bid%14</stp>
        <tr r="K10" s="15"/>
      </tp>
      <tp>
        <v>3.9954999999999998</v>
        <stp/>
        <stp>FWRC1#USDINR#Month Wise Rates#0#Bid%15</stp>
        <tr r="L10" s="15"/>
      </tp>
      <tp>
        <v>3.8574000000000002</v>
        <stp/>
        <stp>FWRC1#USDINR#Month Wise Rates#0#Bid%12</stp>
        <tr r="I10" s="15"/>
      </tp>
      <tp>
        <v>3.8839000000000001</v>
        <stp/>
        <stp>FWRC1#USDINR#Month Wise Rates#0#Bid%13</stp>
        <tr r="J10" s="15"/>
      </tp>
      <tp>
        <v>3.7730000000000001</v>
        <stp/>
        <stp>FWRC1#USDINR#Month Wise Rates#0#Bid%10</stp>
        <tr r="G10" s="15"/>
      </tp>
      <tp>
        <v>3.8201999999999998</v>
        <stp/>
        <stp>FWRC1#USDINR#Month Wise Rates#0#Bid%11</stp>
        <tr r="H10" s="15"/>
      </tp>
      <tp>
        <v>4.0145999999999997</v>
        <stp/>
        <stp>FWRC1#USDINR#Month Wise Rates#0#Bid%18</stp>
        <tr r="O10" s="15"/>
      </tp>
      <tp>
        <v>70.342500000000001</v>
        <stp/>
        <stp>17#3#1#5978#JPYINRCOMP#Close</stp>
        <tr r="H6" s="10"/>
      </tp>
      <tp>
        <v>11403.1425</v>
        <stp/>
        <stp>FWRC1#JPYINR#Month End Rates#0#Close8</stp>
        <tr r="G22" s="23"/>
      </tp>
      <tp>
        <v>13997.924999999999</v>
        <stp/>
        <stp>FWRC1#JPYINR#Month End Rates#0#Close9</stp>
        <tr r="H22" s="23"/>
      </tp>
      <tp>
        <v>70.784999999999997</v>
        <stp/>
        <stp>FWRC1#JPYINR#Month End Rates#0#Close0</stp>
        <tr r="J22" s="23"/>
        <tr r="G22" s="23"/>
        <tr r="I22" s="23"/>
        <tr r="K22" s="23"/>
        <tr r="M22" s="23"/>
        <tr r="H22" s="23"/>
        <tr r="L22" s="23"/>
        <tr r="D22" s="23"/>
        <tr r="E22" s="23"/>
        <tr r="C22" s="23"/>
        <tr r="N22" s="23"/>
        <tr r="F22" s="23"/>
        <tr r="B22" s="23"/>
      </tp>
      <tp>
        <v>774.3</v>
        <stp/>
        <stp>FWRC1#JPYINR#Month End Rates#0#Close4</stp>
        <tr r="C22" s="23"/>
      </tp>
      <tp>
        <v>3081.7375000000002</v>
        <stp/>
        <stp>FWRC1#JPYINR#Month End Rates#0#Close5</stp>
        <tr r="D22" s="23"/>
      </tp>
      <tp>
        <v>5365.5349999999999</v>
        <stp/>
        <stp>FWRC1#JPYINR#Month End Rates#0#Close6</stp>
        <tr r="E22" s="23"/>
      </tp>
      <tp>
        <v>8217.9874999999993</v>
        <stp/>
        <stp>FWRC1#JPYINR#Month End Rates#0#Close7</stp>
        <tr r="F22" s="23"/>
      </tp>
      <tp t="s">
        <v>31-May-2021</v>
        <stp/>
        <stp>FWRC1#GBPINR#Month End Rates#0#S#PillarDate13</stp>
        <tr r="M2" s="17"/>
      </tp>
      <tp t="s">
        <v>30-Apr-2021</v>
        <stp/>
        <stp>FWRC1#GBPINR#Month End Rates#0#S#PillarDate12</stp>
        <tr r="L2" s="17"/>
      </tp>
      <tp t="s">
        <v>31-Mar-2021</v>
        <stp/>
        <stp>FWRC1#GBPINR#Month End Rates#0#S#PillarDate11</stp>
        <tr r="K2" s="17"/>
      </tp>
      <tp t="s">
        <v>26-Feb-2021</v>
        <stp/>
        <stp>FWRC1#GBPINR#Month End Rates#0#S#PillarDate10</stp>
        <tr r="J2" s="17"/>
      </tp>
      <tp t="s">
        <v>30-Jul-2021</v>
        <stp/>
        <stp>FWRC1#GBPINR#Month End Rates#0#S#PillarDate15</stp>
        <tr r="O2" s="17"/>
      </tp>
      <tp t="s">
        <v>30-Jun-2021</v>
        <stp/>
        <stp>FWRC1#GBPINR#Month End Rates#0#S#PillarDate14</stp>
        <tr r="N2" s="17"/>
      </tp>
      <tp>
        <v>105.43049999999999</v>
        <stp/>
        <stp>FWRC1#USDJPY#Month Wise Rates#0#FwdOutrightAsk9</stp>
        <tr r="F8" s="21"/>
      </tp>
      <tp>
        <v>105.47069999999999</v>
        <stp/>
        <stp>FWRC1#USDJPY#Month Wise Rates#0#FwdOutrightAsk8</stp>
        <tr r="E8" s="21"/>
      </tp>
      <tp>
        <v>105.5176</v>
        <stp/>
        <stp>FWRC1#USDJPY#Month Wise Rates#0#FwdOutrightAsk7</stp>
        <tr r="D8" s="21"/>
      </tp>
      <tp>
        <v>105.5912</v>
        <stp/>
        <stp>FWRC1#USDJPY#Month Wise Rates#0#FwdOutrightAsk2</stp>
        <tr r="C8" s="21"/>
      </tp>
      <tp t="s">
        <v/>
        <stp/>
        <stp>FWRC1#USDINR#Month Wise Rates#0#FwdOutrightAsk2</stp>
        <tr r="C8" s="15"/>
      </tp>
      <tp>
        <v>75.007499999999993</v>
        <stp/>
        <stp>FWRC1#USDINR#Month Wise Rates#0#FwdOutrightAsk7</stp>
        <tr r="D8" s="15"/>
      </tp>
      <tp>
        <v>75.488299999999995</v>
        <stp/>
        <stp>FWRC1#USDINR#Month Wise Rates#0#FwdOutrightAsk9</stp>
        <tr r="F8" s="15"/>
      </tp>
      <tp>
        <v>75.237099999999998</v>
        <stp/>
        <stp>FWRC1#USDINR#Month Wise Rates#0#FwdOutrightAsk8</stp>
        <tr r="E8" s="15"/>
      </tp>
      <tp>
        <v>82.795000000000002</v>
        <stp/>
        <stp>17#3#1#6056#CHFINRCOMP#High</stp>
        <tr r="C6" s="23"/>
      </tp>
      <tp>
        <v>70.984999999999999</v>
        <stp/>
        <stp>17#3#1#5978#JPYINRCOMP#High</stp>
        <tr r="F6" s="10"/>
        <tr r="C5" s="23"/>
      </tp>
      <tp>
        <v>-16.149999999999999</v>
        <stp/>
        <stp>FWRC1#USDJPY#Month Wise Rates#0#Close10</stp>
        <tr r="F29" s="23"/>
      </tp>
      <tp>
        <v>-28</v>
        <stp/>
        <stp>FWRC1#USDJPY#Month Wise Rates#0#Close11</stp>
        <tr r="G29" s="23"/>
      </tp>
      <tp>
        <v>-32.409999999999997</v>
        <stp/>
        <stp>FWRC1#USDJPY#Month Wise Rates#0#Close12</stp>
        <tr r="H29" s="23"/>
      </tp>
      <tp>
        <v>-37.36</v>
        <stp/>
        <stp>FWRC1#USDJPY#Month Wise Rates#0#Close13</stp>
        <tr r="I29" s="23"/>
      </tp>
      <tp>
        <v>-42.83</v>
        <stp/>
        <stp>FWRC1#USDJPY#Month Wise Rates#0#Close14</stp>
        <tr r="J29" s="23"/>
      </tp>
      <tp>
        <v>-47.33</v>
        <stp/>
        <stp>FWRC1#USDJPY#Month Wise Rates#0#Close15</stp>
        <tr r="K29" s="23"/>
      </tp>
      <tp>
        <v>-52.96</v>
        <stp/>
        <stp>FWRC1#USDJPY#Month Wise Rates#0#Close16</stp>
        <tr r="L29" s="23"/>
      </tp>
      <tp>
        <v>-58.69</v>
        <stp/>
        <stp>FWRC1#USDJPY#Month Wise Rates#0#Close17</stp>
        <tr r="M29" s="23"/>
      </tp>
      <tp>
        <v>-64.150000000000006</v>
        <stp/>
        <stp>FWRC1#USDJPY#Month Wise Rates#0#Close18</stp>
        <tr r="N29" s="23"/>
      </tp>
      <tp>
        <v>22098.999500000002</v>
        <stp/>
        <stp>FWRC1#SGDINR#Month Wise Rates#0#Close18</stp>
        <tr r="N26" s="23"/>
      </tp>
      <tp>
        <v>7235.5877</v>
        <stp/>
        <stp>FWRC1#SGDINR#Month Wise Rates#0#Close10</stp>
        <tr r="F26" s="23"/>
      </tp>
      <tp>
        <v>8782.6862000000001</v>
        <stp/>
        <stp>FWRC1#SGDINR#Month Wise Rates#0#Close11</stp>
        <tr r="G26" s="23"/>
      </tp>
      <tp>
        <v>10859.560100000001</v>
        <stp/>
        <stp>FWRC1#SGDINR#Month Wise Rates#0#Close12</stp>
        <tr r="H26" s="23"/>
      </tp>
      <tp>
        <v>12594.789199999999</v>
        <stp/>
        <stp>FWRC1#SGDINR#Month Wise Rates#0#Close13</stp>
        <tr r="I26" s="23"/>
      </tp>
      <tp>
        <v>14688.8367</v>
        <stp/>
        <stp>FWRC1#SGDINR#Month Wise Rates#0#Close14</stp>
        <tr r="J26" s="23"/>
      </tp>
      <tp>
        <v>16545.687699999999</v>
        <stp/>
        <stp>FWRC1#SGDINR#Month Wise Rates#0#Close15</stp>
        <tr r="K26" s="23"/>
      </tp>
      <tp>
        <v>18503.881399999998</v>
        <stp/>
        <stp>FWRC1#SGDINR#Month Wise Rates#0#Close16</stp>
        <tr r="L26" s="23"/>
      </tp>
      <tp>
        <v>20270.824799999999</v>
        <stp/>
        <stp>FWRC1#SGDINR#Month Wise Rates#0#Close17</stp>
        <tr r="M26" s="23"/>
      </tp>
      <tp>
        <v>22863.852800000001</v>
        <stp/>
        <stp>FWRC1#CADINR#Month Wise Rates#0#Close18</stp>
        <tr r="N24" s="23"/>
      </tp>
      <tp>
        <v>21710.147499999999</v>
        <stp/>
        <stp>FWRC1#AUDINR#Month Wise Rates#0#Close18</stp>
        <tr r="N25" s="23"/>
      </tp>
      <tp>
        <v>10789.8055</v>
        <stp/>
        <stp>FWRC1#AUDINR#Month Wise Rates#0#Close12</stp>
        <tr r="H25" s="23"/>
      </tp>
      <tp>
        <v>7279.2017999999998</v>
        <stp/>
        <stp>FWRC1#CADINR#Month Wise Rates#0#Close10</stp>
        <tr r="F24" s="23"/>
      </tp>
      <tp>
        <v>12483.558999999999</v>
        <stp/>
        <stp>FWRC1#AUDINR#Month Wise Rates#0#Close13</stp>
        <tr r="I25" s="23"/>
      </tp>
      <tp>
        <v>9342.2708999999995</v>
        <stp/>
        <stp>FWRC1#CADINR#Month Wise Rates#0#Close11</stp>
        <tr r="G24" s="23"/>
      </tp>
      <tp>
        <v>6953.9269999999997</v>
        <stp/>
        <stp>FWRC1#AUDINR#Month Wise Rates#0#Close10</stp>
        <tr r="F25" s="23"/>
      </tp>
      <tp>
        <v>11437.284600000001</v>
        <stp/>
        <stp>FWRC1#CADINR#Month Wise Rates#0#Close12</stp>
        <tr r="H24" s="23"/>
      </tp>
      <tp>
        <v>8815.4773999999998</v>
        <stp/>
        <stp>FWRC1#AUDINR#Month Wise Rates#0#Close11</stp>
        <tr r="G25" s="23"/>
      </tp>
      <tp>
        <v>13144.390299999999</v>
        <stp/>
        <stp>FWRC1#CADINR#Month Wise Rates#0#Close13</stp>
        <tr r="I24" s="23"/>
      </tp>
      <tp>
        <v>18200.3717</v>
        <stp/>
        <stp>FWRC1#AUDINR#Month Wise Rates#0#Close16</stp>
        <tr r="L25" s="23"/>
      </tp>
      <tp>
        <v>15171.9926</v>
        <stp/>
        <stp>FWRC1#CADINR#Month Wise Rates#0#Close14</stp>
        <tr r="J24" s="23"/>
      </tp>
      <tp>
        <v>19924.903300000002</v>
        <stp/>
        <stp>FWRC1#AUDINR#Month Wise Rates#0#Close17</stp>
        <tr r="M25" s="23"/>
      </tp>
      <tp>
        <v>17156.705900000001</v>
        <stp/>
        <stp>FWRC1#CADINR#Month Wise Rates#0#Close15</stp>
        <tr r="K24" s="23"/>
      </tp>
      <tp>
        <v>14484.757799999999</v>
        <stp/>
        <stp>FWRC1#AUDINR#Month Wise Rates#0#Close14</stp>
        <tr r="J25" s="23"/>
      </tp>
      <tp>
        <v>19120.621200000001</v>
        <stp/>
        <stp>FWRC1#CADINR#Month Wise Rates#0#Close16</stp>
        <tr r="L24" s="23"/>
      </tp>
      <tp>
        <v>16271.944600000001</v>
        <stp/>
        <stp>FWRC1#AUDINR#Month Wise Rates#0#Close15</stp>
        <tr r="K25" s="23"/>
      </tp>
      <tp>
        <v>20972.532299999999</v>
        <stp/>
        <stp>FWRC1#CADINR#Month Wise Rates#0#Close17</stp>
        <tr r="M24" s="23"/>
      </tp>
      <tp>
        <v>-7.6</v>
        <stp/>
        <stp>FWRC1#USDCAD#Month Wise Rates#0#Close11</stp>
        <tr r="G31" s="23"/>
      </tp>
      <tp>
        <v>-96.96</v>
        <stp/>
        <stp>FWRC1#USDCHF#Month Wise Rates#0#Close18</stp>
        <tr r="N30" s="23"/>
      </tp>
      <tp>
        <v>-4.12</v>
        <stp/>
        <stp>FWRC1#USDCAD#Month Wise Rates#0#Close10</stp>
        <tr r="F31" s="23"/>
      </tp>
      <tp>
        <v>-6.99</v>
        <stp/>
        <stp>FWRC1#USDCAD#Month Wise Rates#0#Close13</stp>
        <tr r="I31" s="23"/>
      </tp>
      <tp>
        <v>-7</v>
        <stp/>
        <stp>FWRC1#USDCAD#Month Wise Rates#0#Close12</stp>
        <tr r="H31" s="23"/>
      </tp>
      <tp>
        <v>-6.09</v>
        <stp/>
        <stp>FWRC1#USDCAD#Month Wise Rates#0#Close15</stp>
        <tr r="K31" s="23"/>
      </tp>
      <tp>
        <v>-8.44</v>
        <stp/>
        <stp>FWRC1#USDCAD#Month Wise Rates#0#Close14</stp>
        <tr r="J31" s="23"/>
      </tp>
      <tp>
        <v>-4.8499999999999996</v>
        <stp/>
        <stp>FWRC1#USDCAD#Month Wise Rates#0#Close17</stp>
        <tr r="M31" s="23"/>
      </tp>
      <tp>
        <v>-7.36</v>
        <stp/>
        <stp>FWRC1#USDCAD#Month Wise Rates#0#Close16</stp>
        <tr r="L31" s="23"/>
      </tp>
      <tp>
        <v>-31.6</v>
        <stp/>
        <stp>FWRC1#USDCHF#Month Wise Rates#0#Close10</stp>
        <tr r="F30" s="23"/>
      </tp>
      <tp>
        <v>-5.71</v>
        <stp/>
        <stp>FWRC1#USDCAD#Month Wise Rates#0#Close18</stp>
        <tr r="N31" s="23"/>
      </tp>
      <tp>
        <v>-43.3</v>
        <stp/>
        <stp>FWRC1#USDCHF#Month Wise Rates#0#Close11</stp>
        <tr r="G30" s="23"/>
      </tp>
      <tp>
        <v>-51.14</v>
        <stp/>
        <stp>FWRC1#USDCHF#Month Wise Rates#0#Close12</stp>
        <tr r="H30" s="23"/>
      </tp>
      <tp>
        <v>-58.85</v>
        <stp/>
        <stp>FWRC1#USDCHF#Month Wise Rates#0#Close13</stp>
        <tr r="I30" s="23"/>
      </tp>
      <tp>
        <v>-66.48</v>
        <stp/>
        <stp>FWRC1#USDCHF#Month Wise Rates#0#Close14</stp>
        <tr r="J30" s="23"/>
      </tp>
      <tp>
        <v>-73.94</v>
        <stp/>
        <stp>FWRC1#USDCHF#Month Wise Rates#0#Close15</stp>
        <tr r="K30" s="23"/>
      </tp>
      <tp>
        <v>-82.03</v>
        <stp/>
        <stp>FWRC1#USDCHF#Month Wise Rates#0#Close16</stp>
        <tr r="L30" s="23"/>
      </tp>
      <tp>
        <v>-89.29</v>
        <stp/>
        <stp>FWRC1#USDCHF#Month Wise Rates#0#Close17</stp>
        <tr r="M30" s="23"/>
      </tp>
      <tp>
        <v>0.48</v>
        <stp/>
        <stp>FWRC1#AUDUSD#Month Wise Rates#0#Close17</stp>
        <tr r="M32" s="23"/>
      </tp>
      <tp>
        <v>1.21</v>
        <stp/>
        <stp>FWRC1#AUDUSD#Month Wise Rates#0#Close16</stp>
        <tr r="L32" s="23"/>
      </tp>
      <tp>
        <v>1.66</v>
        <stp/>
        <stp>FWRC1#AUDUSD#Month Wise Rates#0#Close15</stp>
        <tr r="K32" s="23"/>
      </tp>
      <tp>
        <v>2.0099999999999998</v>
        <stp/>
        <stp>FWRC1#AUDUSD#Month Wise Rates#0#Close14</stp>
        <tr r="J32" s="23"/>
      </tp>
      <tp>
        <v>2.16</v>
        <stp/>
        <stp>FWRC1#AUDUSD#Month Wise Rates#0#Close13</stp>
        <tr r="I32" s="23"/>
      </tp>
      <tp>
        <v>2.25</v>
        <stp/>
        <stp>FWRC1#AUDUSD#Month Wise Rates#0#Close12</stp>
        <tr r="H32" s="23"/>
      </tp>
      <tp>
        <v>2.13</v>
        <stp/>
        <stp>FWRC1#AUDUSD#Month Wise Rates#0#Close11</stp>
        <tr r="G32" s="23"/>
      </tp>
      <tp>
        <v>1.84</v>
        <stp/>
        <stp>FWRC1#AUDUSD#Month Wise Rates#0#Close10</stp>
        <tr r="F32" s="23"/>
      </tp>
      <tp>
        <v>0.32</v>
        <stp/>
        <stp>FWRC1#AUDUSD#Month Wise Rates#0#Close18</stp>
        <tr r="N32" s="23"/>
      </tp>
      <tp>
        <v>88.627499999999998</v>
        <stp/>
        <stp>17#3#1#5949#EURINRCOMP#Close</stp>
        <tr r="H4" s="10"/>
      </tp>
      <tp>
        <v>0.17499999999999999</v>
        <stp/>
        <stp>FWRC1#GBPUSD#Month Wise Rates#0#Ask%10</stp>
        <tr r="G11" s="20"/>
      </tp>
      <tp>
        <v>0.2402</v>
        <stp/>
        <stp>FWRC1#GBPUSD#Month Wise Rates#0#Ask%11</stp>
        <tr r="H11" s="20"/>
      </tp>
      <tp>
        <v>0.22070000000000001</v>
        <stp/>
        <stp>FWRC1#GBPUSD#Month Wise Rates#0#Ask%12</stp>
        <tr r="I11" s="20"/>
      </tp>
      <tp>
        <v>0.20269999999999999</v>
        <stp/>
        <stp>FWRC1#GBPUSD#Month Wise Rates#0#Ask%13</stp>
        <tr r="J11" s="20"/>
      </tp>
      <tp>
        <v>0.20419999999999999</v>
        <stp/>
        <stp>FWRC1#GBPUSD#Month Wise Rates#0#Ask%14</stp>
        <tr r="K11" s="20"/>
      </tp>
      <tp>
        <v>0.20219999999999999</v>
        <stp/>
        <stp>FWRC1#GBPUSD#Month Wise Rates#0#Ask%15</stp>
        <tr r="L11" s="20"/>
      </tp>
      <tp>
        <v>0.1855</v>
        <stp/>
        <stp>FWRC1#GBPUSD#Month Wise Rates#0#Ask%16</stp>
        <tr r="M11" s="20"/>
      </tp>
      <tp>
        <v>0.1867</v>
        <stp/>
        <stp>FWRC1#GBPUSD#Month Wise Rates#0#Ask%17</stp>
        <tr r="N11" s="20"/>
      </tp>
      <tp>
        <v>0.17630000000000001</v>
        <stp/>
        <stp>FWRC1#GBPUSD#Month Wise Rates#0#Ask%18</stp>
        <tr r="O11" s="20"/>
      </tp>
      <tp>
        <v>0.1671</v>
        <stp/>
        <stp>FWRC1#GBPUSD#Month Wise Rates#0#Bid%18</stp>
        <tr r="O10" s="20"/>
      </tp>
      <tp>
        <v>0.20569999999999999</v>
        <stp/>
        <stp>FWRC1#GBPUSD#Month Wise Rates#0#Bid%12</stp>
        <tr r="I10" s="20"/>
      </tp>
      <tp>
        <v>0.19639999999999999</v>
        <stp/>
        <stp>FWRC1#GBPUSD#Month Wise Rates#0#Bid%13</stp>
        <tr r="J10" s="20"/>
      </tp>
      <tp>
        <v>0.16769999999999999</v>
        <stp/>
        <stp>FWRC1#GBPUSD#Month Wise Rates#0#Bid%10</stp>
        <tr r="G10" s="20"/>
      </tp>
      <tp>
        <v>0.2329</v>
        <stp/>
        <stp>FWRC1#GBPUSD#Month Wise Rates#0#Bid%11</stp>
        <tr r="H10" s="20"/>
      </tp>
      <tp>
        <v>0.17460000000000001</v>
        <stp/>
        <stp>FWRC1#GBPUSD#Month Wise Rates#0#Bid%16</stp>
        <tr r="M10" s="20"/>
      </tp>
      <tp>
        <v>0.1676</v>
        <stp/>
        <stp>FWRC1#GBPUSD#Month Wise Rates#0#Bid%17</stp>
        <tr r="N10" s="20"/>
      </tp>
      <tp>
        <v>0.18490000000000001</v>
        <stp/>
        <stp>FWRC1#GBPUSD#Month Wise Rates#0#Bid%14</stp>
        <tr r="K10" s="20"/>
      </tp>
      <tp>
        <v>0.1804</v>
        <stp/>
        <stp>FWRC1#GBPUSD#Month Wise Rates#0#Bid%15</stp>
        <tr r="L10" s="20"/>
      </tp>
      <tp>
        <v>98.55</v>
        <stp/>
        <stp>17#3#1#6031#GBPINRCOMP#High</stp>
        <tr r="F5" s="10"/>
        <tr r="C4" s="2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"/>
  <sheetViews>
    <sheetView workbookViewId="0">
      <selection activeCell="G19" sqref="G19"/>
    </sheetView>
  </sheetViews>
  <sheetFormatPr defaultColWidth="8.85546875" defaultRowHeight="15" x14ac:dyDescent="0.25"/>
  <cols>
    <col min="1" max="1" width="12" bestFit="1" customWidth="1"/>
    <col min="4" max="4" width="9.5703125" bestFit="1" customWidth="1"/>
    <col min="8" max="8" width="8.7109375" bestFit="1" customWidth="1"/>
  </cols>
  <sheetData>
    <row r="1" spans="1:7" x14ac:dyDescent="0.25">
      <c r="A1" s="107" t="s">
        <v>13</v>
      </c>
      <c r="B1" s="107" t="s">
        <v>32</v>
      </c>
      <c r="C1" s="107" t="s">
        <v>31</v>
      </c>
      <c r="D1" s="107" t="s">
        <v>30</v>
      </c>
      <c r="E1" s="107" t="s">
        <v>29</v>
      </c>
      <c r="F1" s="107" t="s">
        <v>28</v>
      </c>
    </row>
    <row r="2" spans="1:7" x14ac:dyDescent="0.25">
      <c r="A2" s="107" t="s">
        <v>51</v>
      </c>
      <c r="B2" s="105">
        <f t="array" ref="B2">RTD("tickerplantrtdserver",,"FWRC1#USDINR#Month End Rates#0#BidPrice0")</f>
        <v>74.754999999999995</v>
      </c>
      <c r="C2" s="106">
        <f t="array" ref="C2">RTD("tickerplantrtdserver",,"FWRC1#USDINR#Month End Rates#0#BidPrice2")</f>
        <v>1</v>
      </c>
      <c r="D2" s="105">
        <f t="array" ref="D2">RTD("tickerplantrtdserver",,"FWRC1#USDINR#Month End Rates#0#FwdOutrightBid1")</f>
        <v>74.734999999999999</v>
      </c>
      <c r="E2" s="106">
        <f t="array" ref="E2">RTD("tickerplantrtdserver",,"FWRC1#USDINR#Month End Rates#0#BidPrice3")</f>
        <v>0.5</v>
      </c>
      <c r="F2" s="105">
        <f t="array" ref="F2">RTD("tickerplantrtdserver",,"FWRC1#USDINR#Month End Rates#0#FwdOutrightBid3")</f>
        <v>74.745000000000005</v>
      </c>
    </row>
    <row r="3" spans="1:7" ht="15.75" customHeight="1" x14ac:dyDescent="0.25">
      <c r="A3" s="107" t="s">
        <v>52</v>
      </c>
      <c r="B3" s="105">
        <f t="array" ref="B3">RTD("tickerplantrtdserver",,"FWRC1#USDINR#Month End Rates#0#AskPrice0")</f>
        <v>74.765000000000001</v>
      </c>
      <c r="C3" s="106">
        <f t="array" ref="C3">RTD("tickerplantrtdserver",,"FWRC1#USDINR#Month End Rates#0#AskPrice2")</f>
        <v>2</v>
      </c>
      <c r="D3" s="105">
        <f t="array" ref="D3">RTD("tickerplantrtdserver",,"FWRC1#USDINR#Month End Rates#0#FwdOutrightAsk1")</f>
        <v>74.754999999999995</v>
      </c>
      <c r="E3" s="106">
        <f t="array" ref="E3">RTD("tickerplantrtdserver",,"FWRC1#USDINR#Month End Rates#0#AskPrice3")</f>
        <v>1</v>
      </c>
      <c r="F3" s="105">
        <f t="array" ref="F3">RTD("tickerplantrtdserver",,"FWRC1#USDINR#Month End Rates#0#FwdOutrightAsk3")</f>
        <v>74.760000000000005</v>
      </c>
      <c r="G3" s="2"/>
    </row>
    <row r="14" spans="1:7" x14ac:dyDescent="0.25">
      <c r="F14" s="15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"/>
  <sheetViews>
    <sheetView workbookViewId="0"/>
  </sheetViews>
  <sheetFormatPr defaultColWidth="8.85546875" defaultRowHeight="15" x14ac:dyDescent="0.25"/>
  <cols>
    <col min="1" max="1" width="12" bestFit="1" customWidth="1"/>
  </cols>
  <sheetData>
    <row r="1" spans="1:7" x14ac:dyDescent="0.25">
      <c r="A1" s="107" t="s">
        <v>12</v>
      </c>
      <c r="B1" s="107" t="s">
        <v>32</v>
      </c>
      <c r="C1" s="107" t="s">
        <v>31</v>
      </c>
      <c r="D1" s="107" t="s">
        <v>30</v>
      </c>
      <c r="E1" s="107" t="s">
        <v>29</v>
      </c>
      <c r="F1" s="107" t="s">
        <v>28</v>
      </c>
      <c r="G1" s="2"/>
    </row>
    <row r="2" spans="1:7" ht="15.95" customHeight="1" x14ac:dyDescent="0.25">
      <c r="A2" s="107" t="s">
        <v>51</v>
      </c>
      <c r="B2" s="105">
        <f t="array" ref="B2">RTD("tickerplantrtdserver",,"FWRC1#EURINR#Month End Rates#0#BidPrice0")</f>
        <v>88.96</v>
      </c>
      <c r="C2" s="106">
        <f t="array" ref="C2">RTD("tickerplantrtdserver",,"FWRC1#EURINR#Month End Rates#0#BidPrice2")</f>
        <v>1.5371999999999999</v>
      </c>
      <c r="D2" s="105">
        <f t="array" ref="D2">RTD("tickerplantrtdserver",,"FWRC1#EURINR#Month End Rates#0#FwdOutrightBid1")</f>
        <v>88.932500000000005</v>
      </c>
      <c r="E2" s="106">
        <f t="array" ref="E2">RTD("tickerplantrtdserver",,"FWRC1#EURINR#Month End Rates#0#BidPrice3")</f>
        <v>0.76670000000000005</v>
      </c>
      <c r="F2" s="105">
        <f t="array" ref="F2">RTD("tickerplantrtdserver",,"FWRC1#EURINR#Month End Rates#0#FwdOutrightBid3")</f>
        <v>88.946200000000005</v>
      </c>
      <c r="G2" s="2"/>
    </row>
    <row r="3" spans="1:7" ht="15.75" customHeight="1" x14ac:dyDescent="0.25">
      <c r="A3" s="107" t="s">
        <v>52</v>
      </c>
      <c r="B3" s="105">
        <f t="array" ref="B3">RTD("tickerplantrtdserver",,"FWRC1#EURINR#Month End Rates#0#AskPrice0")</f>
        <v>88.98</v>
      </c>
      <c r="C3" s="106">
        <f t="array" ref="C3">RTD("tickerplantrtdserver",,"FWRC1#EURINR#Month End Rates#0#AskPrice2")</f>
        <v>2.7498999999999998</v>
      </c>
      <c r="D3" s="105">
        <f t="array" ref="D3">RTD("tickerplantrtdserver",,"FWRC1#EURINR#Month End Rates#0#FwdOutrightAsk1")</f>
        <v>88.964600000000004</v>
      </c>
      <c r="E3" s="106">
        <f t="array" ref="E3">RTD("tickerplantrtdserver",,"FWRC1#EURINR#Month End Rates#0#AskPrice3")</f>
        <v>1.3769</v>
      </c>
      <c r="F3" s="105">
        <f t="array" ref="F3">RTD("tickerplantrtdserver",,"FWRC1#EURINR#Month End Rates#0#FwdOutrightAsk3")</f>
        <v>88.972300000000004</v>
      </c>
      <c r="G3" s="2"/>
    </row>
    <row r="4" spans="1:7" x14ac:dyDescent="0.25">
      <c r="A4" s="2"/>
      <c r="B4" s="2"/>
      <c r="C4" s="2"/>
      <c r="D4" s="2"/>
      <c r="E4" s="2"/>
      <c r="F4" s="2"/>
      <c r="G4" s="2"/>
    </row>
    <row r="5" spans="1:7" x14ac:dyDescent="0.25">
      <c r="A5" s="2"/>
      <c r="B5" s="2"/>
      <c r="C5" s="2"/>
      <c r="D5" s="2"/>
      <c r="E5" s="2"/>
      <c r="F5" s="2"/>
      <c r="G5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"/>
  <sheetViews>
    <sheetView workbookViewId="0"/>
  </sheetViews>
  <sheetFormatPr defaultColWidth="8.85546875" defaultRowHeight="15" x14ac:dyDescent="0.25"/>
  <cols>
    <col min="1" max="1" width="12" bestFit="1" customWidth="1"/>
  </cols>
  <sheetData>
    <row r="1" spans="1:7" x14ac:dyDescent="0.25">
      <c r="A1" s="107" t="s">
        <v>11</v>
      </c>
      <c r="B1" s="107" t="s">
        <v>32</v>
      </c>
      <c r="C1" s="107" t="s">
        <v>31</v>
      </c>
      <c r="D1" s="107" t="s">
        <v>30</v>
      </c>
      <c r="E1" s="107" t="s">
        <v>29</v>
      </c>
      <c r="F1" s="107" t="s">
        <v>28</v>
      </c>
      <c r="G1" s="2"/>
    </row>
    <row r="2" spans="1:7" ht="15.95" customHeight="1" x14ac:dyDescent="0.25">
      <c r="A2" s="107" t="s">
        <v>51</v>
      </c>
      <c r="B2" s="105">
        <f t="array" ref="B2">RTD("tickerplantrtdserver",,"FWRC1#GBPINR#Month End Rates#0#BidPrice0")</f>
        <v>98.37</v>
      </c>
      <c r="C2" s="106">
        <f>RTD("tickerplantrtdserver",,"FWRC1#GBPINR#Month End Rates#0#BidPrice2")/100</f>
        <v>1.3740049999999999</v>
      </c>
      <c r="D2" s="104">
        <f t="array" ref="D2">RTD("tickerplantrtdserver",,"FWRC1#GBPINR#Month End Rates#0#FwdOutrightBid1")</f>
        <v>98.342200000000005</v>
      </c>
      <c r="E2" s="106">
        <f>RTD("tickerplantrtdserver",,"FWRC1#GBPINR#Month End Rates#0#BidPrice3")/100</f>
        <v>0.67880499999999999</v>
      </c>
      <c r="F2" s="105">
        <f t="array" ref="F2">RTD("tickerplantrtdserver",,"FWRC1#GBPINR#Month End Rates#0#FwdOutrightBid3")</f>
        <v>98.355999999999995</v>
      </c>
      <c r="G2" s="2"/>
    </row>
    <row r="3" spans="1:7" ht="15.75" customHeight="1" x14ac:dyDescent="0.25">
      <c r="A3" s="107" t="s">
        <v>52</v>
      </c>
      <c r="B3" s="105">
        <f t="array" ref="B3">RTD("tickerplantrtdserver",,"FWRC1#GBPINR#Month End Rates#0#AskPrice0")</f>
        <v>98.394999999999996</v>
      </c>
      <c r="C3" s="106">
        <f>RTD("tickerplantrtdserver",,"FWRC1#GBPINR#Month End Rates#0#AskPrice2")/100</f>
        <v>2.7795339999999999</v>
      </c>
      <c r="D3" s="104">
        <f t="array" ref="D3">RTD("tickerplantrtdserver",,"FWRC1#GBPINR#Month End Rates#0#FwdOutrightAsk1")</f>
        <v>98.381299999999996</v>
      </c>
      <c r="E3" s="106">
        <f>RTD("tickerplantrtdserver",,"FWRC1#GBPINR#Month End Rates#0#AskPrice3")/100</f>
        <v>1.3965350000000001</v>
      </c>
      <c r="F3" s="105">
        <f t="array" ref="F3">RTD("tickerplantrtdserver",,"FWRC1#GBPINR#Month End Rates#0#FwdOutrightAsk3")</f>
        <v>98.388199999999998</v>
      </c>
      <c r="G3" s="2"/>
    </row>
    <row r="4" spans="1:7" x14ac:dyDescent="0.25">
      <c r="A4" s="2"/>
      <c r="B4" s="2"/>
      <c r="C4" s="2"/>
      <c r="D4" s="2"/>
      <c r="E4" s="2"/>
      <c r="F4" s="2"/>
      <c r="G4" s="2"/>
    </row>
    <row r="5" spans="1:7" x14ac:dyDescent="0.25">
      <c r="A5" s="2"/>
      <c r="B5" s="2"/>
      <c r="C5" s="2"/>
      <c r="D5" s="2"/>
      <c r="E5" s="2"/>
      <c r="F5" s="2"/>
      <c r="G5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"/>
  <sheetViews>
    <sheetView workbookViewId="0"/>
  </sheetViews>
  <sheetFormatPr defaultColWidth="8.85546875" defaultRowHeight="15" x14ac:dyDescent="0.25"/>
  <cols>
    <col min="1" max="1" width="12" bestFit="1" customWidth="1"/>
    <col min="8" max="8" width="8.7109375" bestFit="1" customWidth="1"/>
  </cols>
  <sheetData>
    <row r="1" spans="1:7" x14ac:dyDescent="0.25">
      <c r="A1" s="107" t="s">
        <v>10</v>
      </c>
      <c r="B1" s="107" t="s">
        <v>32</v>
      </c>
      <c r="C1" s="107" t="s">
        <v>31</v>
      </c>
      <c r="D1" s="107" t="s">
        <v>30</v>
      </c>
      <c r="E1" s="107" t="s">
        <v>29</v>
      </c>
      <c r="F1" s="107" t="s">
        <v>28</v>
      </c>
      <c r="G1" s="2"/>
    </row>
    <row r="2" spans="1:7" ht="15.95" customHeight="1" x14ac:dyDescent="0.25">
      <c r="A2" s="107" t="s">
        <v>51</v>
      </c>
      <c r="B2" s="105">
        <f t="array" ref="B2">RTD("tickerplantrtdserver",,"FWRC1#JPYINR#Month End Rates#0#BidPrice0")</f>
        <v>70.784999999999997</v>
      </c>
      <c r="C2" s="106">
        <f>RTD("tickerplantrtdserver",,"FWRC1#JPYINR#Month End Rates#0#BidPrice2")/100</f>
        <v>0.98019400000000001</v>
      </c>
      <c r="D2" s="105">
        <f t="array" ref="D2">RTD("tickerplantrtdserver",,"FWRC1#JPYINR#Month End Rates#0#FwdOutrightBid1")</f>
        <v>70.764300000000006</v>
      </c>
      <c r="E2" s="106">
        <f>RTD("tickerplantrtdserver",,"FWRC1#JPYINR#Month End Rates#0#BidPrice3")/100</f>
        <v>0.50022299999999997</v>
      </c>
      <c r="F2" s="105">
        <f t="array" ref="F2">RTD("tickerplantrtdserver",,"FWRC1#JPYINR#Month End Rates#0#FwdOutrightBid3")</f>
        <v>70.774699999999996</v>
      </c>
      <c r="G2" s="2"/>
    </row>
    <row r="3" spans="1:7" ht="15.75" customHeight="1" x14ac:dyDescent="0.25">
      <c r="A3" s="107" t="s">
        <v>52</v>
      </c>
      <c r="B3" s="105">
        <f t="array" ref="B3">RTD("tickerplantrtdserver",,"FWRC1#JPYINR#Month End Rates#0#AskPrice0")</f>
        <v>70.795000000000002</v>
      </c>
      <c r="C3" s="106">
        <f>RTD("tickerplantrtdserver",,"FWRC1#JPYINR#Month End Rates#0#AskPrice2")/100</f>
        <v>2.0677919999999999</v>
      </c>
      <c r="D3" s="105">
        <f t="array" ref="D3">RTD("tickerplantrtdserver",,"FWRC1#JPYINR#Month End Rates#0#FwdOutrightAsk1")</f>
        <v>70.785200000000003</v>
      </c>
      <c r="E3" s="106">
        <f>RTD("tickerplantrtdserver",,"FWRC1#JPYINR#Month End Rates#0#AskPrice3")/100</f>
        <v>1.0274019999999999</v>
      </c>
      <c r="F3" s="105">
        <f t="array" ref="F3">RTD("tickerplantrtdserver",,"FWRC1#JPYINR#Month End Rates#0#FwdOutrightAsk3")</f>
        <v>70.790000000000006</v>
      </c>
      <c r="G3" s="2"/>
    </row>
    <row r="4" spans="1:7" x14ac:dyDescent="0.25">
      <c r="A4" s="2"/>
      <c r="B4" s="2"/>
      <c r="C4" s="2"/>
      <c r="D4" s="2"/>
      <c r="E4" s="2"/>
      <c r="F4" s="2"/>
      <c r="G4" s="2"/>
    </row>
    <row r="5" spans="1:7" x14ac:dyDescent="0.25">
      <c r="A5" s="2"/>
      <c r="B5" s="2"/>
      <c r="C5" s="2"/>
      <c r="D5" s="2"/>
      <c r="E5" s="2"/>
      <c r="F5" s="2"/>
      <c r="G5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C43"/>
  <sheetViews>
    <sheetView workbookViewId="0"/>
  </sheetViews>
  <sheetFormatPr defaultColWidth="8.85546875" defaultRowHeight="15" x14ac:dyDescent="0.25"/>
  <cols>
    <col min="8" max="16" width="9.7109375" style="2" customWidth="1"/>
    <col min="17" max="17" width="8.7109375" bestFit="1" customWidth="1"/>
  </cols>
  <sheetData>
    <row r="1" spans="1:9" x14ac:dyDescent="0.25">
      <c r="A1" s="24"/>
      <c r="B1" s="19" t="s">
        <v>36</v>
      </c>
      <c r="C1" s="19" t="s">
        <v>37</v>
      </c>
      <c r="D1" s="19" t="s">
        <v>35</v>
      </c>
      <c r="E1" s="19" t="s">
        <v>38</v>
      </c>
      <c r="F1" s="19" t="s">
        <v>39</v>
      </c>
      <c r="G1" s="19" t="s">
        <v>34</v>
      </c>
      <c r="H1" s="22" t="s">
        <v>40</v>
      </c>
      <c r="I1" s="18" t="s">
        <v>33</v>
      </c>
    </row>
    <row r="2" spans="1:9" ht="15.75" customHeight="1" x14ac:dyDescent="0.25">
      <c r="A2" s="25" t="s">
        <v>27</v>
      </c>
      <c r="B2" s="42">
        <f>RTD("tickerplantrtdserver",,"47#5#1#5629#USD1M.LIBOR#LTP")</f>
        <v>0.16138</v>
      </c>
      <c r="C2" s="42">
        <f>RTD("tickerplantrtdserver",,"47#5#1#5629#USD2M.LIBOR#LTP")</f>
        <v>0.20888000000000001</v>
      </c>
      <c r="D2" s="42">
        <f>RTD("tickerplantrtdserver",,"47#5#1#5629#USD3M.LIBOR#LTP")</f>
        <v>0.26774999999999999</v>
      </c>
      <c r="E2" s="42">
        <f>RTD("tickerplantrtdserver",,"47#5#1#5629#USD4M.LIBOR#LTP")</f>
        <v>0.31709999999999999</v>
      </c>
      <c r="F2" s="42">
        <f>RTD("tickerplantrtdserver",,"47#5#1#5629#USD5M.LIBOR#LTP")</f>
        <v>0.36725999999999998</v>
      </c>
      <c r="G2" s="42">
        <f>RTD("tickerplantrtdserver",,"47#5#1#5629#USD6M.LIBOR#LTP")</f>
        <v>0.31963000000000003</v>
      </c>
      <c r="H2" s="44">
        <f>RTD("tickerplantrtdserver",,"47#5#1#5629#USD9M.LIBOR#LTP")</f>
        <v>0.55079999999999996</v>
      </c>
      <c r="I2" s="45">
        <f>RTD("tickerplantrtdserver",,"47#5#1#5629#USD1Y.LIBOR#LTP")</f>
        <v>0.46038000000000001</v>
      </c>
    </row>
    <row r="3" spans="1:9" x14ac:dyDescent="0.25">
      <c r="A3" s="25" t="s">
        <v>25</v>
      </c>
      <c r="B3" s="42">
        <f>RTD("tickerplantrtdserver",,"47#5#1#5629#EUR1M.LIBOR#LTP")</f>
        <v>-0.55100000000000005</v>
      </c>
      <c r="C3" s="42">
        <f>RTD("tickerplantrtdserver",,"47#5#1#5629#EUR2M.LIBOR#LTP")</f>
        <v>-0.48714000000000002</v>
      </c>
      <c r="D3" s="42">
        <f>RTD("tickerplantrtdserver",,"47#5#1#5629#EUR3M.LIBOR#LTP")</f>
        <v>-0.51300000000000001</v>
      </c>
      <c r="E3" s="42">
        <f>RTD("tickerplantrtdserver",,"47#5#1#5629#EUR4M.LIBOR#LTP")</f>
        <v>0.14713999999999999</v>
      </c>
      <c r="F3" s="42">
        <f>RTD("tickerplantrtdserver",,"47#5#1#5629#EUR5M.LIBOR#LTP")</f>
        <v>0.17357</v>
      </c>
      <c r="G3" s="42">
        <f>RTD("tickerplantrtdserver",,"47#5#1#5629#EUR6M.LIBOR#LTP")</f>
        <v>-0.46914</v>
      </c>
      <c r="H3" s="44">
        <f>RTD("tickerplantrtdserver",,"47#5#1#5629#EUR9M.LIBOR#LTP")</f>
        <v>0.29357</v>
      </c>
      <c r="I3" s="45">
        <f>RTD("tickerplantrtdserver",,"47#5#1#5629#EUR1Y.LIBOR#LTP")</f>
        <v>-0.35214000000000001</v>
      </c>
    </row>
    <row r="4" spans="1:9" x14ac:dyDescent="0.25">
      <c r="A4" s="25" t="s">
        <v>23</v>
      </c>
      <c r="B4" s="42">
        <f>RTD("tickerplantrtdserver",,"47#5#1#5629#GBP1M.LIBOR#LTP")</f>
        <v>5.5500000000000001E-2</v>
      </c>
      <c r="C4" s="42">
        <f>RTD("tickerplantrtdserver",,"47#5#1#5629#GBP2M.LIBOR#LTP")</f>
        <v>7.7630000000000005E-2</v>
      </c>
      <c r="D4" s="42">
        <f>RTD("tickerplantrtdserver",,"47#5#1#5629#GBP3M.LIBOR#LTP")</f>
        <v>7.3380000000000001E-2</v>
      </c>
      <c r="E4" s="42">
        <f>RTD("tickerplantrtdserver",,"47#5#1#5629#GBP4M.LIBOR#LTP")</f>
        <v>0.53</v>
      </c>
      <c r="F4" s="42">
        <f>RTD("tickerplantrtdserver",,"47#5#1#5629#GBP5M.LIBOR#LTP")</f>
        <v>0.56188000000000005</v>
      </c>
      <c r="G4" s="42">
        <f>RTD("tickerplantrtdserver",,"47#5#1#5629#GBP6M.LIBOR#LTP")</f>
        <v>0.13100000000000001</v>
      </c>
      <c r="H4" s="44">
        <f>RTD("tickerplantrtdserver",,"47#5#1#5629#GBP9M.LIBOR#LTP")</f>
        <v>0.73624999999999996</v>
      </c>
      <c r="I4" s="45">
        <f>RTD("tickerplantrtdserver",,"47#5#1#5629#GBP1Y.LIBOR#LTP")</f>
        <v>0.26550000000000001</v>
      </c>
    </row>
    <row r="5" spans="1:9" ht="15.75" thickBot="1" x14ac:dyDescent="0.3">
      <c r="A5" s="26" t="s">
        <v>22</v>
      </c>
      <c r="B5" s="16">
        <f>RTD("tickerplantrtdserver",,"47#5#1#5629#JPY1M.LIBOR#LTP")</f>
        <v>-0.09</v>
      </c>
      <c r="C5" s="16">
        <f>RTD("tickerplantrtdserver",,"47#5#1#5629#JPY2M.LIBOR#LTP")</f>
        <v>-6.4500000000000002E-2</v>
      </c>
      <c r="D5" s="16">
        <f>RTD("tickerplantrtdserver",,"47#5#1#5629#JPY3M.LIBOR#LTP")</f>
        <v>-5.5169999999999997E-2</v>
      </c>
      <c r="E5" s="16">
        <f>RTD("tickerplantrtdserver",,"47#5#1#5629#JPY2M.LIBOR#LTP")</f>
        <v>-6.4500000000000002E-2</v>
      </c>
      <c r="F5" s="16">
        <f>RTD("tickerplantrtdserver",,"47#5#1#5629#JPY5M.LIBOR#LTP")</f>
        <v>0.21571000000000001</v>
      </c>
      <c r="G5" s="16">
        <f>RTD("tickerplantrtdserver",,"47#5#1#5629#JPY6M.LIBOR#LTP")</f>
        <v>-4.283E-2</v>
      </c>
      <c r="H5" s="46">
        <f>RTD("tickerplantrtdserver",,"47#5#1#5629#JPY9M.LIBOR#LTP")</f>
        <v>0.35428999999999999</v>
      </c>
      <c r="I5" s="47">
        <f>RTD("tickerplantrtdserver",,"47#5#1#5629#JPY1Y.LIBOR#LTP")</f>
        <v>0.10883</v>
      </c>
    </row>
    <row r="10" spans="1:9" s="14" customFormat="1" x14ac:dyDescent="0.25"/>
    <row r="11" spans="1:9" s="14" customFormat="1" ht="15.75" customHeight="1" x14ac:dyDescent="0.25"/>
    <row r="12" spans="1:9" s="14" customFormat="1" x14ac:dyDescent="0.25"/>
    <row r="22" spans="17:29" s="2" customFormat="1" x14ac:dyDescent="0.25"/>
    <row r="23" spans="17:29" x14ac:dyDescent="0.25"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7:29" x14ac:dyDescent="0.25"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7:29" x14ac:dyDescent="0.25"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30" spans="17:29" x14ac:dyDescent="0.25"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</row>
    <row r="31" spans="17:29" x14ac:dyDescent="0.25"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</row>
    <row r="32" spans="17:29" x14ac:dyDescent="0.25"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7:29" x14ac:dyDescent="0.25"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</row>
    <row r="34" spans="17:29" x14ac:dyDescent="0.25"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7:29" x14ac:dyDescent="0.25"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7:29" x14ac:dyDescent="0.25"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7:29" x14ac:dyDescent="0.25"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7:29" x14ac:dyDescent="0.25"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7:29" x14ac:dyDescent="0.25"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7:29" x14ac:dyDescent="0.25"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14"/>
    </row>
    <row r="41" spans="17:29" x14ac:dyDescent="0.25">
      <c r="Q41" s="14"/>
      <c r="R41" s="20"/>
      <c r="S41" s="20"/>
      <c r="T41" s="20"/>
      <c r="U41" s="20"/>
      <c r="V41" s="20"/>
      <c r="W41" s="20"/>
      <c r="X41" s="20"/>
      <c r="Y41" s="20"/>
      <c r="Z41" s="20"/>
      <c r="AA41" s="14"/>
      <c r="AB41" s="14"/>
    </row>
    <row r="42" spans="17:29" x14ac:dyDescent="0.25">
      <c r="Q42" s="14"/>
      <c r="R42" s="20"/>
      <c r="S42" s="20"/>
      <c r="T42" s="20"/>
      <c r="U42" s="20"/>
      <c r="V42" s="20"/>
      <c r="W42" s="20"/>
      <c r="X42" s="20"/>
      <c r="Y42" s="20"/>
      <c r="Z42" s="20"/>
      <c r="AA42" s="14"/>
      <c r="AB42" s="14"/>
    </row>
    <row r="43" spans="17:29" x14ac:dyDescent="0.25">
      <c r="R43" s="2"/>
      <c r="S43" s="2"/>
      <c r="T43" s="2"/>
      <c r="U43" s="2"/>
      <c r="V43" s="2"/>
      <c r="W43" s="2"/>
      <c r="X43" s="2"/>
      <c r="Y43" s="2"/>
      <c r="Z43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4"/>
  <sheetViews>
    <sheetView workbookViewId="0">
      <selection activeCell="K16" sqref="K16"/>
    </sheetView>
  </sheetViews>
  <sheetFormatPr defaultColWidth="8.85546875" defaultRowHeight="15" x14ac:dyDescent="0.25"/>
  <cols>
    <col min="1" max="1" width="12.7109375" bestFit="1" customWidth="1"/>
    <col min="8" max="8" width="9.7109375" bestFit="1" customWidth="1"/>
    <col min="9" max="9" width="9" customWidth="1"/>
    <col min="10" max="10" width="8.7109375" customWidth="1"/>
    <col min="11" max="11" width="7.7109375" bestFit="1" customWidth="1"/>
  </cols>
  <sheetData>
    <row r="1" spans="1:12" s="14" customFormat="1" x14ac:dyDescent="0.25">
      <c r="A1" s="156" t="s">
        <v>41</v>
      </c>
      <c r="B1" s="152" t="s">
        <v>49</v>
      </c>
      <c r="C1" s="152" t="s">
        <v>50</v>
      </c>
      <c r="D1" s="152" t="s">
        <v>21</v>
      </c>
      <c r="E1" s="152" t="s">
        <v>20</v>
      </c>
      <c r="F1" s="152" t="s">
        <v>19</v>
      </c>
      <c r="G1" s="152" t="s">
        <v>18</v>
      </c>
      <c r="H1" s="152" t="s">
        <v>17</v>
      </c>
      <c r="I1" s="152" t="s">
        <v>16</v>
      </c>
      <c r="J1" s="154" t="s">
        <v>15</v>
      </c>
    </row>
    <row r="2" spans="1:12" s="14" customFormat="1" ht="15.75" customHeight="1" x14ac:dyDescent="0.25">
      <c r="A2" s="157"/>
      <c r="B2" s="153"/>
      <c r="C2" s="153"/>
      <c r="D2" s="153"/>
      <c r="E2" s="153"/>
      <c r="F2" s="153"/>
      <c r="G2" s="153"/>
      <c r="H2" s="153"/>
      <c r="I2" s="153"/>
      <c r="J2" s="155"/>
      <c r="K2" s="30"/>
    </row>
    <row r="3" spans="1:12" s="14" customFormat="1" x14ac:dyDescent="0.25">
      <c r="A3" s="7" t="s">
        <v>13</v>
      </c>
      <c r="B3" s="5">
        <f>RTD("tickerplantrtdserver",,"17#1#1#6069#USDINRCOMP#Bid")</f>
        <v>74.754999999999995</v>
      </c>
      <c r="C3" s="5">
        <f>RTD("tickerplantrtdserver",,"17#1#1#6069#USDINRCOMP#Ask")</f>
        <v>74.765000000000001</v>
      </c>
      <c r="D3" s="17">
        <f>RTD("tickerplantrtdserver",,"17#1#1#6069#USDINRCOMP#%Chg")</f>
        <v>-0.17</v>
      </c>
      <c r="E3" s="5">
        <f>RTD("tickerplantrtdserver",,"17#1#1#6069#USDINRCOMP#Open")</f>
        <v>74.77</v>
      </c>
      <c r="F3" s="5">
        <f>RTD("tickerplantrtdserver",,"17#1#1#6069#USDINRCOMP#High")</f>
        <v>74.885000000000005</v>
      </c>
      <c r="G3" s="5">
        <f>RTD("tickerplantrtdserver",,"17#1#1#6069#USDINRCOMP#Low")</f>
        <v>74.739999999999995</v>
      </c>
      <c r="H3" s="9">
        <f>RTD("tickerplantrtdserver",,"17#1#1#6069#USDINRCOMP#Close")</f>
        <v>74.885000000000005</v>
      </c>
      <c r="I3" s="9">
        <f>RTD("tickerplantrtdserver",,"17#1#1#6069#USDINRCOMP#52WkHigh")</f>
        <v>76.905000000000001</v>
      </c>
      <c r="J3" s="48">
        <f>RTD("tickerplantrtdserver",,"17#1#1#6069#USDINRCOMP#52WkLow")</f>
        <v>70.36</v>
      </c>
      <c r="K3" s="15"/>
    </row>
    <row r="4" spans="1:12" s="14" customFormat="1" x14ac:dyDescent="0.25">
      <c r="A4" s="7" t="s">
        <v>12</v>
      </c>
      <c r="B4" s="5">
        <f>RTD("tickerplantrtdserver",,"17#3#1#5949#EURINRCOMP#Bid")</f>
        <v>88.96</v>
      </c>
      <c r="C4" s="5">
        <f>RTD("tickerplantrtdserver",,"17#3#1#5949#EURINRCOMP#Ask")</f>
        <v>88.98</v>
      </c>
      <c r="D4" s="17">
        <f>RTD("tickerplantrtdserver",,"17#3#1#5949#EURINRCOMP#%Chg")</f>
        <v>0.38</v>
      </c>
      <c r="E4" s="5">
        <f>RTD("tickerplantrtdserver",,"17#3#1#5949#EURINRCOMP#Open")</f>
        <v>88.917500000000004</v>
      </c>
      <c r="F4" s="5">
        <f>RTD("tickerplantrtdserver",,"17#3#1#5949#EURINRCOMP#High")</f>
        <v>89.075000000000003</v>
      </c>
      <c r="G4" s="9">
        <f>RTD("tickerplantrtdserver",,"17#3#1#5949#EURINRCOMP#Low")</f>
        <v>88.864999999999995</v>
      </c>
      <c r="H4" s="9">
        <f>RTD("tickerplantrtdserver",,"17#3#1#5949#EURINRCOMP#Close")</f>
        <v>88.627499999999998</v>
      </c>
      <c r="I4" s="9">
        <f>RTD("tickerplantrtdserver",,"17#3#1#5949#EURINRCOMP#52WkHigh")</f>
        <v>0</v>
      </c>
      <c r="J4" s="27">
        <f>RTD("tickerplantrtdserver",,"17#3#1#5949#EURINRCOMP#52WkHigh")</f>
        <v>0</v>
      </c>
      <c r="K4" s="20"/>
    </row>
    <row r="5" spans="1:12" s="14" customFormat="1" x14ac:dyDescent="0.25">
      <c r="A5" s="7" t="s">
        <v>11</v>
      </c>
      <c r="B5" s="5">
        <f>RTD("tickerplantrtdserver",,"17#3#1#6031#GBPINRCOMP#Bid")</f>
        <v>98.37</v>
      </c>
      <c r="C5" s="5">
        <f>RTD("tickerplantrtdserver",,"17#3#1#6031#GBPINRCOMP#Ask")</f>
        <v>98.394999999999996</v>
      </c>
      <c r="D5" s="17">
        <f>RTD("tickerplantrtdserver",,"17#3#1#6031#GBPINRCOMP#%Chg")</f>
        <v>0.38</v>
      </c>
      <c r="E5" s="5">
        <f>RTD("tickerplantrtdserver",,"17#3#1#6031#GBPINRCOMP#Open")</f>
        <v>98.202500000000001</v>
      </c>
      <c r="F5" s="5">
        <f>RTD("tickerplantrtdserver",,"17#3#1#6031#GBPINRCOMP#High")</f>
        <v>98.55</v>
      </c>
      <c r="G5" s="9">
        <f>RTD("tickerplantrtdserver",,"17#3#1#6031#GBPINRCOMP#Low")</f>
        <v>98.194999999999993</v>
      </c>
      <c r="H5" s="5">
        <f>RTD("tickerplantrtdserver",,"17#3#1#6031#GBPINRCOMP#Close")</f>
        <v>97.995000000000005</v>
      </c>
      <c r="I5" s="5">
        <f>RTD("tickerplantrtdserver",,"17#3#1#6031#GBPINRCOMP#52WkHigh")</f>
        <v>0</v>
      </c>
      <c r="J5" s="27">
        <f>RTD("tickerplantrtdserver",,"17#3#1#6031#GBPINRCOMP#52WkLow")</f>
        <v>0</v>
      </c>
      <c r="K5" s="20"/>
    </row>
    <row r="6" spans="1:12" s="14" customFormat="1" x14ac:dyDescent="0.25">
      <c r="A6" s="28" t="s">
        <v>10</v>
      </c>
      <c r="B6" s="5">
        <f>RTD("tickerplantrtdserver",,"17#3#1#5978#JPYINRCOMP#Bid")</f>
        <v>70.784999999999997</v>
      </c>
      <c r="C6" s="5">
        <f>RTD("tickerplantrtdserver",,"17#3#1#5978#JPYINRCOMP#Ask")</f>
        <v>70.795000000000002</v>
      </c>
      <c r="D6" s="4">
        <f>RTD("tickerplantrtdserver",,"17#3#1#5978#JPYINRCOMP#%Chg")</f>
        <v>0.63</v>
      </c>
      <c r="E6" s="5">
        <f>RTD("tickerplantrtdserver",,"17#3#1#5978#JPYINRCOMP#Open")</f>
        <v>70.775000000000006</v>
      </c>
      <c r="F6" s="5">
        <f>RTD("tickerplantrtdserver",,"17#3#1#5978#JPYINRCOMP#High")</f>
        <v>70.984999999999999</v>
      </c>
      <c r="G6" s="49">
        <f>RTD("tickerplantrtdserver",,"17#3#1#5978#JPYINRCOMP#Low")</f>
        <v>70.73</v>
      </c>
      <c r="H6" s="5">
        <f>RTD("tickerplantrtdserver",,"17#3#1#5978#JPYINRCOMP#Close")</f>
        <v>70.342500000000001</v>
      </c>
      <c r="I6" s="5">
        <f>RTD("tickerplantrtdserver",,"17#3#1#5978#JPYINRCOMP#52WkHigh")</f>
        <v>0</v>
      </c>
      <c r="J6" s="27">
        <f>RTD("tickerplantrtdserver",,"17#3#1#5978#JPYINRCOMP#52WkLow")</f>
        <v>0</v>
      </c>
      <c r="K6" s="20"/>
    </row>
    <row r="7" spans="1:12" s="14" customFormat="1" x14ac:dyDescent="0.25">
      <c r="A7" s="28" t="s">
        <v>9</v>
      </c>
      <c r="B7" s="5">
        <f>RTD("tickerplantrtdserver",,"12#2#1#5949#SEURUSD#Bid")</f>
        <v>1.19007</v>
      </c>
      <c r="C7" s="5">
        <f>RTD("tickerplantrtdserver",,"12#2#1#5949#SEURUSD#Ask")</f>
        <v>1.1900900000000001</v>
      </c>
      <c r="D7" s="17">
        <f>RTD("tickerplantrtdserver",,"12#2#1#5949#SEURUSD#%Chg")</f>
        <v>0.23</v>
      </c>
      <c r="E7" s="5">
        <f>RTD("tickerplantrtdserver",,"12#2#1#5949#SEURUSD#Open")</f>
        <v>1.1871499999999999</v>
      </c>
      <c r="F7" s="5">
        <f>RTD("tickerplantrtdserver",,"12#2#1#5949#SEURUSD#High")</f>
        <v>1.19153</v>
      </c>
      <c r="G7" s="49">
        <f>RTD("tickerplantrtdserver",,"12#2#1#5949#SEURUSD#Low")</f>
        <v>1.1867000000000001</v>
      </c>
      <c r="H7" s="5">
        <f>RTD("tickerplantrtdserver",,"12#2#1#5949#SEURUSD#Close")</f>
        <v>1.1873</v>
      </c>
      <c r="I7" s="5">
        <f>RTD("tickerplantrtdserver",,"12#2#1#5949#SEURUSD#52WkHigh")</f>
        <v>1.1916199999999999</v>
      </c>
      <c r="J7" s="27">
        <f>RTD("tickerplantrtdserver",,"12#2#1#5949#SEURUSD#52WkLow")</f>
        <v>1.0634999999999999</v>
      </c>
      <c r="K7" s="20"/>
    </row>
    <row r="8" spans="1:12" s="14" customFormat="1" x14ac:dyDescent="0.25">
      <c r="A8" s="28" t="s">
        <v>8</v>
      </c>
      <c r="B8" s="5">
        <f>RTD("tickerplantrtdserver",,"12#2#1#6031#SGBPUSD#Bid")</f>
        <v>1.3160000000000001</v>
      </c>
      <c r="C8" s="5">
        <f>RTD("tickerplantrtdserver",,"12#2#1#6031#SGBPUSD#Ask")</f>
        <v>1.3164</v>
      </c>
      <c r="D8" s="17">
        <f>RTD("tickerplantrtdserver",,"12#2#1#6031#SGBPUSD#%Chg")</f>
        <v>0.45</v>
      </c>
      <c r="E8" s="5">
        <f>RTD("tickerplantrtdserver",,"12#2#1#6031#SGBPUSD#Open")</f>
        <v>1.3102</v>
      </c>
      <c r="F8" s="5">
        <f>RTD("tickerplantrtdserver",,"12#2#1#6031#SGBPUSD#High")</f>
        <v>1.3180099999999999</v>
      </c>
      <c r="G8" s="49">
        <f>RTD("tickerplantrtdserver",,"12#2#1#6031#SGBPUSD#Low")</f>
        <v>1.30985</v>
      </c>
      <c r="H8" s="5">
        <f>RTD("tickerplantrtdserver",,"12#2#1#6031#SGBPUSD#Close")</f>
        <v>1.3101</v>
      </c>
      <c r="I8" s="5">
        <f>RTD("tickerplantrtdserver",,"12#2#1#6031#SGBPUSD#52WkHigh")</f>
        <v>1.3514900000000001</v>
      </c>
      <c r="J8" s="27">
        <f>RTD("tickerplantrtdserver",,"12#2#1#6031#SGBPUSD#52WkLow")</f>
        <v>1.1407799999999999</v>
      </c>
    </row>
    <row r="9" spans="1:12" ht="15.75" thickBot="1" x14ac:dyDescent="0.3">
      <c r="A9" s="6" t="s">
        <v>7</v>
      </c>
      <c r="B9" s="50">
        <f>RTD("tickerplantrtdserver",,"12#2#1#6069#SUSDJPY#Bid")</f>
        <v>105.547</v>
      </c>
      <c r="C9" s="50">
        <f>RTD("tickerplantrtdserver",,"12#2#1#6069#SUSDJPY#Ask")</f>
        <v>105.54900000000001</v>
      </c>
      <c r="D9" s="50">
        <f>RTD("tickerplantrtdserver",,"12#2#1#6069#SUSDJPY#%Chg")</f>
        <v>-0.45</v>
      </c>
      <c r="E9" s="50">
        <f>RTD("tickerplantrtdserver",,"12#2#1#6069#SUSDJPY#Open")</f>
        <v>106</v>
      </c>
      <c r="F9" s="50">
        <f>RTD("tickerplantrtdserver",,"12#2#1#6069#SUSDJPY#High")</f>
        <v>106.05200000000001</v>
      </c>
      <c r="G9" s="51">
        <f>RTD("tickerplantrtdserver",,"12#2#1#6069#SUSDJPY#Low")</f>
        <v>105.36</v>
      </c>
      <c r="H9" s="50">
        <f>RTD("tickerplantrtdserver",,"12#2#1#6069#SUSDJPY#Close")</f>
        <v>106.026</v>
      </c>
      <c r="I9" s="50">
        <f>RTD("tickerplantrtdserver",,"12#2#1#6069#SUSDJPY#52WkHigh")</f>
        <v>112.22799999999999</v>
      </c>
      <c r="J9" s="52">
        <f>RTD("tickerplantrtdserver",,"12#2#1#6069#SUSDJPY#52WkLow")</f>
        <v>101.178</v>
      </c>
    </row>
    <row r="10" spans="1:12" ht="15.95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s="14" customFormat="1" x14ac:dyDescent="0.25"/>
    <row r="12" spans="1:12" s="14" customFormat="1" ht="15.75" customHeight="1" x14ac:dyDescent="0.25"/>
    <row r="13" spans="1:12" s="14" customFormat="1" ht="15.75" customHeight="1" x14ac:dyDescent="0.25"/>
    <row r="14" spans="1:12" ht="15.75" customHeight="1" x14ac:dyDescent="0.25"/>
  </sheetData>
  <mergeCells count="10">
    <mergeCell ref="I1:I2"/>
    <mergeCell ref="J1:J2"/>
    <mergeCell ref="A1:A2"/>
    <mergeCell ref="B1:B2"/>
    <mergeCell ref="C1:C2"/>
    <mergeCell ref="D1:D2"/>
    <mergeCell ref="E1:E2"/>
    <mergeCell ref="F1:F2"/>
    <mergeCell ref="G1:G2"/>
    <mergeCell ref="H1:H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31"/>
  <sheetViews>
    <sheetView tabSelected="1" workbookViewId="0"/>
  </sheetViews>
  <sheetFormatPr defaultColWidth="8.85546875" defaultRowHeight="15" x14ac:dyDescent="0.25"/>
  <cols>
    <col min="1" max="7" width="9.140625" style="14"/>
    <col min="8" max="8" width="9.7109375" style="14" bestFit="1" customWidth="1"/>
    <col min="9" max="9" width="9" style="14" customWidth="1"/>
    <col min="10" max="10" width="8.7109375" style="14" customWidth="1"/>
    <col min="11" max="11" width="7.7109375" bestFit="1" customWidth="1"/>
    <col min="12" max="12" width="8.85546875" bestFit="1" customWidth="1"/>
    <col min="13" max="14" width="8.28515625" bestFit="1" customWidth="1"/>
    <col min="15" max="15" width="7.85546875" bestFit="1" customWidth="1"/>
  </cols>
  <sheetData>
    <row r="1" spans="1:20" s="35" customFormat="1" ht="15.75" thickBot="1" x14ac:dyDescent="0.3">
      <c r="A1" s="12" t="s">
        <v>14</v>
      </c>
      <c r="B1" s="11" t="s">
        <v>1</v>
      </c>
      <c r="C1" s="10" t="s">
        <v>0</v>
      </c>
    </row>
    <row r="2" spans="1:20" s="35" customFormat="1" ht="15.75" customHeight="1" x14ac:dyDescent="0.25">
      <c r="A2" s="8" t="s">
        <v>13</v>
      </c>
      <c r="B2" s="53">
        <f>RTD("tickerplantrtdserver",,"35#1#1#6069#FUTCUR#N1#0#XX#Bid")</f>
        <v>74.72</v>
      </c>
      <c r="C2" s="54">
        <f>RTD("tickerplantrtdserver",,"35#1#1#6069#FUTCUR#N1#0#XX#Ask")</f>
        <v>74.722499999999997</v>
      </c>
      <c r="D2" s="36"/>
      <c r="E2" s="36"/>
      <c r="F2" s="36"/>
      <c r="G2" s="36"/>
      <c r="H2" s="37"/>
      <c r="I2" s="37"/>
      <c r="J2" s="37"/>
      <c r="K2" s="37"/>
      <c r="L2" s="37"/>
      <c r="M2" s="37"/>
      <c r="N2" s="37"/>
      <c r="O2" s="37"/>
    </row>
    <row r="3" spans="1:20" s="35" customFormat="1" x14ac:dyDescent="0.25">
      <c r="A3" s="7" t="s">
        <v>12</v>
      </c>
      <c r="B3" s="5">
        <f>RTD("tickerplantrtdserver",,"35#1#1#5949#FUTCUR#N1#0#XX#Bid")</f>
        <v>88.89</v>
      </c>
      <c r="C3" s="27">
        <f>RTD("tickerplantrtdserver",,"35#1#1#5949#FUTCUR#N1#0#XX#Ask")</f>
        <v>88.894999999999996</v>
      </c>
      <c r="D3" s="37"/>
      <c r="E3" s="37"/>
      <c r="F3" s="37"/>
      <c r="G3" s="36"/>
      <c r="H3" s="36"/>
      <c r="I3" s="38"/>
      <c r="J3" s="38"/>
      <c r="K3" s="38"/>
      <c r="L3" s="38"/>
      <c r="M3" s="38"/>
      <c r="N3" s="38"/>
      <c r="O3" s="38"/>
    </row>
    <row r="4" spans="1:20" s="35" customFormat="1" x14ac:dyDescent="0.25">
      <c r="A4" s="7" t="s">
        <v>11</v>
      </c>
      <c r="B4" s="5">
        <f>RTD("tickerplantrtdserver",,"35#1#1#6031#FUTCUR#N1#0#XX#Bid")</f>
        <v>98.327500000000001</v>
      </c>
      <c r="C4" s="27">
        <f>RTD("tickerplantrtdserver",,"35#1#1#6031#FUTCUR#N1#0#XX#Ask")</f>
        <v>98.334999999999994</v>
      </c>
      <c r="D4" s="37"/>
      <c r="E4" s="37"/>
      <c r="F4" s="37"/>
      <c r="G4" s="36"/>
      <c r="H4" s="36"/>
      <c r="I4" s="36"/>
      <c r="J4" s="36"/>
      <c r="K4" s="36"/>
      <c r="L4" s="36"/>
      <c r="M4" s="36"/>
      <c r="N4" s="36"/>
      <c r="O4" s="36"/>
    </row>
    <row r="5" spans="1:20" s="35" customFormat="1" ht="15.75" thickBot="1" x14ac:dyDescent="0.3">
      <c r="A5" s="6" t="s">
        <v>10</v>
      </c>
      <c r="B5" s="29">
        <f>RTD("tickerplantrtdserver",,"35#1#1#5978#FUTCUR#N1#0#XX#Bid")</f>
        <v>70.772499999999994</v>
      </c>
      <c r="C5" s="43">
        <f>RTD("tickerplantrtdserver",,"35#1#1#5978#FUTCUR#N1#0#XX#Ask")</f>
        <v>70.777500000000003</v>
      </c>
      <c r="D5" s="39"/>
      <c r="E5" s="36"/>
      <c r="F5" s="39"/>
      <c r="G5" s="36"/>
      <c r="H5" s="36"/>
      <c r="I5" s="36"/>
      <c r="J5" s="36"/>
      <c r="K5" s="36"/>
      <c r="L5" s="36"/>
      <c r="M5" s="36"/>
      <c r="N5" s="36"/>
      <c r="O5" s="36"/>
    </row>
    <row r="6" spans="1:20" s="35" customFormat="1" x14ac:dyDescent="0.25">
      <c r="A6" s="37"/>
      <c r="B6" s="36"/>
      <c r="C6" s="40"/>
      <c r="D6" s="39"/>
      <c r="E6" s="36"/>
      <c r="F6" s="39"/>
      <c r="G6" s="36"/>
      <c r="H6" s="36"/>
      <c r="I6" s="36"/>
      <c r="J6" s="36"/>
      <c r="K6" s="36"/>
      <c r="L6" s="36"/>
      <c r="M6" s="36"/>
      <c r="N6" s="36"/>
      <c r="O6" s="36"/>
    </row>
    <row r="7" spans="1:20" s="35" customFormat="1" x14ac:dyDescent="0.25">
      <c r="A7" s="36"/>
      <c r="B7" s="36"/>
      <c r="C7" s="36"/>
      <c r="D7" s="36"/>
      <c r="E7" s="36"/>
      <c r="F7" s="36"/>
      <c r="G7" s="36"/>
      <c r="H7" s="36"/>
      <c r="I7" s="41"/>
      <c r="J7" s="41"/>
      <c r="K7" s="36"/>
      <c r="L7" s="36"/>
      <c r="M7" s="36"/>
      <c r="N7" s="36"/>
      <c r="O7" s="36"/>
    </row>
    <row r="8" spans="1:20" s="35" customFormat="1" x14ac:dyDescent="0.25">
      <c r="A8" s="36"/>
      <c r="B8" s="36"/>
      <c r="C8" s="36"/>
      <c r="D8" s="36"/>
      <c r="E8" s="36"/>
      <c r="F8" s="36"/>
      <c r="G8" s="36"/>
      <c r="K8" s="36"/>
      <c r="L8" s="36"/>
      <c r="P8" s="36"/>
      <c r="Q8" s="36"/>
    </row>
    <row r="9" spans="1:20" x14ac:dyDescent="0.25">
      <c r="A9" s="20"/>
      <c r="B9" s="20"/>
      <c r="C9" s="20"/>
      <c r="D9" s="20"/>
      <c r="E9" s="20"/>
      <c r="F9" s="20"/>
      <c r="G9" s="20"/>
      <c r="K9" s="58"/>
      <c r="L9" s="58"/>
      <c r="M9" s="14"/>
      <c r="N9" s="14"/>
      <c r="O9" s="14"/>
      <c r="P9" s="58"/>
      <c r="Q9" s="58"/>
      <c r="R9" s="14"/>
      <c r="S9" s="14"/>
      <c r="T9" s="14"/>
    </row>
    <row r="10" spans="1:20" x14ac:dyDescent="0.25">
      <c r="A10" s="20"/>
      <c r="B10" s="31"/>
      <c r="C10" s="31"/>
      <c r="D10" s="20"/>
      <c r="E10" s="20"/>
      <c r="F10" s="20"/>
      <c r="G10" s="20"/>
      <c r="K10" s="58"/>
      <c r="L10" s="58"/>
      <c r="M10" s="14"/>
      <c r="N10" s="14"/>
      <c r="O10" s="14"/>
      <c r="P10" s="58"/>
      <c r="Q10" s="58"/>
      <c r="R10" s="14"/>
      <c r="S10" s="14"/>
      <c r="T10" s="14"/>
    </row>
    <row r="11" spans="1:20" s="14" customFormat="1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</row>
    <row r="12" spans="1:20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</row>
    <row r="13" spans="1:20" s="14" customFormat="1" ht="15.95" customHeight="1" x14ac:dyDescent="0.25">
      <c r="A13" s="13"/>
      <c r="B13" s="21"/>
      <c r="C13" s="21"/>
      <c r="D13" s="20"/>
      <c r="E13" s="21"/>
      <c r="F13" s="21"/>
      <c r="G13" s="21"/>
      <c r="H13" s="32"/>
      <c r="I13" s="32"/>
      <c r="J13" s="32"/>
      <c r="K13" s="21"/>
      <c r="L13" s="21"/>
      <c r="M13" s="32"/>
      <c r="N13" s="32"/>
      <c r="O13" s="32"/>
      <c r="P13" s="21"/>
      <c r="Q13" s="21"/>
      <c r="R13" s="32"/>
      <c r="S13" s="32"/>
      <c r="T13" s="32"/>
    </row>
    <row r="14" spans="1:20" ht="15.75" customHeight="1" x14ac:dyDescent="0.25">
      <c r="A14" s="13"/>
      <c r="B14" s="21"/>
      <c r="C14" s="21"/>
      <c r="D14" s="20"/>
      <c r="E14" s="21"/>
      <c r="F14" s="33"/>
      <c r="G14" s="34"/>
      <c r="H14" s="34"/>
      <c r="I14" s="34"/>
      <c r="J14" s="21"/>
      <c r="K14" s="33"/>
      <c r="L14" s="34"/>
      <c r="M14" s="34"/>
      <c r="N14" s="34"/>
      <c r="O14" s="21"/>
      <c r="P14" s="33"/>
      <c r="Q14" s="34"/>
      <c r="R14" s="34"/>
      <c r="S14" s="34"/>
      <c r="T14" s="21"/>
    </row>
    <row r="15" spans="1:20" x14ac:dyDescent="0.25">
      <c r="A15" s="13"/>
      <c r="B15" s="21"/>
      <c r="C15" s="21"/>
      <c r="D15" s="20"/>
      <c r="E15" s="20"/>
      <c r="G15" s="13"/>
      <c r="H15" s="20"/>
      <c r="I15" s="20"/>
      <c r="J15" s="20"/>
      <c r="K15" s="14"/>
      <c r="L15" s="13"/>
      <c r="M15" s="58"/>
      <c r="N15" s="58"/>
      <c r="O15" s="58"/>
      <c r="P15" s="14"/>
      <c r="Q15" s="13"/>
      <c r="R15" s="58"/>
      <c r="S15" s="58"/>
      <c r="T15" s="58"/>
    </row>
    <row r="16" spans="1:20" x14ac:dyDescent="0.25">
      <c r="A16" s="15"/>
      <c r="B16" s="21"/>
      <c r="C16" s="21"/>
      <c r="D16" s="20"/>
      <c r="E16" s="20"/>
      <c r="G16" s="15"/>
      <c r="H16" s="20"/>
      <c r="I16" s="20"/>
      <c r="J16" s="20"/>
      <c r="K16" s="14"/>
      <c r="L16" s="15"/>
      <c r="M16" s="58"/>
      <c r="N16" s="58"/>
      <c r="O16" s="58"/>
      <c r="P16" s="14"/>
      <c r="Q16" s="15"/>
      <c r="R16" s="58"/>
      <c r="S16" s="58"/>
      <c r="T16" s="58"/>
    </row>
    <row r="17" spans="1:20" x14ac:dyDescent="0.25">
      <c r="A17" s="15"/>
      <c r="B17" s="21"/>
      <c r="C17" s="21"/>
      <c r="D17" s="20"/>
      <c r="E17" s="20"/>
      <c r="G17" s="15"/>
      <c r="H17" s="20"/>
      <c r="I17" s="20"/>
      <c r="J17" s="20"/>
      <c r="K17" s="14"/>
      <c r="L17" s="15"/>
      <c r="M17" s="58"/>
      <c r="N17" s="58"/>
      <c r="O17" s="58"/>
      <c r="P17" s="14"/>
      <c r="Q17" s="15"/>
      <c r="R17" s="58"/>
      <c r="S17" s="58"/>
      <c r="T17" s="58"/>
    </row>
    <row r="18" spans="1:20" x14ac:dyDescent="0.25">
      <c r="A18" s="15"/>
      <c r="B18" s="21"/>
      <c r="C18" s="21"/>
      <c r="D18" s="20"/>
      <c r="E18" s="20"/>
      <c r="G18" s="15"/>
      <c r="H18" s="20"/>
      <c r="I18" s="20"/>
      <c r="J18" s="20"/>
      <c r="K18" s="14"/>
      <c r="L18" s="15"/>
      <c r="M18" s="58"/>
      <c r="N18" s="58"/>
      <c r="O18" s="58"/>
      <c r="P18" s="14"/>
      <c r="Q18" s="15"/>
      <c r="R18" s="58"/>
      <c r="S18" s="58"/>
      <c r="T18" s="58"/>
    </row>
    <row r="19" spans="1:20" x14ac:dyDescent="0.25">
      <c r="A19" s="15"/>
      <c r="B19" s="21"/>
      <c r="C19" s="21"/>
      <c r="D19" s="20"/>
      <c r="E19" s="20"/>
      <c r="G19" s="15"/>
      <c r="H19" s="20"/>
      <c r="I19" s="20"/>
      <c r="J19" s="20"/>
      <c r="K19" s="14"/>
      <c r="L19" s="15"/>
      <c r="M19" s="58"/>
      <c r="N19" s="58"/>
      <c r="O19" s="58"/>
      <c r="P19" s="14"/>
      <c r="Q19" s="15"/>
      <c r="R19" s="58"/>
      <c r="S19" s="58"/>
      <c r="T19" s="58"/>
    </row>
    <row r="20" spans="1:20" x14ac:dyDescent="0.25">
      <c r="K20" s="14"/>
      <c r="L20" s="14"/>
      <c r="M20" s="14"/>
      <c r="N20" s="14"/>
      <c r="O20" s="14"/>
      <c r="P20" s="14"/>
      <c r="Q20" s="14"/>
      <c r="R20" s="14"/>
      <c r="S20" s="14"/>
      <c r="T20" s="14"/>
    </row>
    <row r="21" spans="1:20" x14ac:dyDescent="0.25">
      <c r="K21" s="14"/>
      <c r="L21" s="14"/>
      <c r="M21" s="14"/>
      <c r="N21" s="14"/>
      <c r="O21" s="14"/>
      <c r="P21" s="14"/>
      <c r="Q21" s="14"/>
      <c r="R21" s="14"/>
      <c r="S21" s="14"/>
      <c r="T21" s="14"/>
    </row>
    <row r="22" spans="1:20" x14ac:dyDescent="0.25">
      <c r="K22" s="14"/>
      <c r="L22" s="14"/>
      <c r="M22" s="14"/>
      <c r="N22" s="14"/>
      <c r="O22" s="14"/>
      <c r="P22" s="14"/>
      <c r="Q22" s="14"/>
      <c r="R22" s="14"/>
      <c r="S22" s="14"/>
      <c r="T22" s="14"/>
    </row>
    <row r="31" spans="1:20" x14ac:dyDescent="0.25">
      <c r="P31" s="5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24"/>
  <sheetViews>
    <sheetView workbookViewId="0">
      <selection activeCell="T3" sqref="T3"/>
    </sheetView>
  </sheetViews>
  <sheetFormatPr defaultColWidth="8.85546875" defaultRowHeight="15" x14ac:dyDescent="0.25"/>
  <cols>
    <col min="1" max="7" width="9.140625" style="14"/>
    <col min="8" max="8" width="9.7109375" style="14" bestFit="1" customWidth="1"/>
    <col min="9" max="9" width="9" style="14" customWidth="1"/>
    <col min="10" max="10" width="8.7109375" style="14" customWidth="1"/>
    <col min="11" max="11" width="7.7109375" bestFit="1" customWidth="1"/>
    <col min="12" max="12" width="8.85546875" bestFit="1" customWidth="1"/>
    <col min="13" max="14" width="8.42578125" bestFit="1" customWidth="1"/>
    <col min="15" max="15" width="7.85546875" bestFit="1" customWidth="1"/>
  </cols>
  <sheetData>
    <row r="1" spans="1:19" s="35" customFormat="1" ht="15.75" thickBot="1" x14ac:dyDescent="0.3">
      <c r="A1" s="12" t="s">
        <v>14</v>
      </c>
      <c r="B1" s="11" t="s">
        <v>1</v>
      </c>
      <c r="C1" s="10" t="s">
        <v>0</v>
      </c>
    </row>
    <row r="2" spans="1:19" s="35" customFormat="1" ht="15.75" customHeight="1" x14ac:dyDescent="0.25">
      <c r="A2" s="8" t="s">
        <v>13</v>
      </c>
      <c r="B2" s="53">
        <f>RTD("tickerplantrtdserver",,"35#1#1#6069#FUTCUR#N2#0#XX#Bid")</f>
        <v>74.944999999999993</v>
      </c>
      <c r="C2" s="54">
        <f>RTD("tickerplantrtdserver",,"35#1#1#6069#FUTCUR#N2#0#XX#Ask")</f>
        <v>74.947500000000005</v>
      </c>
      <c r="D2" s="36"/>
      <c r="E2" s="36"/>
      <c r="F2" s="36"/>
      <c r="G2" s="36"/>
      <c r="H2" s="37"/>
      <c r="I2" s="37"/>
      <c r="J2" s="37"/>
      <c r="K2" s="37"/>
      <c r="L2" s="37"/>
      <c r="M2" s="37"/>
      <c r="N2" s="37"/>
      <c r="O2" s="37"/>
    </row>
    <row r="3" spans="1:19" s="35" customFormat="1" x14ac:dyDescent="0.25">
      <c r="A3" s="7" t="s">
        <v>12</v>
      </c>
      <c r="B3" s="5">
        <f>RTD("tickerplantrtdserver",,"35#1#1#5949#FUTCUR#N2#0#XX#Bid")</f>
        <v>89.162499999999994</v>
      </c>
      <c r="C3" s="27">
        <f>RTD("tickerplantrtdserver",,"35#1#1#5949#FUTCUR#N2#0#XX#Ask")</f>
        <v>89.167500000000004</v>
      </c>
      <c r="D3" s="37"/>
      <c r="E3" s="37"/>
      <c r="F3" s="37"/>
      <c r="G3" s="36"/>
      <c r="H3" s="36"/>
      <c r="I3" s="38"/>
      <c r="J3" s="38"/>
      <c r="K3" s="38"/>
      <c r="L3" s="38"/>
      <c r="M3" s="38"/>
      <c r="N3" s="38"/>
      <c r="O3" s="38"/>
    </row>
    <row r="4" spans="1:19" s="35" customFormat="1" x14ac:dyDescent="0.25">
      <c r="A4" s="7" t="s">
        <v>11</v>
      </c>
      <c r="B4" s="5">
        <f>RTD("tickerplantrtdserver",,"35#1#1#6031#FUTCUR#N2#0#XX#Bid")</f>
        <v>98.592500000000001</v>
      </c>
      <c r="C4" s="27">
        <f>RTD("tickerplantrtdserver",,"35#1#1#6031#FUTCUR#N2#0#XX#Ask")</f>
        <v>98.6</v>
      </c>
      <c r="D4" s="37"/>
      <c r="E4" s="37"/>
      <c r="F4" s="37"/>
      <c r="G4" s="36"/>
      <c r="H4" s="36"/>
      <c r="I4" s="36"/>
      <c r="J4" s="36"/>
      <c r="K4" s="36"/>
      <c r="L4" s="36"/>
      <c r="M4" s="36"/>
      <c r="N4" s="36"/>
      <c r="O4" s="36"/>
    </row>
    <row r="5" spans="1:19" s="35" customFormat="1" ht="15.75" thickBot="1" x14ac:dyDescent="0.3">
      <c r="A5" s="6" t="s">
        <v>10</v>
      </c>
      <c r="B5" s="29">
        <f>RTD("tickerplantrtdserver",,"35#1#1#5978#FUTCUR#N2#0#XX#Bid")</f>
        <v>70.984999999999999</v>
      </c>
      <c r="C5" s="43">
        <f>RTD("tickerplantrtdserver",,"35#1#1#5978#FUTCUR#N2#0#XX#Ask")</f>
        <v>70.992500000000007</v>
      </c>
      <c r="D5" s="39"/>
      <c r="E5" s="36"/>
      <c r="F5" s="39"/>
      <c r="G5" s="36"/>
      <c r="H5" s="36"/>
      <c r="I5" s="36"/>
      <c r="J5" s="36"/>
      <c r="K5" s="36"/>
      <c r="L5" s="36"/>
      <c r="M5" s="36"/>
      <c r="N5" s="36"/>
      <c r="O5" s="36"/>
    </row>
    <row r="6" spans="1:19" s="35" customFormat="1" x14ac:dyDescent="0.25">
      <c r="A6" s="37"/>
      <c r="B6" s="36"/>
      <c r="C6" s="40"/>
      <c r="D6" s="39"/>
      <c r="E6" s="36"/>
      <c r="F6" s="39"/>
      <c r="G6" s="36"/>
      <c r="H6" s="36"/>
      <c r="I6" s="36"/>
      <c r="J6" s="36"/>
      <c r="K6" s="36"/>
      <c r="L6" s="36"/>
      <c r="M6" s="36"/>
      <c r="N6" s="36"/>
      <c r="O6" s="36"/>
    </row>
    <row r="7" spans="1:19" s="35" customFormat="1" x14ac:dyDescent="0.25">
      <c r="A7" s="36"/>
      <c r="B7" s="36"/>
      <c r="C7" s="36"/>
      <c r="D7" s="36"/>
      <c r="E7" s="36"/>
      <c r="F7" s="36"/>
      <c r="G7" s="36"/>
      <c r="H7" s="36"/>
      <c r="I7" s="41"/>
      <c r="J7" s="41"/>
      <c r="K7" s="36"/>
      <c r="L7" s="36"/>
      <c r="M7" s="36"/>
      <c r="N7" s="36"/>
      <c r="O7" s="36"/>
    </row>
    <row r="8" spans="1:19" s="35" customFormat="1" x14ac:dyDescent="0.25">
      <c r="A8" s="36"/>
      <c r="B8" s="36"/>
      <c r="C8" s="36"/>
      <c r="D8" s="36"/>
      <c r="E8" s="36"/>
      <c r="F8" s="36"/>
      <c r="G8" s="36"/>
      <c r="J8" s="36"/>
      <c r="M8" s="36"/>
      <c r="P8" s="36"/>
      <c r="S8" s="36"/>
    </row>
    <row r="9" spans="1:19" x14ac:dyDescent="0.25">
      <c r="A9" s="20"/>
      <c r="B9" s="20"/>
      <c r="C9" s="20"/>
      <c r="D9" s="20"/>
      <c r="E9" s="20"/>
      <c r="F9" s="20"/>
      <c r="G9" s="20"/>
      <c r="J9" s="58"/>
      <c r="K9" s="14"/>
      <c r="L9" s="14"/>
      <c r="M9" s="58"/>
      <c r="N9" s="14"/>
      <c r="O9" s="14"/>
      <c r="P9" s="58"/>
      <c r="Q9" s="14"/>
      <c r="R9" s="14"/>
      <c r="S9" s="58"/>
    </row>
    <row r="10" spans="1:19" x14ac:dyDescent="0.25">
      <c r="A10" s="20"/>
      <c r="B10" s="31"/>
      <c r="C10" s="31"/>
      <c r="D10" s="20"/>
      <c r="E10" s="20"/>
      <c r="F10" s="20"/>
      <c r="G10" s="20"/>
      <c r="J10" s="58"/>
      <c r="K10" s="14"/>
      <c r="L10" s="14"/>
      <c r="M10" s="58"/>
      <c r="N10" s="14"/>
      <c r="O10" s="14"/>
      <c r="P10" s="58"/>
      <c r="Q10" s="14"/>
      <c r="R10" s="14"/>
      <c r="S10" s="58"/>
    </row>
    <row r="11" spans="1:19" s="14" customFormat="1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</row>
    <row r="12" spans="1:19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</row>
    <row r="13" spans="1:19" s="14" customFormat="1" ht="15.95" customHeight="1" x14ac:dyDescent="0.25">
      <c r="A13" s="13"/>
      <c r="B13" s="21"/>
      <c r="C13" s="21"/>
      <c r="D13" s="20"/>
      <c r="E13" s="21"/>
      <c r="F13" s="21"/>
      <c r="G13" s="21"/>
      <c r="H13" s="32"/>
      <c r="I13" s="32"/>
      <c r="J13" s="21"/>
      <c r="K13" s="32"/>
      <c r="L13" s="32"/>
      <c r="M13" s="21"/>
      <c r="N13" s="32"/>
      <c r="O13" s="32"/>
      <c r="P13" s="21"/>
      <c r="Q13" s="32"/>
      <c r="R13" s="32"/>
      <c r="S13" s="21"/>
    </row>
    <row r="14" spans="1:19" ht="15.75" customHeight="1" x14ac:dyDescent="0.25">
      <c r="A14" s="13"/>
      <c r="B14" s="21"/>
      <c r="C14" s="21"/>
      <c r="D14" s="20"/>
      <c r="E14" s="21"/>
      <c r="F14" s="33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</row>
    <row r="15" spans="1:19" x14ac:dyDescent="0.25">
      <c r="A15" s="13"/>
      <c r="B15" s="21"/>
      <c r="C15" s="21"/>
      <c r="D15" s="20"/>
      <c r="E15" s="20"/>
      <c r="G15" s="13"/>
      <c r="H15" s="20"/>
      <c r="I15" s="20"/>
      <c r="J15" s="13"/>
      <c r="K15" s="58"/>
      <c r="L15" s="58"/>
      <c r="M15" s="13"/>
      <c r="N15" s="58"/>
      <c r="O15" s="58"/>
      <c r="P15" s="13"/>
      <c r="Q15" s="58"/>
      <c r="R15" s="58"/>
      <c r="S15" s="13"/>
    </row>
    <row r="16" spans="1:19" x14ac:dyDescent="0.25">
      <c r="A16" s="15"/>
      <c r="B16" s="21"/>
      <c r="C16" s="21"/>
      <c r="D16" s="20"/>
      <c r="E16" s="20"/>
      <c r="G16" s="15"/>
      <c r="H16" s="20"/>
      <c r="I16" s="20"/>
      <c r="J16" s="15"/>
      <c r="K16" s="58"/>
      <c r="L16" s="58"/>
      <c r="M16" s="15"/>
      <c r="N16" s="58"/>
      <c r="O16" s="58"/>
      <c r="P16" s="15"/>
      <c r="Q16" s="58"/>
      <c r="R16" s="58"/>
      <c r="S16" s="15"/>
    </row>
    <row r="17" spans="1:19" x14ac:dyDescent="0.25">
      <c r="A17" s="15"/>
      <c r="B17" s="21"/>
      <c r="C17" s="21"/>
      <c r="D17" s="20"/>
      <c r="E17" s="20"/>
      <c r="G17" s="15"/>
      <c r="H17" s="20"/>
      <c r="I17" s="20"/>
      <c r="J17" s="15"/>
      <c r="K17" s="58"/>
      <c r="L17" s="58"/>
      <c r="M17" s="15"/>
      <c r="N17" s="58"/>
      <c r="O17" s="58"/>
      <c r="P17" s="15"/>
      <c r="Q17" s="58"/>
      <c r="R17" s="58"/>
      <c r="S17" s="15"/>
    </row>
    <row r="18" spans="1:19" x14ac:dyDescent="0.25">
      <c r="A18" s="15"/>
      <c r="B18" s="21"/>
      <c r="C18" s="21"/>
      <c r="D18" s="20"/>
      <c r="E18" s="20"/>
      <c r="G18" s="15"/>
      <c r="H18" s="20"/>
      <c r="I18" s="20"/>
      <c r="J18" s="15"/>
      <c r="K18" s="58"/>
      <c r="L18" s="58"/>
      <c r="M18" s="15"/>
      <c r="N18" s="58"/>
      <c r="O18" s="58"/>
      <c r="P18" s="15"/>
      <c r="Q18" s="58"/>
      <c r="R18" s="58"/>
      <c r="S18" s="15"/>
    </row>
    <row r="19" spans="1:19" x14ac:dyDescent="0.25">
      <c r="A19" s="15"/>
      <c r="B19" s="21"/>
      <c r="C19" s="21"/>
      <c r="D19" s="20"/>
      <c r="E19" s="20"/>
      <c r="G19" s="15"/>
      <c r="H19" s="20"/>
      <c r="I19" s="20"/>
      <c r="J19" s="15"/>
      <c r="K19" s="58"/>
      <c r="L19" s="58"/>
      <c r="M19" s="15"/>
      <c r="N19" s="58"/>
      <c r="O19" s="58"/>
      <c r="P19" s="15"/>
      <c r="Q19" s="58"/>
      <c r="R19" s="58"/>
      <c r="S19" s="15"/>
    </row>
    <row r="20" spans="1:19" x14ac:dyDescent="0.25"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K24" s="14"/>
      <c r="L24" s="14"/>
      <c r="M24" s="14"/>
      <c r="N24" s="14"/>
      <c r="O24" s="14"/>
      <c r="P24" s="14"/>
      <c r="Q24" s="14"/>
      <c r="R24" s="14"/>
      <c r="S24" s="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23"/>
  <sheetViews>
    <sheetView workbookViewId="0"/>
  </sheetViews>
  <sheetFormatPr defaultColWidth="8.85546875" defaultRowHeight="15" x14ac:dyDescent="0.25"/>
  <cols>
    <col min="1" max="7" width="9.140625" style="14"/>
    <col min="8" max="8" width="9.7109375" style="14" bestFit="1" customWidth="1"/>
    <col min="9" max="9" width="9" style="14" customWidth="1"/>
    <col min="10" max="10" width="8.7109375" style="14" customWidth="1"/>
    <col min="11" max="11" width="7.7109375" bestFit="1" customWidth="1"/>
    <col min="12" max="12" width="8.85546875" bestFit="1" customWidth="1"/>
    <col min="13" max="14" width="8.28515625" bestFit="1" customWidth="1"/>
    <col min="15" max="15" width="7.85546875" bestFit="1" customWidth="1"/>
  </cols>
  <sheetData>
    <row r="1" spans="1:19" s="35" customFormat="1" ht="15.75" thickBot="1" x14ac:dyDescent="0.3">
      <c r="A1" s="12" t="s">
        <v>14</v>
      </c>
      <c r="B1" s="11" t="s">
        <v>1</v>
      </c>
      <c r="C1" s="10" t="s">
        <v>0</v>
      </c>
    </row>
    <row r="2" spans="1:19" s="35" customFormat="1" ht="15.75" customHeight="1" x14ac:dyDescent="0.25">
      <c r="A2" s="8" t="s">
        <v>13</v>
      </c>
      <c r="B2" s="53">
        <f>RTD("tickerplantrtdserver",,"35#1#1#6069#FUTCUR#N3#0#XX#Bid")</f>
        <v>75.162499999999994</v>
      </c>
      <c r="C2" s="54">
        <f>RTD("tickerplantrtdserver",,"35#1#1#6069#FUTCUR#N3#0#XX#Ask")</f>
        <v>75.17</v>
      </c>
      <c r="D2" s="36"/>
      <c r="E2" s="36"/>
      <c r="F2" s="36"/>
      <c r="G2" s="36"/>
      <c r="H2" s="37"/>
      <c r="I2" s="37"/>
      <c r="J2" s="37"/>
      <c r="K2" s="37"/>
      <c r="L2" s="37"/>
      <c r="M2" s="37"/>
      <c r="N2" s="37"/>
      <c r="O2" s="37"/>
    </row>
    <row r="3" spans="1:19" s="35" customFormat="1" x14ac:dyDescent="0.25">
      <c r="A3" s="7" t="s">
        <v>12</v>
      </c>
      <c r="B3" s="5">
        <f>RTD("tickerplantrtdserver",,"35#1#1#5949#FUTCUR#N3#0#XX#Bid")</f>
        <v>89.45</v>
      </c>
      <c r="C3" s="27">
        <f>RTD("tickerplantrtdserver",,"35#1#1#5949#FUTCUR#N3#0#XX#Ask")</f>
        <v>89.462500000000006</v>
      </c>
      <c r="D3" s="37"/>
      <c r="E3" s="37"/>
      <c r="F3" s="37"/>
      <c r="G3" s="36"/>
      <c r="H3" s="36"/>
      <c r="I3" s="38"/>
      <c r="J3" s="38"/>
      <c r="K3" s="38"/>
      <c r="L3" s="38"/>
      <c r="M3" s="38"/>
      <c r="N3" s="38"/>
      <c r="O3" s="38"/>
    </row>
    <row r="4" spans="1:19" s="35" customFormat="1" x14ac:dyDescent="0.25">
      <c r="A4" s="7" t="s">
        <v>11</v>
      </c>
      <c r="B4" s="5">
        <f>RTD("tickerplantrtdserver",,"35#1#1#6031#FUTCUR#N3#0#XX#Bid")</f>
        <v>98.844999999999999</v>
      </c>
      <c r="C4" s="27">
        <f>RTD("tickerplantrtdserver",,"35#1#1#6031#FUTCUR#N3#0#XX#Ask")</f>
        <v>98.864999999999995</v>
      </c>
      <c r="D4" s="37"/>
      <c r="E4" s="37"/>
      <c r="F4" s="37"/>
      <c r="G4" s="36"/>
      <c r="H4" s="36"/>
      <c r="I4" s="36"/>
      <c r="J4" s="36"/>
      <c r="K4" s="36"/>
      <c r="L4" s="36"/>
      <c r="M4" s="36"/>
      <c r="N4" s="36"/>
      <c r="O4" s="36"/>
    </row>
    <row r="5" spans="1:19" s="35" customFormat="1" ht="15.75" thickBot="1" x14ac:dyDescent="0.3">
      <c r="A5" s="6" t="s">
        <v>10</v>
      </c>
      <c r="B5" s="29">
        <f>RTD("tickerplantrtdserver",,"35#1#1#5978#FUTCUR#N3#0#XX#Bid")</f>
        <v>71.19</v>
      </c>
      <c r="C5" s="43">
        <f>RTD("tickerplantrtdserver",,"35#1#1#5978#FUTCUR#N3#0#XX#Ask")</f>
        <v>71.224999999999994</v>
      </c>
      <c r="D5" s="39"/>
      <c r="E5" s="36"/>
      <c r="F5" s="39"/>
      <c r="G5" s="36"/>
      <c r="H5" s="36"/>
      <c r="I5" s="36"/>
      <c r="J5" s="36"/>
      <c r="K5" s="36"/>
      <c r="L5" s="36"/>
      <c r="M5" s="36"/>
      <c r="N5" s="36"/>
      <c r="O5" s="36"/>
    </row>
    <row r="6" spans="1:19" s="35" customFormat="1" x14ac:dyDescent="0.25">
      <c r="A6" s="37"/>
      <c r="B6" s="36"/>
      <c r="C6" s="40"/>
      <c r="D6" s="39"/>
      <c r="E6" s="36"/>
      <c r="F6" s="39"/>
      <c r="G6" s="36"/>
      <c r="H6" s="36"/>
      <c r="I6" s="36"/>
      <c r="J6" s="36"/>
      <c r="K6" s="36"/>
      <c r="L6" s="36"/>
      <c r="M6" s="36"/>
      <c r="N6" s="36"/>
      <c r="O6" s="36"/>
    </row>
    <row r="7" spans="1:19" s="35" customFormat="1" x14ac:dyDescent="0.25">
      <c r="A7" s="36"/>
      <c r="B7" s="36"/>
      <c r="C7" s="36"/>
      <c r="D7" s="36"/>
      <c r="E7" s="36"/>
      <c r="F7" s="36"/>
      <c r="G7" s="36"/>
      <c r="H7" s="36"/>
      <c r="I7" s="41"/>
      <c r="J7" s="41"/>
      <c r="K7" s="36"/>
      <c r="L7" s="36"/>
      <c r="M7" s="36"/>
      <c r="N7" s="36"/>
      <c r="O7" s="36"/>
    </row>
    <row r="8" spans="1:19" s="35" customFormat="1" x14ac:dyDescent="0.25">
      <c r="A8" s="36"/>
      <c r="B8" s="36"/>
      <c r="C8" s="36"/>
      <c r="D8" s="36"/>
      <c r="E8" s="36"/>
      <c r="F8" s="36"/>
      <c r="G8" s="36"/>
      <c r="M8" s="36"/>
    </row>
    <row r="9" spans="1:19" x14ac:dyDescent="0.25">
      <c r="A9" s="20"/>
      <c r="B9" s="20"/>
      <c r="C9" s="20"/>
      <c r="D9" s="20"/>
      <c r="E9" s="20"/>
      <c r="F9" s="20"/>
      <c r="G9" s="20"/>
      <c r="M9" s="2"/>
    </row>
    <row r="10" spans="1:19" x14ac:dyDescent="0.25">
      <c r="A10" s="20"/>
      <c r="B10" s="31"/>
      <c r="C10" s="31"/>
      <c r="D10" s="20"/>
      <c r="E10" s="20"/>
      <c r="F10" s="20"/>
      <c r="G10" s="20"/>
      <c r="J10" s="58"/>
      <c r="K10" s="58"/>
      <c r="L10" s="14"/>
      <c r="M10" s="14"/>
      <c r="N10" s="58"/>
      <c r="O10" s="58"/>
      <c r="P10" s="14"/>
      <c r="Q10" s="14"/>
      <c r="R10" s="58"/>
      <c r="S10" s="58"/>
    </row>
    <row r="11" spans="1:19" s="14" customFormat="1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</row>
    <row r="12" spans="1:19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</row>
    <row r="13" spans="1:19" s="14" customFormat="1" ht="15.95" customHeight="1" x14ac:dyDescent="0.25">
      <c r="A13" s="13"/>
      <c r="B13" s="21"/>
      <c r="C13" s="21"/>
      <c r="D13" s="20"/>
      <c r="E13" s="21"/>
      <c r="F13" s="21"/>
      <c r="G13" s="21"/>
      <c r="H13" s="32"/>
      <c r="I13" s="32"/>
      <c r="J13" s="21"/>
      <c r="K13" s="21"/>
      <c r="L13" s="32"/>
      <c r="M13" s="32"/>
      <c r="N13" s="21"/>
      <c r="O13" s="21"/>
      <c r="P13" s="32"/>
      <c r="Q13" s="32"/>
      <c r="R13" s="21"/>
      <c r="S13" s="21"/>
    </row>
    <row r="14" spans="1:19" ht="15.75" customHeight="1" x14ac:dyDescent="0.25">
      <c r="A14" s="13"/>
      <c r="B14" s="21"/>
      <c r="C14" s="21"/>
      <c r="D14" s="20"/>
      <c r="E14" s="21"/>
      <c r="F14" s="33"/>
      <c r="G14" s="34"/>
      <c r="H14" s="34"/>
      <c r="I14" s="34"/>
      <c r="J14" s="33"/>
      <c r="K14" s="34"/>
      <c r="L14" s="34"/>
      <c r="M14" s="34"/>
      <c r="N14" s="33"/>
      <c r="O14" s="34"/>
      <c r="P14" s="34"/>
      <c r="Q14" s="34"/>
      <c r="R14" s="33"/>
      <c r="S14" s="34"/>
    </row>
    <row r="15" spans="1:19" x14ac:dyDescent="0.25">
      <c r="A15" s="13"/>
      <c r="B15" s="21"/>
      <c r="C15" s="21"/>
      <c r="D15" s="20"/>
      <c r="E15" s="20"/>
      <c r="G15" s="13"/>
      <c r="H15" s="20"/>
      <c r="I15" s="20"/>
      <c r="K15" s="13"/>
      <c r="L15" s="58"/>
      <c r="M15" s="58"/>
      <c r="N15" s="14"/>
      <c r="O15" s="13"/>
      <c r="P15" s="58"/>
      <c r="Q15" s="58"/>
      <c r="R15" s="14"/>
      <c r="S15" s="13"/>
    </row>
    <row r="16" spans="1:19" x14ac:dyDescent="0.25">
      <c r="A16" s="15"/>
      <c r="B16" s="21"/>
      <c r="C16" s="21"/>
      <c r="D16" s="20"/>
      <c r="E16" s="20"/>
      <c r="G16" s="15"/>
      <c r="H16" s="20"/>
      <c r="I16" s="20"/>
      <c r="K16" s="15"/>
      <c r="L16" s="58"/>
      <c r="M16" s="58"/>
      <c r="N16" s="14"/>
      <c r="O16" s="15"/>
      <c r="P16" s="58"/>
      <c r="Q16" s="58"/>
      <c r="R16" s="14"/>
      <c r="S16" s="15"/>
    </row>
    <row r="17" spans="1:19" x14ac:dyDescent="0.25">
      <c r="A17" s="15"/>
      <c r="B17" s="21"/>
      <c r="C17" s="21"/>
      <c r="D17" s="20"/>
      <c r="E17" s="20"/>
      <c r="G17" s="15"/>
      <c r="H17" s="20"/>
      <c r="I17" s="20"/>
      <c r="K17" s="15"/>
      <c r="L17" s="58"/>
      <c r="M17" s="58"/>
      <c r="N17" s="14"/>
      <c r="O17" s="15"/>
      <c r="P17" s="58"/>
      <c r="Q17" s="58"/>
      <c r="R17" s="14"/>
      <c r="S17" s="15"/>
    </row>
    <row r="18" spans="1:19" x14ac:dyDescent="0.25">
      <c r="A18" s="15"/>
      <c r="B18" s="21"/>
      <c r="C18" s="21"/>
      <c r="D18" s="20"/>
      <c r="E18" s="20"/>
      <c r="G18" s="15"/>
      <c r="H18" s="20"/>
      <c r="I18" s="20"/>
      <c r="K18" s="15"/>
      <c r="L18" s="58"/>
      <c r="M18" s="58"/>
      <c r="N18" s="14"/>
      <c r="O18" s="15"/>
      <c r="P18" s="58"/>
      <c r="Q18" s="58"/>
      <c r="R18" s="14"/>
      <c r="S18" s="15"/>
    </row>
    <row r="19" spans="1:19" x14ac:dyDescent="0.25">
      <c r="A19" s="15"/>
      <c r="B19" s="21"/>
      <c r="C19" s="21"/>
      <c r="D19" s="20"/>
      <c r="E19" s="20"/>
      <c r="G19" s="15"/>
      <c r="H19" s="20"/>
      <c r="I19" s="20"/>
      <c r="K19" s="15"/>
      <c r="L19" s="58"/>
      <c r="M19" s="58"/>
      <c r="N19" s="14"/>
      <c r="O19" s="15"/>
      <c r="P19" s="58"/>
      <c r="Q19" s="58"/>
      <c r="R19" s="14"/>
      <c r="S19" s="15"/>
    </row>
    <row r="20" spans="1:19" x14ac:dyDescent="0.25"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K23" s="14"/>
      <c r="L23" s="14"/>
      <c r="M23" s="14"/>
      <c r="N23" s="14"/>
      <c r="O23" s="14"/>
      <c r="P23" s="14"/>
      <c r="Q23" s="14"/>
      <c r="R23" s="14"/>
      <c r="S23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36"/>
  <sheetViews>
    <sheetView workbookViewId="0">
      <selection sqref="A1:B1"/>
    </sheetView>
  </sheetViews>
  <sheetFormatPr defaultRowHeight="15" x14ac:dyDescent="0.25"/>
  <cols>
    <col min="1" max="1" width="13.85546875" bestFit="1" customWidth="1"/>
    <col min="2" max="2" width="4.28515625" customWidth="1"/>
    <col min="3" max="4" width="9.85546875" bestFit="1" customWidth="1"/>
    <col min="5" max="5" width="9.28515625" bestFit="1" customWidth="1"/>
    <col min="6" max="6" width="8.85546875" bestFit="1" customWidth="1"/>
    <col min="7" max="8" width="9.42578125" bestFit="1" customWidth="1"/>
    <col min="9" max="9" width="9.28515625" bestFit="1" customWidth="1"/>
    <col min="10" max="11" width="9.5703125" bestFit="1" customWidth="1"/>
    <col min="12" max="12" width="9.28515625" bestFit="1" customWidth="1"/>
    <col min="13" max="13" width="9.42578125" bestFit="1" customWidth="1"/>
    <col min="14" max="14" width="9.7109375" bestFit="1" customWidth="1"/>
    <col min="15" max="15" width="9.2851562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66" t="s">
        <v>6</v>
      </c>
      <c r="B1" s="167"/>
      <c r="C1" s="62" t="str">
        <f>RTD("tickerplantrtdserver",,"FWRC1#USDINR#Month End Rates#0#S#Desc.2")</f>
        <v>CASH/SPOT</v>
      </c>
      <c r="D1" s="62" t="str">
        <f>RTD("tickerplantrtdserver",,"FWRC1#USDINR#Month End Rates#0#S#Desc.4")</f>
        <v>AUG-2020</v>
      </c>
      <c r="E1" s="62" t="str">
        <f>RTD("tickerplantrtdserver",,"FWRC1#USDINR#Month End Rates#0#S#Desc.5")</f>
        <v>SEP-2020</v>
      </c>
      <c r="F1" s="62" t="str">
        <f>RTD("tickerplantrtdserver",,"FWRC1#USDINR#Month End Rates#0#S#Desc.6")</f>
        <v>OCT-2020</v>
      </c>
      <c r="G1" s="62" t="str">
        <f>RTD("tickerplantrtdserver",,"FWRC1#USDINR#Month End Rates#0#S#Desc.7")</f>
        <v>NOV-2020</v>
      </c>
      <c r="H1" s="62" t="str">
        <f>RTD("tickerplantrtdserver",,"FWRC1#USDINR#Month End Rates#0#S#Desc.8")</f>
        <v>DEC-2020</v>
      </c>
      <c r="I1" s="62" t="str">
        <f>RTD("tickerplantrtdserver",,"FWRC1#USDINR#Month End Rates#0#S#Desc.9")</f>
        <v>JAN-2021</v>
      </c>
      <c r="J1" s="62" t="str">
        <f>RTD("tickerplantrtdserver",,"FWRC1#USDINR#Month End Rates#0#S#Desc.10")</f>
        <v>FEB-2021</v>
      </c>
      <c r="K1" s="62" t="str">
        <f>RTD("tickerplantrtdserver",,"FWRC1#USDINR#Month End Rates#0#S#Desc.11")</f>
        <v>MAR-2021</v>
      </c>
      <c r="L1" s="62" t="str">
        <f>RTD("tickerplantrtdserver",,"FWRC1#USDINR#Month End Rates#0#S#Desc.12")</f>
        <v>APR-2021</v>
      </c>
      <c r="M1" s="62" t="str">
        <f>RTD("tickerplantrtdserver",,"FWRC1#USDINR#Month End Rates#0#S#Desc.13")</f>
        <v>MAY-2021</v>
      </c>
      <c r="N1" s="62" t="str">
        <f>RTD("tickerplantrtdserver",,"FWRC1#USDINR#Month End Rates#0#S#Desc.14")</f>
        <v>JUN-2021</v>
      </c>
      <c r="O1" s="63" t="str">
        <f>RTD("tickerplantrtdserver",,"FWRC1#USDINR#Month End Rates#0#S#Desc.15")</f>
        <v>JUL-2021</v>
      </c>
    </row>
    <row r="2" spans="1:18" s="14" customFormat="1" ht="15.75" customHeight="1" x14ac:dyDescent="0.25">
      <c r="A2" s="158" t="s">
        <v>5</v>
      </c>
      <c r="B2" s="159"/>
      <c r="C2" s="108" t="str">
        <f>RTD("tickerplantrtdserver",,"FWRC1#USDINR#Month End Rates#0#S#MonthEndDate2")</f>
        <v>20-Aug-2020</v>
      </c>
      <c r="D2" s="108" t="str">
        <f>RTD("tickerplantrtdserver",,"FWRC1#USDINR#Month End Rates#0#S#MonthEndDate4")</f>
        <v>31-Aug-2020</v>
      </c>
      <c r="E2" s="108" t="str">
        <f t="array" ref="E2">RTD("tickerplantrtdserver",,"FWRC1#USDINR#Month End Rates#0#S#MonthEndDate5")</f>
        <v>30-Sep-2020</v>
      </c>
      <c r="F2" s="108" t="str">
        <f t="array" ref="F2">RTD("tickerplantrtdserver",,"FWRC1#USDINR#Month End Rates#0#S#MonthEndDate6")</f>
        <v>29-Oct-2020</v>
      </c>
      <c r="G2" s="108" t="str">
        <f t="array" ref="G2">RTD("tickerplantrtdserver",,"FWRC1#USDINR#Month End Rates#0#S#MonthEndDate7")</f>
        <v>27-Nov-2020</v>
      </c>
      <c r="H2" s="108" t="str">
        <f t="array" ref="H2">RTD("tickerplantrtdserver",,"FWRC1#USDINR#Month End Rates#0#S#MonthEndDate8")</f>
        <v>31-Dec-2020</v>
      </c>
      <c r="I2" s="108" t="str">
        <f t="array" ref="I2">RTD("tickerplantrtdserver",,"FWRC1#USDINR#Month End Rates#0#S#MonthEndDate9")</f>
        <v>29-Jan-2021</v>
      </c>
      <c r="J2" s="108" t="str">
        <f t="array" ref="J2">RTD("tickerplantrtdserver",,"FWRC1#USDINR#Month End Rates#0#S#MonthEndDate10")</f>
        <v>26-Feb-2021</v>
      </c>
      <c r="K2" s="108" t="str">
        <f t="array" ref="K2">RTD("tickerplantrtdserver",,"FWRC1#USDINR#Month End Rates#0#S#MonthEndDate11")</f>
        <v>31-Mar-2021</v>
      </c>
      <c r="L2" s="108" t="str">
        <f t="array" ref="L2">RTD("tickerplantrtdserver",,"FWRC1#USDINR#Month End Rates#0#S#MonthEndDate12")</f>
        <v>30-Apr-2021</v>
      </c>
      <c r="M2" s="108" t="str">
        <f t="array" ref="M2">RTD("tickerplantrtdserver",,"FWRC1#USDINR#Month End Rates#0#S#MonthEndDate13")</f>
        <v>31-May-2021</v>
      </c>
      <c r="N2" s="108" t="str">
        <f t="array" ref="N2">RTD("tickerplantrtdserver",,"FWRC1#USDINR#Month End Rates#0#S#MonthEndDate14")</f>
        <v>30-Jun-2021</v>
      </c>
      <c r="O2" s="109" t="str">
        <f>RTD("tickerplantrtdserver",,"FWRC1#USDINR#Month End Rates#0#S#MonthEndDate15")</f>
        <v>30-Jul-2021</v>
      </c>
      <c r="P2" s="30"/>
    </row>
    <row r="3" spans="1:18" s="14" customFormat="1" x14ac:dyDescent="0.25">
      <c r="A3" s="162" t="s">
        <v>4</v>
      </c>
      <c r="B3" s="163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1"/>
      <c r="P3" s="15"/>
    </row>
    <row r="4" spans="1:18" s="14" customFormat="1" x14ac:dyDescent="0.25">
      <c r="A4" s="158" t="s">
        <v>47</v>
      </c>
      <c r="B4" s="159"/>
      <c r="C4" s="65">
        <f t="array" ref="C4">RTD("tickerplantrtdserver",,"FWRC1#USDINR#Month End Rates#0#BidPrice2")</f>
        <v>1</v>
      </c>
      <c r="D4" s="65">
        <f t="array" ref="D4">RTD("tickerplantrtdserver",,"FWRC1#USDINR#Month End Rates#0#BidPrice4")</f>
        <v>6.5</v>
      </c>
      <c r="E4" s="65">
        <f t="array" ref="E4">RTD("tickerplantrtdserver",,"FWRC1#USDINR#Month End Rates#0#BidPrice5")</f>
        <v>29</v>
      </c>
      <c r="F4" s="65">
        <f t="array" ref="F4">RTD("tickerplantrtdserver",,"FWRC1#USDINR#Month End Rates#0#BidPrice6")</f>
        <v>52.5</v>
      </c>
      <c r="G4" s="65">
        <f t="array" ref="G4">RTD("tickerplantrtdserver",,"FWRC1#USDINR#Month End Rates#0#BidPrice7")</f>
        <v>76</v>
      </c>
      <c r="H4" s="65">
        <f t="array" ref="H4">RTD("tickerplantrtdserver",,"FWRC1#USDINR#Month End Rates#0#BidPrice8")</f>
        <v>103</v>
      </c>
      <c r="I4" s="65">
        <f t="array" ref="I4">RTD("tickerplantrtdserver",,"FWRC1#USDINR#Month End Rates#0#BidPrice9")</f>
        <v>127.25</v>
      </c>
      <c r="J4" s="65">
        <f t="array" ref="J4">RTD("tickerplantrtdserver",,"FWRC1#USDINR#Month End Rates#0#BidPrice10")</f>
        <v>150.25</v>
      </c>
      <c r="K4" s="65">
        <f t="array" ref="K4">RTD("tickerplantrtdserver",,"FWRC1#USDINR#Month End Rates#0#BidPrice11")</f>
        <v>177.75</v>
      </c>
      <c r="L4" s="65">
        <f t="array" ref="L4">RTD("tickerplantrtdserver",,"FWRC1#USDINR#Month End Rates#0#BidPrice12")</f>
        <v>208.75</v>
      </c>
      <c r="M4" s="65">
        <f t="array" ref="M4">RTD("tickerplantrtdserver",,"FWRC1#USDINR#Month End Rates#0#BidPrice13")</f>
        <v>231.5</v>
      </c>
      <c r="N4" s="65">
        <f t="array" ref="N4">RTD("tickerplantrtdserver",,"FWRC1#USDINR#Month End Rates#0#BidPrice14")</f>
        <v>258.5</v>
      </c>
      <c r="O4" s="67">
        <f t="array" ref="O4">RTD("tickerplantrtdserver",,"FWRC1#USDINR#Month End Rates#0#BidPrice15")</f>
        <v>283</v>
      </c>
      <c r="P4" s="20"/>
    </row>
    <row r="5" spans="1:18" s="14" customFormat="1" x14ac:dyDescent="0.25">
      <c r="A5" s="158" t="s">
        <v>48</v>
      </c>
      <c r="B5" s="159"/>
      <c r="C5" s="65">
        <f t="array" ref="C5">RTD("tickerplantrtdserver",,"FWRC1#USDINR#Month End Rates#0#BidPrice2")</f>
        <v>1</v>
      </c>
      <c r="D5" s="65">
        <f t="array" ref="D5">RTD("tickerplantrtdserver",,"FWRC1#USDINR#Month End Rates#0#BidPrice4")</f>
        <v>6.5</v>
      </c>
      <c r="E5" s="65">
        <f t="array" ref="E5">RTD("tickerplantrtdserver",,"FWRC1#USDINR#Month End Rates#0#AskPrice5")</f>
        <v>31</v>
      </c>
      <c r="F5" s="65">
        <f t="array" ref="F5">RTD("tickerplantrtdserver",,"FWRC1#USDINR#Month End Rates#0#AskPrice6")</f>
        <v>54.5</v>
      </c>
      <c r="G5" s="65">
        <f t="array" ref="G5">RTD("tickerplantrtdserver",,"FWRC1#USDINR#Month End Rates#0#AskPrice7")</f>
        <v>78</v>
      </c>
      <c r="H5" s="65">
        <f t="array" ref="H5">RTD("tickerplantrtdserver",,"FWRC1#USDINR#Month End Rates#0#AskPrice8")</f>
        <v>105</v>
      </c>
      <c r="I5" s="65">
        <f t="array" ref="I5">RTD("tickerplantrtdserver",,"FWRC1#USDINR#Month End Rates#0#AskPrice9")</f>
        <v>129.25</v>
      </c>
      <c r="J5" s="65">
        <f t="array" ref="J5">RTD("tickerplantrtdserver",,"FWRC1#USDINR#Month End Rates#0#AskPrice10")</f>
        <v>152.25</v>
      </c>
      <c r="K5" s="65">
        <f t="array" ref="K5">RTD("tickerplantrtdserver",,"FWRC1#USDINR#Month End Rates#0#AskPrice11")</f>
        <v>179.75</v>
      </c>
      <c r="L5" s="65">
        <f t="array" ref="L5">RTD("tickerplantrtdserver",,"FWRC1#USDINR#Month End Rates#0#AskPrice12")</f>
        <v>210.75</v>
      </c>
      <c r="M5" s="65">
        <f t="array" ref="M5">RTD("tickerplantrtdserver",,"FWRC1#USDINR#Month End Rates#0#AskPrice13")</f>
        <v>233.5</v>
      </c>
      <c r="N5" s="65">
        <f t="array" ref="N5">RTD("tickerplantrtdserver",,"FWRC1#USDINR#Month End Rates#0#AskPrice14")</f>
        <v>260.5</v>
      </c>
      <c r="O5" s="67">
        <f t="array" ref="O5">RTD("tickerplantrtdserver",,"FWRC1#USDINR#Month End Rates#0#AskPrice15")</f>
        <v>285</v>
      </c>
      <c r="P5" s="20"/>
    </row>
    <row r="6" spans="1:18" s="14" customFormat="1" x14ac:dyDescent="0.25">
      <c r="A6" s="162" t="s">
        <v>3</v>
      </c>
      <c r="B6" s="163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1"/>
      <c r="P6" s="20"/>
    </row>
    <row r="7" spans="1:18" s="14" customFormat="1" x14ac:dyDescent="0.25">
      <c r="A7" s="158" t="s">
        <v>47</v>
      </c>
      <c r="B7" s="159"/>
      <c r="C7" s="64">
        <f t="array" ref="C7">RTD("tickerplantrtdserver",,"FWRC1#USDINR#Month End Rates#0#FwdOutrightBid1")</f>
        <v>74.734999999999999</v>
      </c>
      <c r="D7" s="64">
        <f>RTD("tickerplantrtdserver",,"FWRC1#USDINR#Month End Rates#0#FwdOutrightBid4")</f>
        <v>74.819999999999993</v>
      </c>
      <c r="E7" s="64">
        <f t="array" ref="E7">RTD("tickerplantrtdserver",,"FWRC1#USDINR#Month End Rates#0#FwdOutrightBid5")</f>
        <v>75.045000000000002</v>
      </c>
      <c r="F7" s="64">
        <f t="array" ref="F7">RTD("tickerplantrtdserver",,"FWRC1#USDINR#Month End Rates#0#FwdOutrightBid6")</f>
        <v>75.28</v>
      </c>
      <c r="G7" s="64">
        <f t="array" ref="G7">RTD("tickerplantrtdserver",,"FWRC1#USDINR#Month End Rates#0#FwdOutrightBid7")</f>
        <v>75.515000000000001</v>
      </c>
      <c r="H7" s="64">
        <f t="array" ref="H7">RTD("tickerplantrtdserver",,"FWRC1#USDINR#Month End Rates#0#FwdOutrightBid8")</f>
        <v>75.784999999999997</v>
      </c>
      <c r="I7" s="64">
        <f t="array" ref="I7">RTD("tickerplantrtdserver",,"FWRC1#USDINR#Month End Rates#0#FwdOutrightBid9")</f>
        <v>76.027500000000003</v>
      </c>
      <c r="J7" s="64">
        <f t="array" ref="J7">RTD("tickerplantrtdserver",,"FWRC1#USDINR#Month End Rates#0#FwdOutrightBid10")</f>
        <v>76.257499999999993</v>
      </c>
      <c r="K7" s="64">
        <f t="array" ref="K7">RTD("tickerplantrtdserver",,"FWRC1#USDINR#Month End Rates#0#FwdOutrightBid11")</f>
        <v>76.532499999999999</v>
      </c>
      <c r="L7" s="64">
        <f t="array" ref="L7">RTD("tickerplantrtdserver",,"FWRC1#USDINR#Month End Rates#0#FwdOutrightBid12")</f>
        <v>76.842500000000001</v>
      </c>
      <c r="M7" s="64">
        <f t="array" ref="M7">RTD("tickerplantrtdserver",,"FWRC1#USDINR#Month End Rates#0#FwdOutrightBid13")</f>
        <v>77.069999999999993</v>
      </c>
      <c r="N7" s="64">
        <f t="array" ref="N7">RTD("tickerplantrtdserver",,"FWRC1#USDINR#Month End Rates#0#FwdOutrightBid14")</f>
        <v>77.34</v>
      </c>
      <c r="O7" s="68">
        <f t="array" ref="O7">RTD("tickerplantrtdserver",,"FWRC1#USDINR#Month End Rates#0#FwdOutrightBid15")</f>
        <v>77.584999999999994</v>
      </c>
      <c r="P7" s="20"/>
    </row>
    <row r="8" spans="1:18" s="14" customFormat="1" x14ac:dyDescent="0.25">
      <c r="A8" s="158" t="s">
        <v>48</v>
      </c>
      <c r="B8" s="159"/>
      <c r="C8" s="64">
        <f t="array" ref="C8">RTD("tickerplantrtdserver",,"FWRC1#USDINR#Month End Rates#0#FwdOutrightAsk1")</f>
        <v>74.754999999999995</v>
      </c>
      <c r="D8" s="64">
        <f t="array" ref="D8">RTD("tickerplantrtdserver",,"FWRC1#USDINR#Month End Rates#0#FwdOutrightAsk4")</f>
        <v>74.849999999999994</v>
      </c>
      <c r="E8" s="64">
        <f t="array" ref="E8">RTD("tickerplantrtdserver",,"FWRC1#USDINR#Month End Rates#0#FwdOutrightAsk5")</f>
        <v>75.075000000000003</v>
      </c>
      <c r="F8" s="64">
        <f t="array" ref="F8">RTD("tickerplantrtdserver",,"FWRC1#USDINR#Month End Rates#0#FwdOutrightAsk6")</f>
        <v>75.31</v>
      </c>
      <c r="G8" s="64">
        <f t="array" ref="G8">RTD("tickerplantrtdserver",,"FWRC1#USDINR#Month End Rates#0#FwdOutrightAsk7")</f>
        <v>75.545000000000002</v>
      </c>
      <c r="H8" s="64">
        <f t="array" ref="H8">RTD("tickerplantrtdserver",,"FWRC1#USDINR#Month End Rates#0#FwdOutrightAsk8")</f>
        <v>75.814999999999998</v>
      </c>
      <c r="I8" s="64">
        <f t="array" ref="I8">RTD("tickerplantrtdserver",,"FWRC1#USDINR#Month End Rates#0#FwdOutrightAsk9")</f>
        <v>76.057500000000005</v>
      </c>
      <c r="J8" s="64">
        <f t="array" ref="J8">RTD("tickerplantrtdserver",,"FWRC1#USDINR#Month End Rates#0#FwdOutrightAsk10")</f>
        <v>76.287499999999994</v>
      </c>
      <c r="K8" s="64">
        <f t="array" ref="K8">RTD("tickerplantrtdserver",,"FWRC1#USDINR#Month End Rates#0#FwdOutrightAsk11")</f>
        <v>76.5625</v>
      </c>
      <c r="L8" s="64">
        <f t="array" ref="L8">RTD("tickerplantrtdserver",,"FWRC1#USDINR#Month End Rates#0#FwdOutrightAsk12")</f>
        <v>76.872500000000002</v>
      </c>
      <c r="M8" s="64">
        <f t="array" ref="M8">RTD("tickerplantrtdserver",,"FWRC1#USDINR#Month End Rates#0#FwdOutrightAsk13")</f>
        <v>77.099999999999994</v>
      </c>
      <c r="N8" s="64">
        <f t="array" ref="N8">RTD("tickerplantrtdserver",,"FWRC1#USDINR#Month End Rates#0#FwdOutrightAsk14")</f>
        <v>77.37</v>
      </c>
      <c r="O8" s="68">
        <f t="array" ref="O8">RTD("tickerplantrtdserver",,"FWRC1#USDINR#Month End Rates#0#FwdOutrightAsk15")</f>
        <v>77.614999999999995</v>
      </c>
    </row>
    <row r="9" spans="1:18" s="14" customFormat="1" x14ac:dyDescent="0.25">
      <c r="A9" s="162" t="s">
        <v>2</v>
      </c>
      <c r="B9" s="163"/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5"/>
    </row>
    <row r="10" spans="1:18" s="14" customFormat="1" x14ac:dyDescent="0.25">
      <c r="A10" s="158" t="s">
        <v>47</v>
      </c>
      <c r="B10" s="159"/>
      <c r="C10" s="66">
        <f t="array" ref="C10">RTD("tickerplantrtdserver",,"FWRC1#USDINR#Month End Rates#0#Bid%2")</f>
        <v>2.4409999999999998</v>
      </c>
      <c r="D10" s="66">
        <f t="array" ref="D10">RTD("tickerplantrtdserver",,"FWRC1#USDINR#Month End Rates#0#Bid%4")</f>
        <v>2.8847999999999998</v>
      </c>
      <c r="E10" s="65">
        <f t="array" ref="E10">RTD("tickerplantrtdserver",,"FWRC1#USDINR#Month End Rates#0#Bid%5")</f>
        <v>3.4531000000000001</v>
      </c>
      <c r="F10" s="65">
        <f t="array" ref="F10">RTD("tickerplantrtdserver",,"FWRC1#USDINR#Month End Rates#0#Bid%6")</f>
        <v>3.6615000000000002</v>
      </c>
      <c r="G10" s="65">
        <f t="array" ref="G10">RTD("tickerplantrtdserver",,"FWRC1#USDINR#Month End Rates#0#Bid%7")</f>
        <v>3.7477999999999998</v>
      </c>
      <c r="H10" s="65">
        <f t="array" ref="H10">RTD("tickerplantrtdserver",,"FWRC1#USDINR#Month End Rates#0#Bid%8")</f>
        <v>3.7808000000000002</v>
      </c>
      <c r="I10" s="65">
        <f t="array" ref="I10">RTD("tickerplantrtdserver",,"FWRC1#USDINR#Month End Rates#0#Bid%9")</f>
        <v>3.8348</v>
      </c>
      <c r="J10" s="65">
        <f t="array" ref="J10">RTD("tickerplantrtdserver",,"FWRC1#USDINR#Month End Rates#0#Bid%10")</f>
        <v>3.8605999999999998</v>
      </c>
      <c r="K10" s="65">
        <f t="array" ref="K10">RTD("tickerplantrtdserver",,"FWRC1#USDINR#Month End Rates#0#Bid%11")</f>
        <v>3.8913000000000002</v>
      </c>
      <c r="L10" s="65">
        <f t="array" ref="L10">RTD("tickerplantrtdserver",,"FWRC1#USDINR#Month End Rates#0#Bid%12")</f>
        <v>4.0281000000000002</v>
      </c>
      <c r="M10" s="65">
        <f t="array" ref="M10">RTD("tickerplantrtdserver",,"FWRC1#USDINR#Month End Rates#0#Bid%13")</f>
        <v>3.9794999999999998</v>
      </c>
      <c r="N10" s="65">
        <f t="array" ref="N10">RTD("tickerplantrtdserver",,"FWRC1#USDINR#Month End Rates#0#Bid%14")</f>
        <v>4.0190999999999999</v>
      </c>
      <c r="O10" s="67">
        <f t="array" ref="O10">RTD("tickerplantrtdserver",,"FWRC1#USDINR#Month End Rates#0#Bid%15")</f>
        <v>4.0163000000000002</v>
      </c>
    </row>
    <row r="11" spans="1:18" s="14" customFormat="1" ht="15.75" thickBot="1" x14ac:dyDescent="0.3">
      <c r="A11" s="160" t="s">
        <v>48</v>
      </c>
      <c r="B11" s="161"/>
      <c r="C11" s="69">
        <f t="array" ref="C11">RTD("tickerplantrtdserver",,"FWRC1#USDINR#Month End Rates#0#Ask%2")</f>
        <v>4.8826000000000001</v>
      </c>
      <c r="D11" s="69">
        <f t="array" ref="D11">RTD("tickerplantrtdserver",,"FWRC1#USDINR#Month End Rates#0#Ask%4")</f>
        <v>3.7728999999999999</v>
      </c>
      <c r="E11" s="69">
        <f t="array" ref="E11">RTD("tickerplantrtdserver",,"FWRC1#USDINR#Month End Rates#0#Ask%5")</f>
        <v>3.6917</v>
      </c>
      <c r="F11" s="69">
        <f t="array" ref="F11">RTD("tickerplantrtdserver",,"FWRC1#USDINR#Month End Rates#0#Ask%6")</f>
        <v>3.8014999999999999</v>
      </c>
      <c r="G11" s="69">
        <f t="array" ref="G11">RTD("tickerplantrtdserver",,"FWRC1#USDINR#Month End Rates#0#Ask%7")</f>
        <v>3.8469000000000002</v>
      </c>
      <c r="H11" s="69">
        <f t="array" ref="H11">RTD("tickerplantrtdserver",,"FWRC1#USDINR#Month End Rates#0#Ask%8")</f>
        <v>3.8546999999999998</v>
      </c>
      <c r="I11" s="69">
        <f t="array" ref="I11">RTD("tickerplantrtdserver",,"FWRC1#USDINR#Month End Rates#0#Ask%9")</f>
        <v>3.8955000000000002</v>
      </c>
      <c r="J11" s="69">
        <f t="array" ref="J11">RTD("tickerplantrtdserver",,"FWRC1#USDINR#Month End Rates#0#Ask%10")</f>
        <v>3.9125000000000001</v>
      </c>
      <c r="K11" s="69">
        <f t="array" ref="K11">RTD("tickerplantrtdserver",,"FWRC1#USDINR#Month End Rates#0#Ask%11")</f>
        <v>3.9357000000000002</v>
      </c>
      <c r="L11" s="69">
        <f t="array" ref="L11">RTD("tickerplantrtdserver",,"FWRC1#USDINR#Month End Rates#0#Ask%12")</f>
        <v>4.0671999999999997</v>
      </c>
      <c r="M11" s="69">
        <f t="array" ref="M11">RTD("tickerplantrtdserver",,"FWRC1#USDINR#Month End Rates#0#Ask%13")</f>
        <v>4.0144000000000002</v>
      </c>
      <c r="N11" s="69">
        <f t="array" ref="N11">RTD("tickerplantrtdserver",,"FWRC1#USDINR#Month End Rates#0#Ask%14")</f>
        <v>4.0507</v>
      </c>
      <c r="O11" s="70">
        <f t="array" ref="O11">RTD("tickerplantrtdserver",,"FWRC1#USDINR#Month End Rates#0#Ask%15")</f>
        <v>4.0452000000000004</v>
      </c>
    </row>
    <row r="12" spans="1:18" s="14" customFormat="1" ht="15.75" customHeight="1" x14ac:dyDescent="0.25"/>
    <row r="13" spans="1:18" s="14" customFormat="1" x14ac:dyDescent="0.25">
      <c r="Q13" s="23"/>
      <c r="R13" s="23"/>
    </row>
    <row r="14" spans="1:18" s="14" customFormat="1" x14ac:dyDescent="0.25">
      <c r="P14" s="31"/>
      <c r="Q14" s="31"/>
      <c r="R14" s="31"/>
    </row>
    <row r="15" spans="1:18" s="14" customFormat="1" x14ac:dyDescent="0.25">
      <c r="P15" s="15"/>
      <c r="Q15" s="15"/>
      <c r="R15" s="15"/>
    </row>
    <row r="16" spans="1:18" s="14" customFormat="1" x14ac:dyDescent="0.25">
      <c r="A16" s="15"/>
      <c r="B16" s="21"/>
      <c r="C16" s="21"/>
      <c r="D16" s="20"/>
      <c r="E16" s="20"/>
      <c r="G16" s="15"/>
      <c r="H16" s="20"/>
      <c r="I16" s="20"/>
      <c r="J16" s="20"/>
      <c r="L16" s="13"/>
      <c r="P16" s="13"/>
    </row>
    <row r="17" spans="1:16" s="14" customFormat="1" x14ac:dyDescent="0.25">
      <c r="A17" s="15"/>
      <c r="B17" s="21"/>
      <c r="C17" s="21"/>
      <c r="D17" s="20"/>
      <c r="E17" s="20"/>
      <c r="G17" s="15"/>
      <c r="H17" s="20"/>
      <c r="I17" s="20"/>
      <c r="J17" s="20"/>
      <c r="L17" s="13"/>
      <c r="P17" s="13"/>
    </row>
    <row r="18" spans="1:16" s="14" customFormat="1" x14ac:dyDescent="0.25">
      <c r="A18" s="15"/>
      <c r="B18" s="21"/>
      <c r="C18" s="21"/>
      <c r="D18" s="20"/>
      <c r="E18" s="20"/>
      <c r="G18" s="15"/>
      <c r="H18" s="20"/>
      <c r="I18" s="20"/>
      <c r="J18" s="20"/>
      <c r="L18" s="13"/>
      <c r="P18" s="13"/>
    </row>
    <row r="19" spans="1:16" s="14" customFormat="1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</row>
    <row r="20" spans="1:16" s="14" customForma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</row>
    <row r="21" spans="1:16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</row>
    <row r="22" spans="1:16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</row>
    <row r="23" spans="1:16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</row>
    <row r="24" spans="1:16" s="2" customFormat="1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</row>
    <row r="25" spans="1:16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</row>
    <row r="26" spans="1:16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</row>
    <row r="27" spans="1:16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</row>
    <row r="28" spans="1:16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</row>
    <row r="29" spans="1:16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</row>
    <row r="30" spans="1:16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</row>
    <row r="31" spans="1:16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</row>
    <row r="32" spans="1:16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</row>
    <row r="33" spans="1:15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</row>
    <row r="34" spans="1:15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</row>
    <row r="35" spans="1:15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</row>
    <row r="36" spans="1:15" x14ac:dyDescent="0.25">
      <c r="A36" s="1"/>
      <c r="B36" s="1"/>
    </row>
  </sheetData>
  <mergeCells count="12">
    <mergeCell ref="A1:B1"/>
    <mergeCell ref="A7:B7"/>
    <mergeCell ref="A5:B5"/>
    <mergeCell ref="A4:B4"/>
    <mergeCell ref="A2:B2"/>
    <mergeCell ref="A6:B6"/>
    <mergeCell ref="A3:B3"/>
    <mergeCell ref="A10:B10"/>
    <mergeCell ref="A11:B11"/>
    <mergeCell ref="A8:B8"/>
    <mergeCell ref="A9:B9"/>
    <mergeCell ref="C9:O9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43"/>
  <sheetViews>
    <sheetView workbookViewId="0">
      <selection activeCell="C4" sqref="C4"/>
    </sheetView>
  </sheetViews>
  <sheetFormatPr defaultColWidth="8.85546875" defaultRowHeight="15" x14ac:dyDescent="0.25"/>
  <cols>
    <col min="3" max="3" width="9.85546875" bestFit="1" customWidth="1"/>
    <col min="4" max="4" width="9.28515625" bestFit="1" customWidth="1"/>
    <col min="5" max="5" width="8.85546875" bestFit="1" customWidth="1"/>
    <col min="6" max="7" width="9.42578125" bestFit="1" customWidth="1"/>
    <col min="8" max="8" width="9.28515625" bestFit="1" customWidth="1"/>
    <col min="9" max="10" width="9.5703125" bestFit="1" customWidth="1"/>
    <col min="11" max="11" width="9.28515625" bestFit="1" customWidth="1"/>
    <col min="12" max="12" width="9.42578125" bestFit="1" customWidth="1"/>
    <col min="13" max="13" width="9.7109375" bestFit="1" customWidth="1"/>
    <col min="14" max="14" width="9.28515625" bestFit="1" customWidth="1"/>
    <col min="15" max="15" width="9.8554687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66" t="s">
        <v>6</v>
      </c>
      <c r="B1" s="167"/>
      <c r="C1" s="73" t="str">
        <f t="array" ref="C1">RTD("tickerplantrtdserver",,"FWRC1#USDINR#Month Wise Rates#0#S#Desc.2")</f>
        <v>TN</v>
      </c>
      <c r="D1" s="73" t="str">
        <f t="array" ref="D1">RTD("tickerplantrtdserver",,"FWRC1#USDINR#Month Wise Rates#0#S#Desc.7")</f>
        <v>1M</v>
      </c>
      <c r="E1" s="73" t="str">
        <f t="array" ref="E1">RTD("tickerplantrtdserver",,"FWRC1#USDINR#Month Wise Rates#0#S#Desc.8")</f>
        <v>2M</v>
      </c>
      <c r="F1" s="73" t="str">
        <f t="array" ref="F1">RTD("tickerplantrtdserver",,"FWRC1#USDINR#Month Wise Rates#0#S#Desc.9")</f>
        <v>3M</v>
      </c>
      <c r="G1" s="73" t="str">
        <f t="array" ref="G1">RTD("tickerplantrtdserver",,"FWRC1#USDINR#Month Wise Rates#0#S#Desc.10")</f>
        <v>4M</v>
      </c>
      <c r="H1" s="73" t="str">
        <f t="array" ref="H1">RTD("tickerplantrtdserver",,"FWRC1#USDINR#Month Wise Rates#0#S#Desc.11")</f>
        <v>5M</v>
      </c>
      <c r="I1" s="73" t="str">
        <f t="array" ref="I1">RTD("tickerplantrtdserver",,"FWRC1#USDINR#Month Wise Rates#0#S#Desc.12")</f>
        <v>6M</v>
      </c>
      <c r="J1" s="73" t="str">
        <f t="array" ref="J1">RTD("tickerplantrtdserver",,"FWRC1#USDINR#Month Wise Rates#0#S#Desc.13")</f>
        <v>7M</v>
      </c>
      <c r="K1" s="73" t="str">
        <f t="array" ref="K1">RTD("tickerplantrtdserver",,"FWRC1#USDINR#Month Wise Rates#0#S#Desc.14")</f>
        <v>8M</v>
      </c>
      <c r="L1" s="73" t="str">
        <f t="array" ref="L1">RTD("tickerplantrtdserver",,"FWRC1#USDINR#Month Wise Rates#0#S#Desc.15")</f>
        <v>9M</v>
      </c>
      <c r="M1" s="73" t="str">
        <f t="array" ref="M1">RTD("tickerplantrtdserver",,"FWRC1#USDINR#Month Wise Rates#0#S#Desc.16")</f>
        <v>10M</v>
      </c>
      <c r="N1" s="73" t="str">
        <f t="array" ref="N1">RTD("tickerplantrtdserver",,"FWRC1#USDINR#Month Wise Rates#0#S#Desc.17")</f>
        <v>11M</v>
      </c>
      <c r="O1" s="74" t="str">
        <f t="array" ref="O1">RTD("tickerplantrtdserver",,"FWRC1#USDINR#Month Wise Rates#0#S#Desc.18")</f>
        <v>12M</v>
      </c>
    </row>
    <row r="2" spans="1:18" s="14" customFormat="1" ht="15.75" customHeight="1" x14ac:dyDescent="0.25">
      <c r="A2" s="158" t="s">
        <v>5</v>
      </c>
      <c r="B2" s="159"/>
      <c r="C2" s="72" t="str">
        <f t="array" ref="C2">RTD("tickerplantrtdserver",,"FWRC1#USDINR#Month Wise Rates#0#S#PillarDate2")</f>
        <v>20-Aug-2020</v>
      </c>
      <c r="D2" s="71" t="str">
        <f t="array" ref="D2">RTD("tickerplantrtdserver",,"FWRC1#USDINR#Month Wise Rates#0#S#PillarDate7")</f>
        <v>21-Sep-2020</v>
      </c>
      <c r="E2" s="71" t="str">
        <f t="array" ref="E2">RTD("tickerplantrtdserver",,"FWRC1#USDINR#Month Wise Rates#0#S#PillarDate8")</f>
        <v>20-Oct-2020</v>
      </c>
      <c r="F2" s="71" t="str">
        <f t="array" ref="F2">RTD("tickerplantrtdserver",,"FWRC1#USDINR#Month Wise Rates#0#S#PillarDate9")</f>
        <v>20-Nov-2020</v>
      </c>
      <c r="G2" s="71" t="str">
        <f t="array" ref="G2">RTD("tickerplantrtdserver",,"FWRC1#USDINR#Month Wise Rates#0#S#PillarDate10")</f>
        <v>21-Dec-2020</v>
      </c>
      <c r="H2" s="71" t="str">
        <f t="array" ref="H2">RTD("tickerplantrtdserver",,"FWRC1#USDINR#Month Wise Rates#0#S#PillarDate11")</f>
        <v>20-Jan-2021</v>
      </c>
      <c r="I2" s="71" t="str">
        <f t="array" ref="I2">RTD("tickerplantrtdserver",,"FWRC1#USDINR#Month Wise Rates#0#S#PillarDate12")</f>
        <v>22-Feb-2021</v>
      </c>
      <c r="J2" s="71" t="str">
        <f t="array" ref="J2">RTD("tickerplantrtdserver",,"FWRC1#USDINR#Month Wise Rates#0#S#PillarDate13")</f>
        <v>22-Mar-2021</v>
      </c>
      <c r="K2" s="71" t="str">
        <f t="array" ref="K2">RTD("tickerplantrtdserver",,"FWRC1#USDINR#Month Wise Rates#0#S#PillarDate14")</f>
        <v>20-Apr-2021</v>
      </c>
      <c r="L2" s="71" t="str">
        <f t="array" ref="L2">RTD("tickerplantrtdserver",,"FWRC1#USDINR#Month Wise Rates#0#S#PillarDate15")</f>
        <v>20-May-2021</v>
      </c>
      <c r="M2" s="71" t="str">
        <f t="array" ref="M2">RTD("tickerplantrtdserver",,"FWRC1#USDINR#Month Wise Rates#0#S#PillarDate16")</f>
        <v>21-Jun-2021</v>
      </c>
      <c r="N2" s="71" t="str">
        <f t="array" ref="N2">RTD("tickerplantrtdserver",,"FWRC1#USDINR#Month Wise Rates#0#S#PillarDate17")</f>
        <v>20-Jul-2021</v>
      </c>
      <c r="O2" s="75" t="str">
        <f t="array" ref="O2">RTD("tickerplantrtdserver",,"FWRC1#USDINR#Month Wise Rates#0#S#PillarDate18")</f>
        <v>20-Aug-2021</v>
      </c>
      <c r="P2" s="30"/>
    </row>
    <row r="3" spans="1:18" s="14" customFormat="1" x14ac:dyDescent="0.25">
      <c r="A3" s="162" t="s">
        <v>4</v>
      </c>
      <c r="B3" s="163"/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5"/>
      <c r="P3" s="15"/>
    </row>
    <row r="4" spans="1:18" s="14" customFormat="1" x14ac:dyDescent="0.25">
      <c r="A4" s="158" t="s">
        <v>47</v>
      </c>
      <c r="B4" s="159"/>
      <c r="C4" s="65" t="str">
        <f>RTD("tickerplantrtdserver",,"FWRC1#USDINR#Month Wise Rates#0#BidPrice2")</f>
        <v/>
      </c>
      <c r="D4" s="65">
        <f t="array" ref="D4">RTD("tickerplantrtdserver",,"FWRC1#USDINR#Month Wise Rates#0#BidPrice7")</f>
        <v>22.25</v>
      </c>
      <c r="E4" s="65">
        <f t="array" ref="E4">RTD("tickerplantrtdserver",,"FWRC1#USDINR#Month Wise Rates#0#BidPrice8")</f>
        <v>45.206899999999997</v>
      </c>
      <c r="F4" s="65">
        <f t="array" ref="F4">RTD("tickerplantrtdserver",,"FWRC1#USDINR#Month Wise Rates#0#BidPrice9")</f>
        <v>70.327600000000004</v>
      </c>
      <c r="G4" s="65">
        <f t="array" ref="G4">RTD("tickerplantrtdserver",,"FWRC1#USDINR#Month Wise Rates#0#BidPrice10")</f>
        <v>95.058800000000005</v>
      </c>
      <c r="H4" s="65">
        <f t="array" ref="H4">RTD("tickerplantrtdserver",,"FWRC1#USDINR#Month Wise Rates#0#BidPrice11")</f>
        <v>119.72410000000001</v>
      </c>
      <c r="I4" s="65">
        <f t="array" ref="I4">RTD("tickerplantrtdserver",,"FWRC1#USDINR#Month Wise Rates#0#BidPrice12")</f>
        <v>146.96430000000001</v>
      </c>
      <c r="J4" s="65">
        <f t="array" ref="J4">RTD("tickerplantrtdserver",,"FWRC1#USDINR#Month Wise Rates#0#BidPrice13")</f>
        <v>170.25</v>
      </c>
      <c r="K4" s="65">
        <f t="array" ref="K4">RTD("tickerplantrtdserver",,"FWRC1#USDINR#Month Wise Rates#0#BidPrice14")</f>
        <v>198.41669999999999</v>
      </c>
      <c r="L4" s="65">
        <f t="array" ref="L4">RTD("tickerplantrtdserver",,"FWRC1#USDINR#Month Wise Rates#0#BidPrice15")</f>
        <v>223.42740000000001</v>
      </c>
      <c r="M4" s="65">
        <f t="array" ref="M4">RTD("tickerplantrtdserver",,"FWRC1#USDINR#Month Wise Rates#0#BidPrice16")</f>
        <v>250.4</v>
      </c>
      <c r="N4" s="65">
        <f t="array" ref="N4">RTD("tickerplantrtdserver",,"FWRC1#USDINR#Month Wise Rates#0#BidPrice17")</f>
        <v>274.83330000000001</v>
      </c>
      <c r="O4" s="67">
        <f t="array" ref="O4">RTD("tickerplantrtdserver",,"FWRC1#USDINR#Month Wise Rates#0#BidPrice18")</f>
        <v>300.14999999999998</v>
      </c>
      <c r="P4" s="20"/>
    </row>
    <row r="5" spans="1:18" s="14" customFormat="1" x14ac:dyDescent="0.25">
      <c r="A5" s="158" t="s">
        <v>48</v>
      </c>
      <c r="B5" s="159"/>
      <c r="C5" s="65" t="str">
        <f t="array" ref="C5">RTD("tickerplantrtdserver",,"FWRC1#USDINR#Month Wise Rates#0#AskPrice2")</f>
        <v/>
      </c>
      <c r="D5" s="65">
        <f t="array" ref="D5">RTD("tickerplantrtdserver",,"FWRC1#USDINR#Month Wise Rates#0#AskPrice7")</f>
        <v>24.25</v>
      </c>
      <c r="E5" s="65">
        <f t="array" ref="E5">RTD("tickerplantrtdserver",,"FWRC1#USDINR#Month Wise Rates#0#AskPrice8")</f>
        <v>47.206899999999997</v>
      </c>
      <c r="F5" s="65">
        <f t="array" ref="F5">RTD("tickerplantrtdserver",,"FWRC1#USDINR#Month Wise Rates#0#AskPrice9")</f>
        <v>72.327600000000004</v>
      </c>
      <c r="G5" s="65">
        <f t="array" ref="G5">RTD("tickerplantrtdserver",,"FWRC1#USDINR#Month Wise Rates#0#AskPrice10")</f>
        <v>97.058800000000005</v>
      </c>
      <c r="H5" s="65">
        <f t="array" ref="H5">RTD("tickerplantrtdserver",,"FWRC1#USDINR#Month Wise Rates#0#AskPrice11")</f>
        <v>121.72410000000001</v>
      </c>
      <c r="I5" s="65">
        <f t="array" ref="I5">RTD("tickerplantrtdserver",,"FWRC1#USDINR#Month Wise Rates#0#AskPrice12")</f>
        <v>148.96430000000001</v>
      </c>
      <c r="J5" s="65">
        <f t="array" ref="J5">RTD("tickerplantrtdserver",,"FWRC1#USDINR#Month Wise Rates#0#AskPrice13")</f>
        <v>172.25</v>
      </c>
      <c r="K5" s="65">
        <f t="array" ref="K5">RTD("tickerplantrtdserver",,"FWRC1#USDINR#Month Wise Rates#0#AskPrice14")</f>
        <v>200.41669999999999</v>
      </c>
      <c r="L5" s="65">
        <f t="array" ref="L5">RTD("tickerplantrtdserver",,"FWRC1#USDINR#Month Wise Rates#0#AskPrice15")</f>
        <v>225.42740000000001</v>
      </c>
      <c r="M5" s="65">
        <f t="array" ref="M5">RTD("tickerplantrtdserver",,"FWRC1#USDINR#Month Wise Rates#0#AskPrice16")</f>
        <v>252.4</v>
      </c>
      <c r="N5" s="65">
        <f t="array" ref="N5">RTD("tickerplantrtdserver",,"FWRC1#USDINR#Month Wise Rates#0#AskPrice17")</f>
        <v>276.83330000000001</v>
      </c>
      <c r="O5" s="67">
        <f t="array" ref="O5">RTD("tickerplantrtdserver",,"FWRC1#USDINR#Month Wise Rates#0#AskPrice18")</f>
        <v>302.14999999999998</v>
      </c>
      <c r="P5" s="20"/>
    </row>
    <row r="6" spans="1:18" s="14" customFormat="1" x14ac:dyDescent="0.25">
      <c r="A6" s="162" t="s">
        <v>3</v>
      </c>
      <c r="B6" s="163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5"/>
      <c r="P6" s="20"/>
    </row>
    <row r="7" spans="1:18" s="14" customFormat="1" x14ac:dyDescent="0.25">
      <c r="A7" s="158" t="s">
        <v>47</v>
      </c>
      <c r="B7" s="159"/>
      <c r="C7" s="64" t="str">
        <f t="array" ref="C7">RTD("tickerplantrtdserver",,"FWRC1#USDINR#Month Wise Rates#0#FwdOutrightBid2")</f>
        <v/>
      </c>
      <c r="D7" s="64">
        <f t="array" ref="D7">RTD("tickerplantrtdserver",,"FWRC1#USDINR#Month Wise Rates#0#FwdOutrightBid7")</f>
        <v>74.977500000000006</v>
      </c>
      <c r="E7" s="64">
        <f t="array" ref="E7">RTD("tickerplantrtdserver",,"FWRC1#USDINR#Month Wise Rates#0#FwdOutrightBid8")</f>
        <v>75.207099999999997</v>
      </c>
      <c r="F7" s="64">
        <f t="array" ref="F7">RTD("tickerplantrtdserver",,"FWRC1#USDINR#Month Wise Rates#0#FwdOutrightBid9")</f>
        <v>75.458299999999994</v>
      </c>
      <c r="G7" s="64">
        <f t="array" ref="G7">RTD("tickerplantrtdserver",,"FWRC1#USDINR#Month Wise Rates#0#FwdOutrightBid10")</f>
        <v>75.705600000000004</v>
      </c>
      <c r="H7" s="64">
        <f t="array" ref="H7">RTD("tickerplantrtdserver",,"FWRC1#USDINR#Month Wise Rates#0#FwdOutrightBid11")</f>
        <v>75.952200000000005</v>
      </c>
      <c r="I7" s="64">
        <f t="array" ref="I7">RTD("tickerplantrtdserver",,"FWRC1#USDINR#Month Wise Rates#0#FwdOutrightBid12")</f>
        <v>76.224599999999995</v>
      </c>
      <c r="J7" s="64">
        <f t="array" ref="J7">RTD("tickerplantrtdserver",,"FWRC1#USDINR#Month Wise Rates#0#FwdOutrightBid13")</f>
        <v>76.457499999999996</v>
      </c>
      <c r="K7" s="64">
        <f t="array" ref="K7">RTD("tickerplantrtdserver",,"FWRC1#USDINR#Month Wise Rates#0#FwdOutrightBid14")</f>
        <v>76.739199999999997</v>
      </c>
      <c r="L7" s="64">
        <f t="array" ref="L7">RTD("tickerplantrtdserver",,"FWRC1#USDINR#Month Wise Rates#0#FwdOutrightBid15")</f>
        <v>76.9893</v>
      </c>
      <c r="M7" s="64">
        <f t="array" ref="M7">RTD("tickerplantrtdserver",,"FWRC1#USDINR#Month Wise Rates#0#FwdOutrightBid16")</f>
        <v>77.259</v>
      </c>
      <c r="N7" s="64">
        <f t="array" ref="N7">RTD("tickerplantrtdserver",,"FWRC1#USDINR#Month Wise Rates#0#FwdOutrightBid17")</f>
        <v>77.503299999999996</v>
      </c>
      <c r="O7" s="68">
        <f t="array" ref="O7">RTD("tickerplantrtdserver",,"FWRC1#USDINR#Month Wise Rates#0#FwdOutrightBid18")</f>
        <v>77.756500000000003</v>
      </c>
      <c r="P7" s="20"/>
    </row>
    <row r="8" spans="1:18" s="14" customFormat="1" x14ac:dyDescent="0.25">
      <c r="A8" s="158" t="s">
        <v>48</v>
      </c>
      <c r="B8" s="159"/>
      <c r="C8" s="64" t="str">
        <f t="array" ref="C8">RTD("tickerplantrtdserver",,"FWRC1#USDINR#Month Wise Rates#0#FwdOutrightAsk2")</f>
        <v/>
      </c>
      <c r="D8" s="64">
        <f t="array" ref="D8">RTD("tickerplantrtdserver",,"FWRC1#USDINR#Month Wise Rates#0#FwdOutrightAsk7")</f>
        <v>75.007499999999993</v>
      </c>
      <c r="E8" s="64">
        <f t="array" ref="E8">RTD("tickerplantrtdserver",,"FWRC1#USDINR#Month Wise Rates#0#FwdOutrightAsk8")</f>
        <v>75.237099999999998</v>
      </c>
      <c r="F8" s="64">
        <f t="array" ref="F8">RTD("tickerplantrtdserver",,"FWRC1#USDINR#Month Wise Rates#0#FwdOutrightAsk9")</f>
        <v>75.488299999999995</v>
      </c>
      <c r="G8" s="64">
        <f t="array" ref="G8">RTD("tickerplantrtdserver",,"FWRC1#USDINR#Month Wise Rates#0#FwdOutrightAsk10")</f>
        <v>75.735600000000005</v>
      </c>
      <c r="H8" s="64">
        <f t="array" ref="H8">RTD("tickerplantrtdserver",,"FWRC1#USDINR#Month Wise Rates#0#FwdOutrightAsk11")</f>
        <v>75.982200000000006</v>
      </c>
      <c r="I8" s="64">
        <f t="array" ref="I8">RTD("tickerplantrtdserver",,"FWRC1#USDINR#Month Wise Rates#0#FwdOutrightAsk12")</f>
        <v>76.254599999999996</v>
      </c>
      <c r="J8" s="64">
        <f t="array" ref="J8">RTD("tickerplantrtdserver",,"FWRC1#USDINR#Month Wise Rates#0#FwdOutrightAsk13")</f>
        <v>76.487499999999997</v>
      </c>
      <c r="K8" s="64">
        <f t="array" ref="K8">RTD("tickerplantrtdserver",,"FWRC1#USDINR#Month Wise Rates#0#FwdOutrightAsk14")</f>
        <v>76.769199999999998</v>
      </c>
      <c r="L8" s="64">
        <f t="array" ref="L8">RTD("tickerplantrtdserver",,"FWRC1#USDINR#Month Wise Rates#0#FwdOutrightAsk15")</f>
        <v>77.019300000000001</v>
      </c>
      <c r="M8" s="64">
        <f t="array" ref="M8">RTD("tickerplantrtdserver",,"FWRC1#USDINR#Month Wise Rates#0#FwdOutrightAsk16")</f>
        <v>77.289000000000001</v>
      </c>
      <c r="N8" s="64">
        <f t="array" ref="N8">RTD("tickerplantrtdserver",,"FWRC1#USDINR#Month Wise Rates#0#FwdOutrightAsk17")</f>
        <v>77.533299999999997</v>
      </c>
      <c r="O8" s="68">
        <f t="array" ref="O8">RTD("tickerplantrtdserver",,"FWRC1#USDINR#Month Wise Rates#0#FwdOutrightAsk18")</f>
        <v>77.786500000000004</v>
      </c>
    </row>
    <row r="9" spans="1:18" s="14" customFormat="1" x14ac:dyDescent="0.25">
      <c r="A9" s="162" t="s">
        <v>2</v>
      </c>
      <c r="B9" s="163"/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5"/>
    </row>
    <row r="10" spans="1:18" s="14" customFormat="1" x14ac:dyDescent="0.25">
      <c r="A10" s="158" t="s">
        <v>47</v>
      </c>
      <c r="B10" s="159"/>
      <c r="C10" s="65" t="str">
        <f t="array" ref="C10">RTD("tickerplantrtdserver",,"FWRC1#USDINR#Month Wise Rates#0#Bid%2")</f>
        <v/>
      </c>
      <c r="D10" s="65">
        <f t="array" ref="D10">RTD("tickerplantrtdserver",,"FWRC1#USDINR#Month Wise Rates#0#Bid%7")</f>
        <v>3.3944999999999999</v>
      </c>
      <c r="E10" s="65">
        <f t="array" ref="E10">RTD("tickerplantrtdserver",,"FWRC1#USDINR#Month Wise Rates#0#Bid%8")</f>
        <v>3.6179999999999999</v>
      </c>
      <c r="F10" s="65">
        <f t="array" ref="F10">RTD("tickerplantrtdserver",,"FWRC1#USDINR#Month Wise Rates#0#Bid%9")</f>
        <v>3.7319</v>
      </c>
      <c r="G10" s="65">
        <f t="array" ref="G10">RTD("tickerplantrtdserver",,"FWRC1#USDINR#Month Wise Rates#0#Bid%10")</f>
        <v>3.7730000000000001</v>
      </c>
      <c r="H10" s="65">
        <f t="array" ref="H10">RTD("tickerplantrtdserver",,"FWRC1#USDINR#Month Wise Rates#0#Bid%11")</f>
        <v>3.8201999999999998</v>
      </c>
      <c r="I10" s="65">
        <f t="array" ref="I10">RTD("tickerplantrtdserver",,"FWRC1#USDINR#Month Wise Rates#0#Bid%12")</f>
        <v>3.8574000000000002</v>
      </c>
      <c r="J10" s="65">
        <f t="array" ref="J10">RTD("tickerplantrtdserver",,"FWRC1#USDINR#Month Wise Rates#0#Bid%13")</f>
        <v>3.8839000000000001</v>
      </c>
      <c r="K10" s="65">
        <f t="array" ref="K10">RTD("tickerplantrtdserver",,"FWRC1#USDINR#Month Wise Rates#0#Bid%14")</f>
        <v>3.9863</v>
      </c>
      <c r="L10" s="65">
        <f t="array" ref="L10">RTD("tickerplantrtdserver",,"FWRC1#USDINR#Month Wise Rates#0#Bid%15")</f>
        <v>3.9954999999999998</v>
      </c>
      <c r="M10" s="65">
        <f t="array" ref="M10">RTD("tickerplantrtdserver",,"FWRC1#USDINR#Month Wise Rates#0#Bid%16")</f>
        <v>4.008</v>
      </c>
      <c r="N10" s="65">
        <f t="array" ref="N10">RTD("tickerplantrtdserver",,"FWRC1#USDINR#Month Wise Rates#0#Bid%17")</f>
        <v>4.0171000000000001</v>
      </c>
      <c r="O10" s="67">
        <f t="array" ref="O10">RTD("tickerplantrtdserver",,"FWRC1#USDINR#Month Wise Rates#0#Bid%18")</f>
        <v>4.0145999999999997</v>
      </c>
    </row>
    <row r="11" spans="1:18" s="14" customFormat="1" ht="15.75" thickBot="1" x14ac:dyDescent="0.3">
      <c r="A11" s="160" t="s">
        <v>48</v>
      </c>
      <c r="B11" s="161"/>
      <c r="C11" s="69" t="str">
        <f t="array" ref="C11">RTD("tickerplantrtdserver",,"FWRC1#USDINR#Month Wise Rates#0#Ask%2")</f>
        <v/>
      </c>
      <c r="D11" s="69">
        <f t="array" ref="D11">RTD("tickerplantrtdserver",,"FWRC1#USDINR#Month Wise Rates#0#Ask%7")</f>
        <v>3.7000999999999999</v>
      </c>
      <c r="E11" s="69">
        <f t="array" ref="E11">RTD("tickerplantrtdserver",,"FWRC1#USDINR#Month Wise Rates#0#Ask%8")</f>
        <v>3.7786</v>
      </c>
      <c r="F11" s="69">
        <f t="array" ref="F11">RTD("tickerplantrtdserver",,"FWRC1#USDINR#Month Wise Rates#0#Ask%9")</f>
        <v>3.8386</v>
      </c>
      <c r="G11" s="69">
        <f t="array" ref="G11">RTD("tickerplantrtdserver",,"FWRC1#USDINR#Month Wise Rates#0#Ask%10")</f>
        <v>3.8529</v>
      </c>
      <c r="H11" s="69">
        <f t="array" ref="H11">RTD("tickerplantrtdserver",,"FWRC1#USDINR#Month Wise Rates#0#Ask%11")</f>
        <v>3.8845000000000001</v>
      </c>
      <c r="I11" s="69">
        <f t="array" ref="I11">RTD("tickerplantrtdserver",,"FWRC1#USDINR#Month Wise Rates#0#Ask%12")</f>
        <v>3.9104000000000001</v>
      </c>
      <c r="J11" s="69">
        <f t="array" ref="J11">RTD("tickerplantrtdserver",,"FWRC1#USDINR#Month Wise Rates#0#Ask%13")</f>
        <v>3.9300999999999999</v>
      </c>
      <c r="K11" s="69">
        <f t="array" ref="K11">RTD("tickerplantrtdserver",,"FWRC1#USDINR#Month Wise Rates#0#Ask%14")</f>
        <v>4.0270000000000001</v>
      </c>
      <c r="L11" s="69">
        <f t="array" ref="L11">RTD("tickerplantrtdserver",,"FWRC1#USDINR#Month Wise Rates#0#Ask%15")</f>
        <v>4.0317999999999996</v>
      </c>
      <c r="M11" s="69">
        <f t="array" ref="M11">RTD("tickerplantrtdserver",,"FWRC1#USDINR#Month Wise Rates#0#Ask%16")</f>
        <v>4.0406000000000004</v>
      </c>
      <c r="N11" s="69">
        <f t="array" ref="N11">RTD("tickerplantrtdserver",,"FWRC1#USDINR#Month Wise Rates#0#Ask%17")</f>
        <v>4.0468999999999999</v>
      </c>
      <c r="O11" s="70">
        <f t="array" ref="O11">RTD("tickerplantrtdserver",,"FWRC1#USDINR#Month Wise Rates#0#Ask%18")</f>
        <v>4.0419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21"/>
      <c r="C13" s="21"/>
      <c r="D13" s="58"/>
      <c r="E13" s="21"/>
      <c r="F13" s="21"/>
      <c r="G13" s="21"/>
      <c r="H13" s="32"/>
      <c r="I13" s="32"/>
      <c r="J13" s="32"/>
      <c r="L13" s="31"/>
      <c r="M13" s="31"/>
      <c r="N13" s="31"/>
      <c r="Q13" s="23"/>
      <c r="R13" s="23"/>
    </row>
    <row r="14" spans="1:18" s="14" customFormat="1" x14ac:dyDescent="0.25">
      <c r="A14" s="13"/>
      <c r="B14" s="21"/>
      <c r="C14" s="21"/>
      <c r="D14" s="58"/>
      <c r="E14" s="21"/>
      <c r="F14" s="33"/>
      <c r="G14" s="34"/>
      <c r="H14" s="34"/>
      <c r="I14" s="34"/>
      <c r="J14" s="21"/>
      <c r="L14" s="58"/>
      <c r="M14" s="58"/>
      <c r="N14" s="58"/>
      <c r="P14" s="31"/>
      <c r="Q14" s="31"/>
      <c r="R14" s="31"/>
    </row>
    <row r="15" spans="1:18" s="14" customFormat="1" x14ac:dyDescent="0.25">
      <c r="A15" s="13"/>
      <c r="B15" s="21"/>
      <c r="C15" s="21"/>
      <c r="D15" s="58"/>
      <c r="E15" s="21"/>
      <c r="F15" s="33"/>
      <c r="G15" s="34"/>
      <c r="H15" s="34"/>
      <c r="I15" s="34"/>
      <c r="J15" s="21"/>
      <c r="L15" s="58"/>
      <c r="M15" s="58"/>
      <c r="N15" s="58"/>
      <c r="P15" s="31"/>
      <c r="Q15" s="31"/>
      <c r="R15" s="31"/>
    </row>
    <row r="16" spans="1:18" s="14" customFormat="1" x14ac:dyDescent="0.25">
      <c r="A16" s="13"/>
      <c r="B16" s="21"/>
      <c r="C16" s="21"/>
      <c r="D16" s="58"/>
      <c r="E16" s="21"/>
      <c r="F16" s="33"/>
      <c r="G16" s="34"/>
      <c r="H16" s="34"/>
      <c r="I16" s="34"/>
      <c r="J16" s="21"/>
      <c r="L16" s="58"/>
      <c r="M16" s="58"/>
      <c r="N16" s="58"/>
      <c r="P16" s="31"/>
      <c r="Q16" s="31"/>
      <c r="R16" s="31"/>
    </row>
    <row r="17" spans="1:18" s="14" customFormat="1" x14ac:dyDescent="0.25">
      <c r="A17" s="13"/>
      <c r="B17" s="21"/>
      <c r="C17" s="21"/>
      <c r="D17" s="58"/>
      <c r="E17" s="21"/>
      <c r="F17" s="33"/>
      <c r="G17" s="34"/>
      <c r="H17" s="34"/>
      <c r="I17" s="34"/>
      <c r="J17" s="21"/>
      <c r="L17" s="58"/>
      <c r="M17" s="58"/>
      <c r="N17" s="58"/>
      <c r="P17" s="31"/>
      <c r="Q17" s="31"/>
      <c r="R17" s="31"/>
    </row>
    <row r="18" spans="1:18" s="14" customFormat="1" x14ac:dyDescent="0.25">
      <c r="A18" s="13"/>
      <c r="B18" s="21"/>
      <c r="C18" s="21"/>
      <c r="D18" s="58"/>
      <c r="E18" s="21"/>
      <c r="F18" s="33"/>
      <c r="G18" s="34"/>
      <c r="H18" s="34"/>
      <c r="I18" s="34"/>
      <c r="J18" s="21"/>
      <c r="L18" s="58"/>
      <c r="M18" s="58"/>
      <c r="N18" s="58"/>
      <c r="P18" s="31"/>
      <c r="Q18" s="31"/>
      <c r="R18" s="31"/>
    </row>
    <row r="19" spans="1:18" s="14" customFormat="1" x14ac:dyDescent="0.25">
      <c r="A19" s="13"/>
      <c r="B19" s="21"/>
      <c r="C19" s="21"/>
      <c r="D19" s="58"/>
      <c r="E19" s="21"/>
      <c r="F19" s="33"/>
      <c r="G19" s="34"/>
      <c r="H19" s="34"/>
      <c r="I19" s="34"/>
      <c r="J19" s="21"/>
      <c r="L19" s="58"/>
      <c r="M19" s="58"/>
      <c r="N19" s="58"/>
      <c r="P19" s="31"/>
      <c r="Q19" s="31"/>
      <c r="R19" s="31"/>
    </row>
    <row r="20" spans="1:18" s="14" customFormat="1" x14ac:dyDescent="0.25">
      <c r="A20" s="13"/>
      <c r="B20" s="21"/>
      <c r="C20" s="21"/>
      <c r="D20" s="58"/>
      <c r="E20" s="21"/>
      <c r="F20" s="33"/>
      <c r="G20" s="34"/>
      <c r="H20" s="34"/>
      <c r="I20" s="34"/>
      <c r="J20" s="21"/>
      <c r="L20" s="58"/>
      <c r="M20" s="58"/>
      <c r="N20" s="58"/>
      <c r="P20" s="31"/>
      <c r="Q20" s="31"/>
      <c r="R20" s="31"/>
    </row>
    <row r="21" spans="1:18" x14ac:dyDescent="0.25">
      <c r="A21" s="13"/>
      <c r="B21" s="21"/>
      <c r="C21" s="21"/>
      <c r="D21" s="58"/>
      <c r="E21" s="21"/>
      <c r="F21" s="33"/>
      <c r="G21" s="34"/>
      <c r="H21" s="34"/>
      <c r="I21" s="34"/>
      <c r="J21" s="21"/>
      <c r="K21" s="14"/>
      <c r="L21" s="58"/>
      <c r="M21" s="58"/>
      <c r="N21" s="58"/>
      <c r="O21" s="14"/>
      <c r="P21" s="31"/>
      <c r="Q21" s="31"/>
      <c r="R21" s="31"/>
    </row>
    <row r="22" spans="1:18" x14ac:dyDescent="0.25">
      <c r="A22" s="13"/>
      <c r="B22" s="21"/>
      <c r="C22" s="21"/>
      <c r="D22" s="58"/>
      <c r="E22" s="21"/>
      <c r="F22" s="33"/>
      <c r="G22" s="34"/>
      <c r="H22" s="34"/>
      <c r="I22" s="34"/>
      <c r="J22" s="21"/>
      <c r="K22" s="14"/>
      <c r="L22" s="58"/>
      <c r="M22" s="58"/>
      <c r="N22" s="58"/>
      <c r="O22" s="14"/>
      <c r="P22" s="31"/>
      <c r="Q22" s="31"/>
      <c r="R22" s="31"/>
    </row>
    <row r="23" spans="1:18" x14ac:dyDescent="0.25">
      <c r="A23" s="13"/>
      <c r="B23" s="21"/>
      <c r="C23" s="21"/>
      <c r="D23" s="58"/>
      <c r="E23" s="21"/>
      <c r="F23" s="33"/>
      <c r="G23" s="34"/>
      <c r="H23" s="34"/>
      <c r="I23" s="34"/>
      <c r="J23" s="21"/>
      <c r="K23" s="14"/>
      <c r="L23" s="58"/>
      <c r="M23" s="58"/>
      <c r="N23" s="58"/>
      <c r="O23" s="14"/>
      <c r="P23" s="31"/>
      <c r="Q23" s="31"/>
      <c r="R23" s="31"/>
    </row>
    <row r="24" spans="1:18" s="2" customFormat="1" x14ac:dyDescent="0.25">
      <c r="A24" s="13"/>
      <c r="B24" s="21"/>
      <c r="C24" s="21"/>
      <c r="D24" s="58"/>
      <c r="E24" s="21"/>
      <c r="F24" s="33"/>
      <c r="G24" s="34"/>
      <c r="H24" s="34"/>
      <c r="I24" s="34"/>
      <c r="J24" s="21"/>
      <c r="K24" s="14"/>
      <c r="L24" s="58"/>
      <c r="M24" s="58"/>
      <c r="N24" s="58"/>
      <c r="O24" s="14"/>
      <c r="P24" s="31"/>
      <c r="Q24" s="31"/>
      <c r="R24" s="31"/>
    </row>
    <row r="25" spans="1:18" x14ac:dyDescent="0.25">
      <c r="A25" s="13"/>
      <c r="B25" s="21"/>
      <c r="C25" s="21"/>
      <c r="D25" s="58"/>
      <c r="E25" s="21"/>
      <c r="F25" s="33"/>
      <c r="G25" s="34"/>
      <c r="H25" s="34"/>
      <c r="I25" s="34"/>
      <c r="J25" s="21"/>
      <c r="K25" s="14"/>
      <c r="L25" s="58"/>
      <c r="M25" s="58"/>
      <c r="N25" s="58"/>
      <c r="O25" s="14"/>
      <c r="P25" s="31"/>
      <c r="Q25" s="31"/>
      <c r="R25" s="31"/>
    </row>
    <row r="26" spans="1:18" x14ac:dyDescent="0.25">
      <c r="A26" s="13"/>
      <c r="B26" s="21"/>
      <c r="C26" s="21"/>
      <c r="D26" s="58"/>
      <c r="E26" s="21"/>
      <c r="F26" s="33"/>
      <c r="G26" s="34"/>
      <c r="H26" s="34"/>
      <c r="I26" s="34"/>
      <c r="J26" s="21"/>
      <c r="K26" s="14"/>
      <c r="L26" s="58"/>
      <c r="M26" s="58"/>
      <c r="N26" s="58"/>
      <c r="O26" s="14"/>
      <c r="P26" s="31"/>
      <c r="Q26" s="31"/>
      <c r="R26" s="31"/>
    </row>
    <row r="27" spans="1:18" x14ac:dyDescent="0.25">
      <c r="A27" s="13"/>
      <c r="B27" s="21"/>
      <c r="C27" s="21"/>
      <c r="D27" s="58"/>
      <c r="E27" s="21"/>
      <c r="F27" s="33"/>
      <c r="G27" s="34"/>
      <c r="H27" s="34"/>
      <c r="I27" s="34"/>
      <c r="J27" s="21"/>
      <c r="K27" s="14"/>
      <c r="L27" s="58"/>
      <c r="M27" s="58"/>
      <c r="N27" s="58"/>
      <c r="O27" s="14"/>
      <c r="P27" s="31"/>
      <c r="Q27" s="31"/>
      <c r="R27" s="31"/>
    </row>
    <row r="28" spans="1:18" x14ac:dyDescent="0.25">
      <c r="A28" s="13"/>
      <c r="B28" s="21"/>
      <c r="C28" s="21"/>
      <c r="D28" s="58"/>
      <c r="E28" s="21"/>
      <c r="F28" s="33"/>
      <c r="G28" s="34"/>
      <c r="H28" s="34"/>
      <c r="I28" s="34"/>
      <c r="J28" s="21"/>
      <c r="K28" s="14"/>
      <c r="L28" s="58"/>
      <c r="M28" s="58"/>
      <c r="N28" s="58"/>
      <c r="O28" s="14"/>
      <c r="P28" s="31"/>
      <c r="Q28" s="31"/>
      <c r="R28" s="31"/>
    </row>
    <row r="29" spans="1:18" x14ac:dyDescent="0.25">
      <c r="A29" s="13"/>
      <c r="B29" s="21"/>
      <c r="C29" s="21"/>
      <c r="D29" s="58"/>
      <c r="E29" s="21"/>
      <c r="F29" s="33"/>
      <c r="G29" s="34"/>
      <c r="H29" s="34"/>
      <c r="I29" s="34"/>
      <c r="J29" s="21"/>
      <c r="K29" s="14"/>
      <c r="L29" s="58"/>
      <c r="M29" s="58"/>
      <c r="N29" s="58"/>
      <c r="O29" s="14"/>
      <c r="P29" s="31"/>
      <c r="Q29" s="31"/>
      <c r="R29" s="31"/>
    </row>
    <row r="30" spans="1:18" x14ac:dyDescent="0.25">
      <c r="A30" s="13"/>
      <c r="B30" s="21"/>
      <c r="C30" s="21"/>
      <c r="D30" s="58"/>
      <c r="E30" s="21"/>
      <c r="F30" s="33"/>
      <c r="G30" s="34"/>
      <c r="H30" s="34"/>
      <c r="I30" s="34"/>
      <c r="J30" s="21"/>
      <c r="K30" s="14"/>
      <c r="L30" s="58"/>
      <c r="M30" s="58"/>
      <c r="N30" s="58"/>
      <c r="O30" s="14"/>
      <c r="P30" s="31"/>
      <c r="Q30" s="31"/>
      <c r="R30" s="31"/>
    </row>
    <row r="31" spans="1:18" x14ac:dyDescent="0.25">
      <c r="A31" s="13"/>
      <c r="B31" s="21"/>
      <c r="C31" s="21"/>
      <c r="D31" s="58"/>
      <c r="E31" s="21"/>
      <c r="F31" s="33"/>
      <c r="G31" s="34"/>
      <c r="H31" s="34"/>
      <c r="I31" s="34"/>
      <c r="J31" s="21"/>
      <c r="K31" s="14"/>
      <c r="L31" s="58"/>
      <c r="M31" s="58"/>
      <c r="N31" s="58"/>
      <c r="O31" s="14"/>
      <c r="P31" s="31"/>
      <c r="Q31" s="31"/>
      <c r="R31" s="31"/>
    </row>
    <row r="32" spans="1:18" x14ac:dyDescent="0.25">
      <c r="A32" s="13"/>
      <c r="B32" s="21"/>
      <c r="C32" s="21"/>
      <c r="D32" s="58"/>
      <c r="E32" s="21"/>
      <c r="F32" s="33"/>
      <c r="G32" s="34"/>
      <c r="H32" s="34"/>
      <c r="I32" s="34"/>
      <c r="J32" s="21"/>
      <c r="K32" s="14"/>
      <c r="L32" s="58"/>
      <c r="M32" s="58"/>
      <c r="N32" s="58"/>
      <c r="O32" s="14"/>
      <c r="P32" s="31"/>
      <c r="Q32" s="31"/>
      <c r="R32" s="31"/>
    </row>
    <row r="33" spans="1:18" x14ac:dyDescent="0.25">
      <c r="A33" s="13"/>
      <c r="B33" s="21"/>
      <c r="C33" s="21"/>
      <c r="D33" s="58"/>
      <c r="E33" s="21"/>
      <c r="F33" s="33"/>
      <c r="G33" s="34"/>
      <c r="H33" s="34"/>
      <c r="I33" s="34"/>
      <c r="J33" s="21"/>
      <c r="K33" s="14"/>
      <c r="L33" s="58"/>
      <c r="M33" s="58"/>
      <c r="N33" s="58"/>
      <c r="O33" s="14"/>
      <c r="P33" s="31"/>
      <c r="Q33" s="31"/>
      <c r="R33" s="31"/>
    </row>
    <row r="36" spans="1:18" x14ac:dyDescent="0.25">
      <c r="A36" s="1"/>
      <c r="B36" s="1"/>
    </row>
    <row r="42" spans="1:18" x14ac:dyDescent="0.25">
      <c r="F42" s="56"/>
      <c r="G42" s="56"/>
    </row>
    <row r="43" spans="1:18" x14ac:dyDescent="0.25">
      <c r="F43" s="56"/>
      <c r="G43" s="56"/>
    </row>
  </sheetData>
  <mergeCells count="14">
    <mergeCell ref="A1:B1"/>
    <mergeCell ref="A10:B10"/>
    <mergeCell ref="A11:B11"/>
    <mergeCell ref="A6:B6"/>
    <mergeCell ref="C6:O6"/>
    <mergeCell ref="A7:B7"/>
    <mergeCell ref="A8:B8"/>
    <mergeCell ref="A9:B9"/>
    <mergeCell ref="C9:O9"/>
    <mergeCell ref="A5:B5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40"/>
  <sheetViews>
    <sheetView workbookViewId="0">
      <selection sqref="A1:B1"/>
    </sheetView>
  </sheetViews>
  <sheetFormatPr defaultRowHeight="15" x14ac:dyDescent="0.25"/>
  <cols>
    <col min="3" max="4" width="9.85546875" bestFit="1" customWidth="1"/>
    <col min="5" max="5" width="9.28515625" bestFit="1" customWidth="1"/>
    <col min="6" max="6" width="8.85546875" bestFit="1" customWidth="1"/>
    <col min="7" max="8" width="9.42578125" bestFit="1" customWidth="1"/>
    <col min="9" max="9" width="9.28515625" bestFit="1" customWidth="1"/>
    <col min="10" max="11" width="9.5703125" bestFit="1" customWidth="1"/>
    <col min="12" max="12" width="9.28515625" bestFit="1" customWidth="1"/>
    <col min="13" max="13" width="9.42578125" bestFit="1" customWidth="1"/>
    <col min="14" max="14" width="9.7109375" bestFit="1" customWidth="1"/>
    <col min="15" max="15" width="9.2851562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66" t="s">
        <v>6</v>
      </c>
      <c r="B1" s="167"/>
      <c r="C1" s="76" t="str">
        <f t="array" ref="C1">RTD("tickerplantrtdserver",,"FWRC1#EURINR#Month End Rates#0#S#Desc.2")</f>
        <v>CASH/SPOT</v>
      </c>
      <c r="D1" s="76" t="str">
        <f t="array" ref="D1">RTD("tickerplantrtdserver",,"FWRC1#EURINR#Month End Rates#0#S#Desc.4")</f>
        <v>AUG-2020</v>
      </c>
      <c r="E1" s="76" t="str">
        <f t="array" ref="E1">RTD("tickerplantrtdserver",,"FWRC1#EURINR#Month End Rates#0#S#Desc.5")</f>
        <v>SEP-2020</v>
      </c>
      <c r="F1" s="76" t="str">
        <f t="array" ref="F1">RTD("tickerplantrtdserver",,"FWRC1#EURINR#Month End Rates#0#S#Desc.6")</f>
        <v>OCT-2020</v>
      </c>
      <c r="G1" s="76" t="str">
        <f t="array" ref="G1">RTD("tickerplantrtdserver",,"FWRC1#EURINR#Month End Rates#0#S#Desc.7")</f>
        <v>NOV-2020</v>
      </c>
      <c r="H1" s="76" t="str">
        <f t="array" ref="H1">RTD("tickerplantrtdserver",,"FWRC1#EURINR#Month End Rates#0#S#Desc.8")</f>
        <v>DEC-2020</v>
      </c>
      <c r="I1" s="76" t="str">
        <f t="array" ref="I1">RTD("tickerplantrtdserver",,"FWRC1#EURINR#Month End Rates#0#S#Desc.9")</f>
        <v>JAN-2021</v>
      </c>
      <c r="J1" s="76" t="str">
        <f t="array" ref="J1">RTD("tickerplantrtdserver",,"FWRC1#EURINR#Month End Rates#0#S#Desc.10")</f>
        <v>FEB-2021</v>
      </c>
      <c r="K1" s="76" t="str">
        <f t="array" ref="K1">RTD("tickerplantrtdserver",,"FWRC1#EURINR#Month End Rates#0#S#Desc.11")</f>
        <v>MAR-2021</v>
      </c>
      <c r="L1" s="76" t="str">
        <f t="array" ref="L1">RTD("tickerplantrtdserver",,"FWRC1#EURINR#Month End Rates#0#S#Desc.12")</f>
        <v>APR-2021</v>
      </c>
      <c r="M1" s="76" t="str">
        <f t="array" ref="M1">RTD("tickerplantrtdserver",,"FWRC1#EURINR#Month End Rates#0#S#Desc.13")</f>
        <v>MAY-2021</v>
      </c>
      <c r="N1" s="76" t="str">
        <f t="array" ref="N1">RTD("tickerplantrtdserver",,"FWRC1#EURINR#Month End Rates#0#S#Desc.14")</f>
        <v>JUN-2021</v>
      </c>
      <c r="O1" s="77" t="str">
        <f t="array" ref="O1">RTD("tickerplantrtdserver",,"FWRC1#EURINR#Month End Rates#0#S#Desc.15")</f>
        <v>JUL-2021</v>
      </c>
    </row>
    <row r="2" spans="1:18" s="14" customFormat="1" ht="15.75" customHeight="1" x14ac:dyDescent="0.25">
      <c r="A2" s="158" t="s">
        <v>5</v>
      </c>
      <c r="B2" s="159"/>
      <c r="C2" s="71" t="str">
        <f t="array" ref="C2">RTD("tickerplantrtdserver",,"FWRC1#EURINR#Month End Rates#0#S#MonthEndDate2")</f>
        <v>20-Aug-2020</v>
      </c>
      <c r="D2" s="71" t="str">
        <f t="array" ref="D2">RTD("tickerplantrtdserver",,"FWRC1#EURINR#Month End Rates#0#S#MonthEndDate4")</f>
        <v>31-Aug-2020</v>
      </c>
      <c r="E2" s="71" t="str">
        <f t="array" ref="E2">RTD("tickerplantrtdserver",,"FWRC1#EURINR#Month End Rates#0#S#MonthEndDate5")</f>
        <v>30-Sep-2020</v>
      </c>
      <c r="F2" s="71" t="str">
        <f t="array" ref="F2">RTD("tickerplantrtdserver",,"FWRC1#EURINR#Month End Rates#0#S#MonthEndDate6")</f>
        <v>29-Oct-2020</v>
      </c>
      <c r="G2" s="71" t="str">
        <f t="array" ref="G2">RTD("tickerplantrtdserver",,"FWRC1#EURINR#Month End Rates#0#S#MonthEndDate7")</f>
        <v>27-Nov-2020</v>
      </c>
      <c r="H2" s="71" t="str">
        <f t="array" ref="H2">RTD("tickerplantrtdserver",,"FWRC1#EURINR#Month End Rates#0#S#MonthEndDate8")</f>
        <v>31-Dec-2020</v>
      </c>
      <c r="I2" s="71" t="str">
        <f t="array" ref="I2">RTD("tickerplantrtdserver",,"FWRC1#EURINR#Month End Rates#0#S#MonthEndDate9")</f>
        <v>29-Jan-2021</v>
      </c>
      <c r="J2" s="71" t="str">
        <f t="array" ref="J2">RTD("tickerplantrtdserver",,"FWRC1#EURINR#Month End Rates#0#S#MonthEndDate10")</f>
        <v>26-Feb-2021</v>
      </c>
      <c r="K2" s="71" t="str">
        <f t="array" ref="K2">RTD("tickerplantrtdserver",,"FWRC1#EURINR#Month End Rates#0#S#MonthEndDate11")</f>
        <v>31-Mar-2021</v>
      </c>
      <c r="L2" s="71" t="str">
        <f t="array" ref="L2">RTD("tickerplantrtdserver",,"FWRC1#EURINR#Month End Rates#0#S#MonthEndDate12")</f>
        <v>30-Apr-2021</v>
      </c>
      <c r="M2" s="71" t="str">
        <f t="array" ref="M2">RTD("tickerplantrtdserver",,"FWRC1#EURINR#Month End Rates#0#S#MonthEndDate13")</f>
        <v>31-May-2021</v>
      </c>
      <c r="N2" s="71" t="str">
        <f t="array" ref="N2">RTD("tickerplantrtdserver",,"FWRC1#EURINR#Month End Rates#0#S#MonthEndDate14")</f>
        <v>30-Jun-2021</v>
      </c>
      <c r="O2" s="75" t="str">
        <f t="array" ref="O2">RTD("tickerplantrtdserver",,"FWRC1#EURINR#Month End Rates#0#S#MonthEndDate15")</f>
        <v>30-Jul-2021</v>
      </c>
      <c r="P2" s="30"/>
    </row>
    <row r="3" spans="1:18" s="14" customFormat="1" x14ac:dyDescent="0.25">
      <c r="A3" s="162" t="s">
        <v>4</v>
      </c>
      <c r="B3" s="163"/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5"/>
      <c r="P3" s="15"/>
    </row>
    <row r="4" spans="1:18" s="14" customFormat="1" x14ac:dyDescent="0.25">
      <c r="A4" s="158" t="s">
        <v>47</v>
      </c>
      <c r="B4" s="159"/>
      <c r="C4" s="65">
        <f t="array" ref="C4">RTD("tickerplantrtdserver",,"FWRC1#EURINR#Month End Rates#0#BidPrice2")</f>
        <v>1.5371999999999999</v>
      </c>
      <c r="D4" s="65">
        <f t="array" ref="D4">RTD("tickerplantrtdserver",,"FWRC1#EURINR#Month End Rates#0#BidPrice4")</f>
        <v>11.324999999999999</v>
      </c>
      <c r="E4" s="65">
        <f t="array" ref="E4">RTD("tickerplantrtdserver",,"FWRC1#EURINR#Month End Rates#0#BidPrice5")</f>
        <v>41.935000000000002</v>
      </c>
      <c r="F4" s="65">
        <f t="array" ref="F4">RTD("tickerplantrtdserver",,"FWRC1#EURINR#Month End Rates#0#BidPrice6")</f>
        <v>73.775000000000006</v>
      </c>
      <c r="G4" s="65">
        <f t="array" ref="G4">RTD("tickerplantrtdserver",,"FWRC1#EURINR#Month End Rates#0#BidPrice7")</f>
        <v>112.17749999999999</v>
      </c>
      <c r="H4" s="65">
        <f t="array" ref="H4">RTD("tickerplantrtdserver",,"FWRC1#EURINR#Month End Rates#0#BidPrice8")</f>
        <v>151.24250000000001</v>
      </c>
      <c r="I4" s="65">
        <f t="array" ref="I4">RTD("tickerplantrtdserver",,"FWRC1#EURINR#Month End Rates#0#BidPrice9")</f>
        <v>185.15</v>
      </c>
      <c r="J4" s="65">
        <f t="array" ref="J4">RTD("tickerplantrtdserver",,"FWRC1#EURINR#Month End Rates#0#BidPrice10")</f>
        <v>217.94749999999999</v>
      </c>
      <c r="K4" s="65">
        <f t="array" ref="K4">RTD("tickerplantrtdserver",,"FWRC1#EURINR#Month End Rates#0#BidPrice11")</f>
        <v>261.11500000000001</v>
      </c>
      <c r="L4" s="65">
        <f t="array" ref="L4">RTD("tickerplantrtdserver",,"FWRC1#EURINR#Month End Rates#0#BidPrice12")</f>
        <v>296.54000000000002</v>
      </c>
      <c r="M4" s="65">
        <f t="array" ref="M4">RTD("tickerplantrtdserver",,"FWRC1#EURINR#Month End Rates#0#BidPrice13")</f>
        <v>333.96249999999998</v>
      </c>
      <c r="N4" s="65">
        <f t="array" ref="N4">RTD("tickerplantrtdserver",,"FWRC1#EURINR#Month End Rates#0#BidPrice14")</f>
        <v>369.82499999999999</v>
      </c>
      <c r="O4" s="67">
        <f t="array" ref="O4">RTD("tickerplantrtdserver",,"FWRC1#EURINR#Month End Rates#0#BidPrice15")</f>
        <v>404.98250000000002</v>
      </c>
      <c r="P4" s="20"/>
    </row>
    <row r="5" spans="1:18" s="14" customFormat="1" x14ac:dyDescent="0.25">
      <c r="A5" s="158" t="s">
        <v>48</v>
      </c>
      <c r="B5" s="159"/>
      <c r="C5" s="65">
        <f t="array" ref="C5">RTD("tickerplantrtdserver",,"FWRC1#EURINR#Month End Rates#0#AskPrice2")</f>
        <v>2.7498999999999998</v>
      </c>
      <c r="D5" s="65">
        <f t="array" ref="D5">RTD("tickerplantrtdserver",,"FWRC1#EURINR#Month End Rates#0#AskPrice4")</f>
        <v>12.195</v>
      </c>
      <c r="E5" s="65">
        <f t="array" ref="E5">RTD("tickerplantrtdserver",,"FWRC1#EURINR#Month End Rates#0#AskPrice5")</f>
        <v>43.572499999999998</v>
      </c>
      <c r="F5" s="65">
        <f t="array" ref="F5">RTD("tickerplantrtdserver",,"FWRC1#EURINR#Month End Rates#0#AskPrice6")</f>
        <v>75.747500000000002</v>
      </c>
      <c r="G5" s="65">
        <f t="array" ref="G5">RTD("tickerplantrtdserver",,"FWRC1#EURINR#Month End Rates#0#AskPrice7")</f>
        <v>114.32</v>
      </c>
      <c r="H5" s="65">
        <f t="array" ref="H5">RTD("tickerplantrtdserver",,"FWRC1#EURINR#Month End Rates#0#AskPrice8")</f>
        <v>153.72499999999999</v>
      </c>
      <c r="I5" s="65">
        <f t="array" ref="I5">RTD("tickerplantrtdserver",,"FWRC1#EURINR#Month End Rates#0#AskPrice9")</f>
        <v>187.70249999999999</v>
      </c>
      <c r="J5" s="65">
        <f t="array" ref="J5">RTD("tickerplantrtdserver",,"FWRC1#EURINR#Month End Rates#0#AskPrice10")</f>
        <v>222.4675</v>
      </c>
      <c r="K5" s="65">
        <f t="array" ref="K5">RTD("tickerplantrtdserver",,"FWRC1#EURINR#Month End Rates#0#AskPrice11")</f>
        <v>264.88499999999999</v>
      </c>
      <c r="L5" s="65">
        <f t="array" ref="L5">RTD("tickerplantrtdserver",,"FWRC1#EURINR#Month End Rates#0#AskPrice12")</f>
        <v>300.57</v>
      </c>
      <c r="M5" s="65">
        <f t="array" ref="M5">RTD("tickerplantrtdserver",,"FWRC1#EURINR#Month End Rates#0#AskPrice13")</f>
        <v>339.82249999999999</v>
      </c>
      <c r="N5" s="65">
        <f t="array" ref="N5">RTD("tickerplantrtdserver",,"FWRC1#EURINR#Month End Rates#0#AskPrice14")</f>
        <v>376.1225</v>
      </c>
      <c r="O5" s="67">
        <f t="array" ref="O5">RTD("tickerplantrtdserver",,"FWRC1#EURINR#Month End Rates#0#AskPrice15")</f>
        <v>409.40750000000003</v>
      </c>
      <c r="P5" s="20"/>
    </row>
    <row r="6" spans="1:18" s="14" customFormat="1" x14ac:dyDescent="0.25">
      <c r="A6" s="162" t="s">
        <v>3</v>
      </c>
      <c r="B6" s="163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5"/>
      <c r="P6" s="20"/>
    </row>
    <row r="7" spans="1:18" s="14" customFormat="1" x14ac:dyDescent="0.25">
      <c r="A7" s="158" t="s">
        <v>47</v>
      </c>
      <c r="B7" s="159"/>
      <c r="C7" s="64">
        <f t="array" ref="C7">RTD("tickerplantrtdserver",,"FWRC1#EURINR#Month End Rates#0#FwdOutrightBid1")</f>
        <v>88.932500000000005</v>
      </c>
      <c r="D7" s="64">
        <f t="array" ref="D7">RTD("tickerplantrtdserver",,"FWRC1#EURINR#Month End Rates#0#FwdOutrightBid4")</f>
        <v>89.073300000000003</v>
      </c>
      <c r="E7" s="64">
        <f t="array" ref="E7">RTD("tickerplantrtdserver",,"FWRC1#EURINR#Month End Rates#0#FwdOutrightBid5")</f>
        <v>89.379400000000004</v>
      </c>
      <c r="F7" s="64">
        <f t="array" ref="F7">RTD("tickerplantrtdserver",,"FWRC1#EURINR#Month End Rates#0#FwdOutrightBid6")</f>
        <v>89.697800000000001</v>
      </c>
      <c r="G7" s="64">
        <f t="array" ref="G7">RTD("tickerplantrtdserver",,"FWRC1#EURINR#Month End Rates#0#FwdOutrightBid7")</f>
        <v>90.081800000000001</v>
      </c>
      <c r="H7" s="64">
        <f t="array" ref="H7">RTD("tickerplantrtdserver",,"FWRC1#EURINR#Month End Rates#0#FwdOutrightBid8")</f>
        <v>90.472399999999993</v>
      </c>
      <c r="I7" s="64">
        <f t="array" ref="I7">RTD("tickerplantrtdserver",,"FWRC1#EURINR#Month End Rates#0#FwdOutrightBid9")</f>
        <v>90.811499999999995</v>
      </c>
      <c r="J7" s="64">
        <f t="array" ref="J7">RTD("tickerplantrtdserver",,"FWRC1#EURINR#Month End Rates#0#FwdOutrightBid10")</f>
        <v>91.139499999999998</v>
      </c>
      <c r="K7" s="64">
        <f t="array" ref="K7">RTD("tickerplantrtdserver",,"FWRC1#EURINR#Month End Rates#0#FwdOutrightBid11")</f>
        <v>91.571200000000005</v>
      </c>
      <c r="L7" s="64">
        <f t="array" ref="L7">RTD("tickerplantrtdserver",,"FWRC1#EURINR#Month End Rates#0#FwdOutrightBid12")</f>
        <v>91.925399999999996</v>
      </c>
      <c r="M7" s="64">
        <f t="array" ref="M7">RTD("tickerplantrtdserver",,"FWRC1#EURINR#Month End Rates#0#FwdOutrightBid13")</f>
        <v>92.299599999999998</v>
      </c>
      <c r="N7" s="64">
        <f t="array" ref="N7">RTD("tickerplantrtdserver",,"FWRC1#EURINR#Month End Rates#0#FwdOutrightBid14")</f>
        <v>92.658299999999997</v>
      </c>
      <c r="O7" s="68">
        <f t="array" ref="O7">RTD("tickerplantrtdserver",,"FWRC1#EURINR#Month End Rates#0#FwdOutrightBid15")</f>
        <v>93.009799999999998</v>
      </c>
      <c r="P7" s="20"/>
    </row>
    <row r="8" spans="1:18" s="14" customFormat="1" x14ac:dyDescent="0.25">
      <c r="A8" s="158" t="s">
        <v>48</v>
      </c>
      <c r="B8" s="159"/>
      <c r="C8" s="64">
        <f t="array" ref="C8">RTD("tickerplantrtdserver",,"FWRC1#EURINR#Month End Rates#0#FwdOutrightAsk1")</f>
        <v>88.964600000000004</v>
      </c>
      <c r="D8" s="64">
        <f t="array" ref="D8">RTD("tickerplantrtdserver",,"FWRC1#EURINR#Month End Rates#0#FwdOutrightAsk4")</f>
        <v>89.102000000000004</v>
      </c>
      <c r="E8" s="64">
        <f t="array" ref="E8">RTD("tickerplantrtdserver",,"FWRC1#EURINR#Month End Rates#0#FwdOutrightAsk5")</f>
        <v>89.415700000000001</v>
      </c>
      <c r="F8" s="64">
        <f t="array" ref="F8">RTD("tickerplantrtdserver",,"FWRC1#EURINR#Month End Rates#0#FwdOutrightAsk6")</f>
        <v>89.737499999999997</v>
      </c>
      <c r="G8" s="64">
        <f t="array" ref="G8">RTD("tickerplantrtdserver",,"FWRC1#EURINR#Month End Rates#0#FwdOutrightAsk7")</f>
        <v>90.123199999999997</v>
      </c>
      <c r="H8" s="64">
        <f t="array" ref="H8">RTD("tickerplantrtdserver",,"FWRC1#EURINR#Month End Rates#0#FwdOutrightAsk8")</f>
        <v>90.517300000000006</v>
      </c>
      <c r="I8" s="64">
        <f t="array" ref="I8">RTD("tickerplantrtdserver",,"FWRC1#EURINR#Month End Rates#0#FwdOutrightAsk9")</f>
        <v>90.856999999999999</v>
      </c>
      <c r="J8" s="64">
        <f t="array" ref="J8">RTD("tickerplantrtdserver",,"FWRC1#EURINR#Month End Rates#0#FwdOutrightAsk10")</f>
        <v>91.204700000000003</v>
      </c>
      <c r="K8" s="64">
        <f t="array" ref="K8">RTD("tickerplantrtdserver",,"FWRC1#EURINR#Month End Rates#0#FwdOutrightAsk11")</f>
        <v>91.628900000000002</v>
      </c>
      <c r="L8" s="64">
        <f t="array" ref="L8">RTD("tickerplantrtdserver",,"FWRC1#EURINR#Month End Rates#0#FwdOutrightAsk12")</f>
        <v>91.985699999999994</v>
      </c>
      <c r="M8" s="64">
        <f t="array" ref="M8">RTD("tickerplantrtdserver",,"FWRC1#EURINR#Month End Rates#0#FwdOutrightAsk13")</f>
        <v>92.378200000000007</v>
      </c>
      <c r="N8" s="64">
        <f t="array" ref="N8">RTD("tickerplantrtdserver",,"FWRC1#EURINR#Month End Rates#0#FwdOutrightAsk14")</f>
        <v>92.741200000000006</v>
      </c>
      <c r="O8" s="68">
        <f t="array" ref="O8">RTD("tickerplantrtdserver",,"FWRC1#EURINR#Month End Rates#0#FwdOutrightAsk15")</f>
        <v>93.074100000000001</v>
      </c>
    </row>
    <row r="9" spans="1:18" s="14" customFormat="1" x14ac:dyDescent="0.25">
      <c r="A9" s="162" t="s">
        <v>2</v>
      </c>
      <c r="B9" s="163"/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5"/>
    </row>
    <row r="10" spans="1:18" s="14" customFormat="1" x14ac:dyDescent="0.25">
      <c r="A10" s="158" t="s">
        <v>47</v>
      </c>
      <c r="B10" s="159"/>
      <c r="C10" s="65">
        <f t="array" ref="C10">RTD("tickerplantrtdserver",,"FWRC1#EURINR#Month End Rates#0#Bid%2")</f>
        <v>3.1528</v>
      </c>
      <c r="D10" s="65">
        <f t="array" ref="D10">RTD("tickerplantrtdserver",,"FWRC1#EURINR#Month End Rates#0#Bid%4")</f>
        <v>4.2232000000000003</v>
      </c>
      <c r="E10" s="65">
        <f t="array" ref="E10">RTD("tickerplantrtdserver",,"FWRC1#EURINR#Month End Rates#0#Bid%5")</f>
        <v>4.1955999999999998</v>
      </c>
      <c r="F10" s="65">
        <f t="array" ref="F10">RTD("tickerplantrtdserver",,"FWRC1#EURINR#Month End Rates#0#Bid%6")</f>
        <v>4.3232999999999997</v>
      </c>
      <c r="G10" s="65">
        <f t="array" ref="G10">RTD("tickerplantrtdserver",,"FWRC1#EURINR#Month End Rates#0#Bid%7")</f>
        <v>4.6481000000000003</v>
      </c>
      <c r="H10" s="65">
        <f t="array" ref="H10">RTD("tickerplantrtdserver",,"FWRC1#EURINR#Month End Rates#0#Bid%8")</f>
        <v>4.6646999999999998</v>
      </c>
      <c r="I10" s="65">
        <f t="array" ref="I10">RTD("tickerplantrtdserver",,"FWRC1#EURINR#Month End Rates#0#Bid%9")</f>
        <v>4.6882000000000001</v>
      </c>
      <c r="J10" s="65">
        <f t="array" ref="J10">RTD("tickerplantrtdserver",,"FWRC1#EURINR#Month End Rates#0#Bid%10")</f>
        <v>4.7054</v>
      </c>
      <c r="K10" s="65">
        <f t="array" ref="K10">RTD("tickerplantrtdserver",,"FWRC1#EURINR#Month End Rates#0#Bid%11")</f>
        <v>4.8032000000000004</v>
      </c>
      <c r="L10" s="65">
        <f t="array" ref="L10">RTD("tickerplantrtdserver",,"FWRC1#EURINR#Month End Rates#0#Bid%12")</f>
        <v>4.8079999999999998</v>
      </c>
      <c r="M10" s="65">
        <f t="array" ref="M10">RTD("tickerplantrtdserver",,"FWRC1#EURINR#Month End Rates#0#Bid%13")</f>
        <v>4.8236999999999997</v>
      </c>
      <c r="N10" s="65">
        <f t="array" ref="N10">RTD("tickerplantrtdserver",,"FWRC1#EURINR#Month End Rates#0#Bid%14")</f>
        <v>4.8312999999999997</v>
      </c>
      <c r="O10" s="67">
        <f t="array" ref="O10">RTD("tickerplantrtdserver",,"FWRC1#EURINR#Month End Rates#0#Bid%15")</f>
        <v>4.8292000000000002</v>
      </c>
    </row>
    <row r="11" spans="1:18" s="14" customFormat="1" ht="15.75" thickBot="1" x14ac:dyDescent="0.3">
      <c r="A11" s="160" t="s">
        <v>48</v>
      </c>
      <c r="B11" s="161"/>
      <c r="C11" s="69">
        <f t="array" ref="C11">RTD("tickerplantrtdserver",,"FWRC1#EURINR#Month End Rates#0#Ask%2")</f>
        <v>5.6414</v>
      </c>
      <c r="D11" s="69">
        <f t="array" ref="D11">RTD("tickerplantrtdserver",,"FWRC1#EURINR#Month End Rates#0#Ask%4")</f>
        <v>4.5487000000000002</v>
      </c>
      <c r="E11" s="69">
        <f t="array" ref="E11">RTD("tickerplantrtdserver",,"FWRC1#EURINR#Month End Rates#0#Ask%5")</f>
        <v>4.3604000000000003</v>
      </c>
      <c r="F11" s="69">
        <f t="array" ref="F11">RTD("tickerplantrtdserver",,"FWRC1#EURINR#Month End Rates#0#Ask%6")</f>
        <v>4.4398999999999997</v>
      </c>
      <c r="G11" s="69">
        <f t="array" ref="G11">RTD("tickerplantrtdserver",,"FWRC1#EURINR#Month End Rates#0#Ask%7")</f>
        <v>4.7378999999999998</v>
      </c>
      <c r="H11" s="69">
        <f t="array" ref="H11">RTD("tickerplantrtdserver",,"FWRC1#EURINR#Month End Rates#0#Ask%8")</f>
        <v>4.7423000000000002</v>
      </c>
      <c r="I11" s="69">
        <f t="array" ref="I11">RTD("tickerplantrtdserver",,"FWRC1#EURINR#Month End Rates#0#Ask%9")</f>
        <v>4.7538999999999998</v>
      </c>
      <c r="J11" s="69">
        <f t="array" ref="J11">RTD("tickerplantrtdserver",,"FWRC1#EURINR#Month End Rates#0#Ask%10")</f>
        <v>4.8041</v>
      </c>
      <c r="K11" s="69">
        <f t="array" ref="K11">RTD("tickerplantrtdserver",,"FWRC1#EURINR#Month End Rates#0#Ask%11")</f>
        <v>4.8735999999999997</v>
      </c>
      <c r="L11" s="69">
        <f t="array" ref="L11">RTD("tickerplantrtdserver",,"FWRC1#EURINR#Month End Rates#0#Ask%12")</f>
        <v>4.8743999999999996</v>
      </c>
      <c r="M11" s="69">
        <f t="array" ref="M11">RTD("tickerplantrtdserver",,"FWRC1#EURINR#Month End Rates#0#Ask%13")</f>
        <v>4.9093999999999998</v>
      </c>
      <c r="N11" s="69">
        <f t="array" ref="N11">RTD("tickerplantrtdserver",,"FWRC1#EURINR#Month End Rates#0#Ask%14")</f>
        <v>4.9146999999999998</v>
      </c>
      <c r="O11" s="70">
        <f t="array" ref="O11">RTD("tickerplantrtdserver",,"FWRC1#EURINR#Month End Rates#0#Ask%15")</f>
        <v>4.8830999999999998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21"/>
      <c r="C13" s="21"/>
      <c r="D13" s="58"/>
      <c r="E13" s="21"/>
      <c r="F13" s="21"/>
      <c r="G13" s="21"/>
      <c r="H13" s="32"/>
      <c r="I13" s="32"/>
      <c r="J13" s="32"/>
      <c r="L13" s="31"/>
      <c r="M13" s="31"/>
      <c r="N13" s="31"/>
      <c r="Q13" s="23"/>
      <c r="R13" s="23"/>
    </row>
    <row r="14" spans="1:18" s="14" customFormat="1" x14ac:dyDescent="0.25">
      <c r="A14" s="13"/>
      <c r="B14" s="21"/>
      <c r="C14" s="21"/>
      <c r="D14" s="58"/>
      <c r="E14" s="21"/>
      <c r="F14" s="21"/>
      <c r="G14" s="21"/>
      <c r="H14" s="32"/>
      <c r="I14" s="32"/>
      <c r="J14" s="32"/>
      <c r="L14" s="31"/>
      <c r="M14" s="31"/>
      <c r="N14" s="31"/>
      <c r="P14" s="31"/>
      <c r="Q14" s="31"/>
      <c r="R14" s="31"/>
    </row>
    <row r="15" spans="1:18" s="14" customFormat="1" x14ac:dyDescent="0.25">
      <c r="A15" s="13"/>
      <c r="B15" s="21"/>
      <c r="C15" s="21"/>
      <c r="D15" s="58"/>
      <c r="E15" s="21"/>
      <c r="F15" s="21"/>
      <c r="G15" s="21"/>
      <c r="H15" s="32"/>
      <c r="I15" s="32"/>
      <c r="J15" s="32"/>
      <c r="L15" s="31"/>
      <c r="M15" s="31"/>
      <c r="N15" s="31"/>
      <c r="P15" s="15"/>
      <c r="Q15" s="15"/>
      <c r="R15" s="15"/>
    </row>
    <row r="16" spans="1:18" s="14" customFormat="1" x14ac:dyDescent="0.25">
      <c r="A16" s="13"/>
      <c r="B16" s="21"/>
      <c r="C16" s="21"/>
      <c r="D16" s="58"/>
      <c r="E16" s="21"/>
      <c r="F16" s="21"/>
      <c r="G16" s="21"/>
      <c r="H16" s="32"/>
      <c r="I16" s="32"/>
      <c r="J16" s="32"/>
      <c r="L16" s="31"/>
      <c r="M16" s="31"/>
      <c r="N16" s="31"/>
      <c r="P16" s="13"/>
    </row>
    <row r="17" spans="1:16" s="14" customFormat="1" x14ac:dyDescent="0.25">
      <c r="A17" s="13"/>
      <c r="B17" s="21"/>
      <c r="C17" s="21"/>
      <c r="D17" s="58"/>
      <c r="E17" s="21"/>
      <c r="F17" s="21"/>
      <c r="G17" s="21"/>
      <c r="H17" s="32"/>
      <c r="I17" s="32"/>
      <c r="J17" s="32"/>
      <c r="L17" s="31"/>
      <c r="M17" s="31"/>
      <c r="N17" s="31"/>
      <c r="P17" s="13"/>
    </row>
    <row r="18" spans="1:16" s="14" customFormat="1" x14ac:dyDescent="0.25">
      <c r="A18" s="13"/>
      <c r="B18" s="21"/>
      <c r="C18" s="21"/>
      <c r="D18" s="58"/>
      <c r="E18" s="21"/>
      <c r="F18" s="21"/>
      <c r="G18" s="21"/>
      <c r="H18" s="32"/>
      <c r="I18" s="32"/>
      <c r="J18" s="32"/>
      <c r="L18" s="31"/>
      <c r="M18" s="31"/>
      <c r="N18" s="31"/>
      <c r="P18" s="13"/>
    </row>
    <row r="19" spans="1:16" s="14" customFormat="1" x14ac:dyDescent="0.25">
      <c r="A19" s="13"/>
      <c r="B19" s="21"/>
      <c r="C19" s="21"/>
      <c r="D19" s="58"/>
      <c r="E19" s="21"/>
      <c r="F19" s="21"/>
      <c r="G19" s="21"/>
      <c r="H19" s="32"/>
      <c r="I19" s="32"/>
      <c r="J19" s="32"/>
      <c r="L19" s="31"/>
      <c r="M19" s="31"/>
      <c r="N19" s="31"/>
      <c r="P19" s="15"/>
    </row>
    <row r="20" spans="1:16" s="14" customFormat="1" x14ac:dyDescent="0.25">
      <c r="A20" s="13"/>
      <c r="B20" s="21"/>
      <c r="C20" s="21"/>
      <c r="D20" s="58"/>
      <c r="E20" s="21"/>
      <c r="F20" s="21"/>
      <c r="G20" s="21"/>
      <c r="H20" s="32"/>
      <c r="I20" s="32"/>
      <c r="J20" s="32"/>
      <c r="L20" s="31"/>
      <c r="M20" s="31"/>
      <c r="N20" s="31"/>
    </row>
    <row r="21" spans="1:16" x14ac:dyDescent="0.25">
      <c r="A21" s="13"/>
      <c r="B21" s="21"/>
      <c r="C21" s="21"/>
      <c r="D21" s="58"/>
      <c r="E21" s="21"/>
      <c r="F21" s="21"/>
      <c r="G21" s="21"/>
      <c r="H21" s="32"/>
      <c r="I21" s="32"/>
      <c r="J21" s="32"/>
      <c r="K21" s="14"/>
      <c r="L21" s="31"/>
      <c r="M21" s="31"/>
      <c r="N21" s="31"/>
      <c r="O21" s="14"/>
    </row>
    <row r="22" spans="1:16" x14ac:dyDescent="0.25">
      <c r="A22" s="13"/>
      <c r="B22" s="21"/>
      <c r="C22" s="21"/>
      <c r="D22" s="58"/>
      <c r="E22" s="21"/>
      <c r="F22" s="21"/>
      <c r="G22" s="21"/>
      <c r="H22" s="32"/>
      <c r="I22" s="32"/>
      <c r="J22" s="32"/>
      <c r="K22" s="14"/>
      <c r="L22" s="31"/>
      <c r="M22" s="31"/>
      <c r="N22" s="31"/>
      <c r="O22" s="14"/>
    </row>
    <row r="23" spans="1:16" x14ac:dyDescent="0.25">
      <c r="A23" s="13"/>
      <c r="B23" s="21"/>
      <c r="C23" s="21"/>
      <c r="D23" s="58"/>
      <c r="E23" s="21"/>
      <c r="F23" s="21"/>
      <c r="G23" s="21"/>
      <c r="H23" s="32"/>
      <c r="I23" s="32"/>
      <c r="J23" s="32"/>
      <c r="K23" s="14"/>
      <c r="L23" s="31"/>
      <c r="M23" s="31"/>
      <c r="N23" s="31"/>
      <c r="O23" s="14"/>
    </row>
    <row r="24" spans="1:16" s="2" customFormat="1" x14ac:dyDescent="0.25">
      <c r="A24" s="13"/>
      <c r="B24" s="21"/>
      <c r="C24" s="21"/>
      <c r="D24" s="58"/>
      <c r="E24" s="21"/>
      <c r="F24" s="21"/>
      <c r="G24" s="21"/>
      <c r="H24" s="32"/>
      <c r="I24" s="32"/>
      <c r="J24" s="32"/>
      <c r="K24" s="14"/>
      <c r="L24" s="31"/>
      <c r="M24" s="31"/>
      <c r="N24" s="31"/>
      <c r="O24" s="14"/>
    </row>
    <row r="25" spans="1:16" x14ac:dyDescent="0.25">
      <c r="A25" s="13"/>
      <c r="B25" s="21"/>
      <c r="C25" s="21"/>
      <c r="D25" s="58"/>
      <c r="E25" s="21"/>
      <c r="F25" s="21"/>
      <c r="G25" s="21"/>
      <c r="H25" s="32"/>
      <c r="I25" s="32"/>
      <c r="J25" s="32"/>
      <c r="K25" s="14"/>
      <c r="L25" s="31"/>
      <c r="M25" s="31"/>
      <c r="N25" s="31"/>
      <c r="O25" s="14"/>
    </row>
    <row r="26" spans="1:16" x14ac:dyDescent="0.25">
      <c r="A26" s="13"/>
      <c r="B26" s="21"/>
      <c r="C26" s="21"/>
      <c r="D26" s="58"/>
      <c r="E26" s="21"/>
      <c r="F26" s="21"/>
      <c r="G26" s="21"/>
      <c r="H26" s="32"/>
      <c r="I26" s="32"/>
      <c r="J26" s="32"/>
      <c r="K26" s="14"/>
      <c r="L26" s="31"/>
      <c r="M26" s="31"/>
      <c r="N26" s="31"/>
      <c r="O26" s="14"/>
    </row>
    <row r="27" spans="1:16" x14ac:dyDescent="0.25">
      <c r="A27" s="13"/>
      <c r="B27" s="21"/>
      <c r="C27" s="21"/>
      <c r="D27" s="58"/>
      <c r="E27" s="21"/>
      <c r="F27" s="21"/>
      <c r="G27" s="21"/>
      <c r="H27" s="32"/>
      <c r="I27" s="32"/>
      <c r="J27" s="32"/>
      <c r="K27" s="14"/>
      <c r="L27" s="31"/>
      <c r="M27" s="31"/>
      <c r="N27" s="31"/>
      <c r="O27" s="14"/>
    </row>
    <row r="28" spans="1:16" x14ac:dyDescent="0.25">
      <c r="A28" s="13"/>
      <c r="B28" s="21"/>
      <c r="C28" s="21"/>
      <c r="D28" s="58"/>
      <c r="E28" s="21"/>
      <c r="F28" s="21"/>
      <c r="G28" s="21"/>
      <c r="H28" s="32"/>
      <c r="I28" s="32"/>
      <c r="J28" s="32"/>
      <c r="K28" s="14"/>
      <c r="L28" s="31"/>
      <c r="M28" s="31"/>
      <c r="N28" s="31"/>
      <c r="O28" s="14"/>
    </row>
    <row r="29" spans="1:16" x14ac:dyDescent="0.25">
      <c r="A29" s="13"/>
      <c r="B29" s="21"/>
      <c r="C29" s="21"/>
      <c r="D29" s="58"/>
      <c r="E29" s="21"/>
      <c r="F29" s="21"/>
      <c r="G29" s="21"/>
      <c r="H29" s="32"/>
      <c r="I29" s="32"/>
      <c r="J29" s="32"/>
      <c r="K29" s="14"/>
      <c r="L29" s="31"/>
      <c r="M29" s="31"/>
      <c r="N29" s="31"/>
      <c r="O29" s="14"/>
    </row>
    <row r="30" spans="1:16" x14ac:dyDescent="0.25">
      <c r="A30" s="13"/>
      <c r="B30" s="21"/>
      <c r="C30" s="21"/>
      <c r="D30" s="58"/>
      <c r="E30" s="21"/>
      <c r="F30" s="21"/>
      <c r="G30" s="21"/>
      <c r="H30" s="32"/>
      <c r="I30" s="32"/>
      <c r="J30" s="32"/>
      <c r="K30" s="14"/>
      <c r="L30" s="31"/>
      <c r="M30" s="31"/>
      <c r="N30" s="31"/>
      <c r="O30" s="14"/>
    </row>
    <row r="31" spans="1:16" x14ac:dyDescent="0.25">
      <c r="A31" s="13"/>
      <c r="B31" s="21"/>
      <c r="C31" s="21"/>
      <c r="D31" s="58"/>
      <c r="E31" s="21"/>
      <c r="F31" s="21"/>
      <c r="G31" s="21"/>
      <c r="H31" s="32"/>
      <c r="I31" s="32"/>
      <c r="J31" s="32"/>
      <c r="K31" s="14"/>
      <c r="L31" s="31"/>
      <c r="M31" s="31"/>
      <c r="N31" s="31"/>
      <c r="O31" s="14"/>
    </row>
    <row r="36" spans="1:5" x14ac:dyDescent="0.25">
      <c r="A36" s="1"/>
      <c r="B36" s="1"/>
    </row>
    <row r="40" spans="1:5" x14ac:dyDescent="0.25">
      <c r="E40" s="55"/>
    </row>
  </sheetData>
  <mergeCells count="14">
    <mergeCell ref="A1:B1"/>
    <mergeCell ref="A10:B10"/>
    <mergeCell ref="A11:B11"/>
    <mergeCell ref="A6:B6"/>
    <mergeCell ref="C6:O6"/>
    <mergeCell ref="A7:B7"/>
    <mergeCell ref="A8:B8"/>
    <mergeCell ref="A9:B9"/>
    <mergeCell ref="C9:O9"/>
    <mergeCell ref="A5:B5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39"/>
  <sheetViews>
    <sheetView workbookViewId="0">
      <selection sqref="A1:B1"/>
    </sheetView>
  </sheetViews>
  <sheetFormatPr defaultColWidth="8.85546875" defaultRowHeight="15" x14ac:dyDescent="0.25"/>
  <cols>
    <col min="3" max="4" width="9.42578125" bestFit="1" customWidth="1"/>
    <col min="5" max="5" width="9.28515625" bestFit="1" customWidth="1"/>
    <col min="6" max="6" width="9" bestFit="1" customWidth="1"/>
    <col min="7" max="7" width="9.42578125" bestFit="1" customWidth="1"/>
    <col min="8" max="8" width="9" bestFit="1" customWidth="1"/>
    <col min="9" max="9" width="9.28515625" bestFit="1" customWidth="1"/>
    <col min="10" max="10" width="9.42578125" bestFit="1" customWidth="1"/>
    <col min="11" max="11" width="9.28515625" bestFit="1" customWidth="1"/>
    <col min="12" max="12" width="9.140625" bestFit="1" customWidth="1"/>
    <col min="13" max="13" width="9" bestFit="1" customWidth="1"/>
    <col min="14" max="14" width="9.7109375" bestFit="1" customWidth="1"/>
    <col min="15" max="15" width="9.2851562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66" t="s">
        <v>6</v>
      </c>
      <c r="B1" s="167"/>
      <c r="C1" s="76" t="str">
        <f t="array" ref="C1">RTD("tickerplantrtdserver",,"FWRC1#GBPINR#Month End Rates#0#S#Desc.2")</f>
        <v>CASH/SPOT</v>
      </c>
      <c r="D1" s="76" t="str">
        <f t="array" ref="D1">RTD("tickerplantrtdserver",,"FWRC1#GBPINR#Month End Rates#0#S#Desc.4")</f>
        <v>AUG-2020</v>
      </c>
      <c r="E1" s="76" t="str">
        <f t="array" ref="E1">RTD("tickerplantrtdserver",,"FWRC1#GBPINR#Month End Rates#0#S#Desc.5")</f>
        <v>SEP-2020</v>
      </c>
      <c r="F1" s="76" t="str">
        <f t="array" ref="F1">RTD("tickerplantrtdserver",,"FWRC1#GBPINR#Month End Rates#0#S#Desc.6")</f>
        <v>OCT-2020</v>
      </c>
      <c r="G1" s="76" t="str">
        <f t="array" ref="G1">RTD("tickerplantrtdserver",,"FWRC1#GBPINR#Month End Rates#0#S#Desc.7")</f>
        <v>NOV-2020</v>
      </c>
      <c r="H1" s="76" t="str">
        <f t="array" ref="H1">RTD("tickerplantrtdserver",,"FWRC1#GBPINR#Month End Rates#0#S#Desc.8")</f>
        <v>DEC-2020</v>
      </c>
      <c r="I1" s="76" t="str">
        <f t="array" ref="I1">RTD("tickerplantrtdserver",,"FWRC1#GBPINR#Month End Rates#0#S#Desc.9")</f>
        <v>JAN-2021</v>
      </c>
      <c r="J1" s="76" t="str">
        <f t="array" ref="J1">RTD("tickerplantrtdserver",,"FWRC1#GBPINR#Month End Rates#0#S#Desc.10")</f>
        <v>FEB-2021</v>
      </c>
      <c r="K1" s="76" t="str">
        <f t="array" ref="K1">RTD("tickerplantrtdserver",,"FWRC1#GBPINR#Month End Rates#0#S#Desc.11")</f>
        <v>MAR-2021</v>
      </c>
      <c r="L1" s="76" t="str">
        <f t="array" ref="L1">RTD("tickerplantrtdserver",,"FWRC1#GBPINR#Month End Rates#0#S#Desc.12")</f>
        <v>APR-2021</v>
      </c>
      <c r="M1" s="76" t="str">
        <f t="array" ref="M1">RTD("tickerplantrtdserver",,"FWRC1#GBPINR#Month End Rates#0#S#Desc.13")</f>
        <v>MAY-2021</v>
      </c>
      <c r="N1" s="76" t="str">
        <f t="array" ref="N1">RTD("tickerplantrtdserver",,"FWRC1#GBPINR#Month End Rates#0#S#Desc.14")</f>
        <v>JUN-2021</v>
      </c>
      <c r="O1" s="77" t="str">
        <f t="array" ref="O1">RTD("tickerplantrtdserver",,"FWRC1#GBPINR#Month End Rates#0#S#Desc.15")</f>
        <v>JUL-2021</v>
      </c>
    </row>
    <row r="2" spans="1:18" s="14" customFormat="1" ht="15.75" customHeight="1" x14ac:dyDescent="0.25">
      <c r="A2" s="158" t="s">
        <v>5</v>
      </c>
      <c r="B2" s="159"/>
      <c r="C2" s="71" t="str">
        <f t="array" ref="C2">RTD("tickerplantrtdserver",,"FWRC1#GBPINR#Month End Rates#0#S#PillarDate2")</f>
        <v>20-Aug-2020</v>
      </c>
      <c r="D2" s="71" t="str">
        <f t="array" ref="D2">RTD("tickerplantrtdserver",,"FWRC1#GBPINR#Month End Rates#0#S#PillarDate4")</f>
        <v>28-Aug-2020</v>
      </c>
      <c r="E2" s="71" t="str">
        <f t="array" ref="E2">RTD("tickerplantrtdserver",,"FWRC1#GBPINR#Month End Rates#0#S#PillarDate5")</f>
        <v>30-Sep-2020</v>
      </c>
      <c r="F2" s="71" t="str">
        <f t="array" ref="F2">RTD("tickerplantrtdserver",,"FWRC1#GBPINR#Month End Rates#0#S#PillarDate6")</f>
        <v>29-Oct-2020</v>
      </c>
      <c r="G2" s="71" t="str">
        <f t="array" ref="G2">RTD("tickerplantrtdserver",,"FWRC1#GBPINR#Month End Rates#0#S#PillarDate7")</f>
        <v>27-Nov-2020</v>
      </c>
      <c r="H2" s="71" t="str">
        <f t="array" ref="H2">RTD("tickerplantrtdserver",,"FWRC1#GBPINR#Month End Rates#0#S#PillarDate8")</f>
        <v>31-Dec-2020</v>
      </c>
      <c r="I2" s="71" t="str">
        <f t="array" ref="I2">RTD("tickerplantrtdserver",,"FWRC1#GBPINR#Month End Rates#0#S#PillarDate9")</f>
        <v>29-Jan-2021</v>
      </c>
      <c r="J2" s="71" t="str">
        <f t="array" ref="J2">RTD("tickerplantrtdserver",,"FWRC1#GBPINR#Month End Rates#0#S#PillarDate10")</f>
        <v>26-Feb-2021</v>
      </c>
      <c r="K2" s="71" t="str">
        <f t="array" ref="K2">RTD("tickerplantrtdserver",,"FWRC1#GBPINR#Month End Rates#0#S#PillarDate11")</f>
        <v>31-Mar-2021</v>
      </c>
      <c r="L2" s="71" t="str">
        <f t="array" ref="L2">RTD("tickerplantrtdserver",,"FWRC1#GBPINR#Month End Rates#0#S#PillarDate12")</f>
        <v>30-Apr-2021</v>
      </c>
      <c r="M2" s="71" t="str">
        <f t="array" ref="M2">RTD("tickerplantrtdserver",,"FWRC1#GBPINR#Month End Rates#0#S#PillarDate13")</f>
        <v>31-May-2021</v>
      </c>
      <c r="N2" s="71" t="str">
        <f t="array" ref="N2">RTD("tickerplantrtdserver",,"FWRC1#GBPINR#Month End Rates#0#S#PillarDate14")</f>
        <v>30-Jun-2021</v>
      </c>
      <c r="O2" s="75" t="str">
        <f t="array" ref="O2">RTD("tickerplantrtdserver",,"FWRC1#GBPINR#Month End Rates#0#S#PillarDate15")</f>
        <v>30-Jul-2021</v>
      </c>
      <c r="P2" s="30"/>
    </row>
    <row r="3" spans="1:18" s="14" customFormat="1" x14ac:dyDescent="0.25">
      <c r="A3" s="162" t="s">
        <v>4</v>
      </c>
      <c r="B3" s="163"/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5"/>
      <c r="P3" s="15"/>
    </row>
    <row r="4" spans="1:18" s="14" customFormat="1" x14ac:dyDescent="0.25">
      <c r="A4" s="158" t="s">
        <v>47</v>
      </c>
      <c r="B4" s="159"/>
      <c r="C4" s="65">
        <f>RTD("tickerplantrtdserver",,"FWRC1#GBPINR#Month End Rates#0#BidPrice2")/100</f>
        <v>1.3740049999999999</v>
      </c>
      <c r="D4" s="65">
        <f>RTD("tickerplantrtdserver",,"FWRC1#GBPINR#Month End Rates#0#BidPrice4")/100</f>
        <v>10.823550000000001</v>
      </c>
      <c r="E4" s="65">
        <f>RTD("tickerplantrtdserver",,"FWRC1#GBPINR#Month End Rates#0#BidPrice5")/100</f>
        <v>40.168575000000004</v>
      </c>
      <c r="F4" s="65">
        <f>RTD("tickerplantrtdserver",,"FWRC1#GBPINR#Month End Rates#0#BidPrice6")/100</f>
        <v>70.565725</v>
      </c>
      <c r="G4" s="65">
        <f>RTD("tickerplantrtdserver",,"FWRC1#GBPINR#Month End Rates#0#BidPrice7")/100</f>
        <v>107.368675</v>
      </c>
      <c r="H4" s="65">
        <f>RTD("tickerplantrtdserver",,"FWRC1#GBPINR#Month End Rates#0#BidPrice8")/100</f>
        <v>145.24795</v>
      </c>
      <c r="I4" s="65">
        <f>RTD("tickerplantrtdserver",,"FWRC1#GBPINR#Month End Rates#0#BidPrice9")/100</f>
        <v>177.54532500000002</v>
      </c>
      <c r="J4" s="65">
        <f>RTD("tickerplantrtdserver",,"FWRC1#GBPINR#Month End Rates#0#BidPrice10")/100</f>
        <v>208.838775</v>
      </c>
      <c r="K4" s="65">
        <f>RTD("tickerplantrtdserver",,"FWRC1#GBPINR#Month End Rates#0#BidPrice11")/100</f>
        <v>250.90470000000002</v>
      </c>
      <c r="L4" s="65">
        <f>RTD("tickerplantrtdserver",,"FWRC1#GBPINR#Month End Rates#0#BidPrice12")/100</f>
        <v>284.80759999999998</v>
      </c>
      <c r="M4" s="65">
        <f>RTD("tickerplantrtdserver",,"FWRC1#GBPINR#Month End Rates#0#BidPrice13")/100</f>
        <v>320.14477499999998</v>
      </c>
      <c r="N4" s="65">
        <f>RTD("tickerplantrtdserver",,"FWRC1#GBPINR#Month End Rates#0#BidPrice14")/100</f>
        <v>354.538275</v>
      </c>
      <c r="O4" s="67">
        <f>RTD("tickerplantrtdserver",,"FWRC1#GBPINR#Month End Rates#0#BidPrice15")/100</f>
        <v>387.596225</v>
      </c>
      <c r="P4" s="20"/>
    </row>
    <row r="5" spans="1:18" s="14" customFormat="1" x14ac:dyDescent="0.25">
      <c r="A5" s="158" t="s">
        <v>48</v>
      </c>
      <c r="B5" s="159"/>
      <c r="C5" s="65">
        <f>RTD("tickerplantrtdserver",,"FWRC1#GBPINR#Month End Rates#0#AskPrice2")/100</f>
        <v>2.7795339999999999</v>
      </c>
      <c r="D5" s="65">
        <f>RTD("tickerplantrtdserver",,"FWRC1#GBPINR#Month End Rates#0#AskPrice4")/100</f>
        <v>11.806375000000001</v>
      </c>
      <c r="E5" s="65">
        <f>RTD("tickerplantrtdserver",,"FWRC1#GBPINR#Month End Rates#0#AskPrice5")/100</f>
        <v>42.111324999999994</v>
      </c>
      <c r="F5" s="65">
        <f>RTD("tickerplantrtdserver",,"FWRC1#GBPINR#Month End Rates#0#AskPrice6")/100</f>
        <v>72.954499999999996</v>
      </c>
      <c r="G5" s="65">
        <f>RTD("tickerplantrtdserver",,"FWRC1#GBPINR#Month End Rates#0#AskPrice7")/100</f>
        <v>110.163675</v>
      </c>
      <c r="H5" s="65">
        <f>RTD("tickerplantrtdserver",,"FWRC1#GBPINR#Month End Rates#0#AskPrice8")/100</f>
        <v>148.28139999999999</v>
      </c>
      <c r="I5" s="65">
        <f>RTD("tickerplantrtdserver",,"FWRC1#GBPINR#Month End Rates#0#AskPrice9")/100</f>
        <v>180.72545</v>
      </c>
      <c r="J5" s="65">
        <f>RTD("tickerplantrtdserver",,"FWRC1#GBPINR#Month End Rates#0#AskPrice10")/100</f>
        <v>212.27375000000001</v>
      </c>
      <c r="K5" s="65">
        <f>RTD("tickerplantrtdserver",,"FWRC1#GBPINR#Month End Rates#0#AskPrice11")/100</f>
        <v>254.60634999999999</v>
      </c>
      <c r="L5" s="65">
        <f>RTD("tickerplantrtdserver",,"FWRC1#GBPINR#Month End Rates#0#AskPrice12")/100</f>
        <v>288.78615000000002</v>
      </c>
      <c r="M5" s="65">
        <f>RTD("tickerplantrtdserver",,"FWRC1#GBPINR#Month End Rates#0#AskPrice13")/100</f>
        <v>324.144925</v>
      </c>
      <c r="N5" s="65">
        <f>RTD("tickerplantrtdserver",,"FWRC1#GBPINR#Month End Rates#0#AskPrice14")/100</f>
        <v>358.70735000000002</v>
      </c>
      <c r="O5" s="67">
        <f>RTD("tickerplantrtdserver",,"FWRC1#GBPINR#Month End Rates#0#AskPrice15")/100</f>
        <v>391.96317499999998</v>
      </c>
      <c r="P5" s="20"/>
    </row>
    <row r="6" spans="1:18" s="14" customFormat="1" x14ac:dyDescent="0.25">
      <c r="A6" s="162" t="s">
        <v>3</v>
      </c>
      <c r="B6" s="163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5"/>
      <c r="P6" s="20"/>
    </row>
    <row r="7" spans="1:18" s="14" customFormat="1" x14ac:dyDescent="0.25">
      <c r="A7" s="158" t="s">
        <v>47</v>
      </c>
      <c r="B7" s="159"/>
      <c r="C7" s="72">
        <f t="array" ref="C7">RTD("tickerplantrtdserver",,"FWRC1#GBPINR#Month End Rates#0#FwdOutrightBid1")</f>
        <v>98.342200000000005</v>
      </c>
      <c r="D7" s="64">
        <f t="array" ref="D7">RTD("tickerplantrtdserver",,"FWRC1#GBPINR#Month End Rates#0#FwdOutrightBid4")</f>
        <v>98.478200000000001</v>
      </c>
      <c r="E7" s="64">
        <f t="array" ref="E7">RTD("tickerplantrtdserver",,"FWRC1#GBPINR#Month End Rates#0#FwdOutrightBid5")</f>
        <v>98.771699999999996</v>
      </c>
      <c r="F7" s="64">
        <f t="array" ref="F7">RTD("tickerplantrtdserver",,"FWRC1#GBPINR#Month End Rates#0#FwdOutrightBid6")</f>
        <v>99.075699999999998</v>
      </c>
      <c r="G7" s="64">
        <f t="array" ref="G7">RTD("tickerplantrtdserver",,"FWRC1#GBPINR#Month End Rates#0#FwdOutrightBid7")</f>
        <v>99.443700000000007</v>
      </c>
      <c r="H7" s="64">
        <f t="array" ref="H7">RTD("tickerplantrtdserver",,"FWRC1#GBPINR#Month End Rates#0#FwdOutrightBid8")</f>
        <v>99.822500000000005</v>
      </c>
      <c r="I7" s="64">
        <f t="array" ref="I7">RTD("tickerplantrtdserver",,"FWRC1#GBPINR#Month End Rates#0#FwdOutrightBid9")</f>
        <v>100.1455</v>
      </c>
      <c r="J7" s="64">
        <f t="array" ref="J7">RTD("tickerplantrtdserver",,"FWRC1#GBPINR#Month End Rates#0#FwdOutrightBid10")</f>
        <v>100.4584</v>
      </c>
      <c r="K7" s="64">
        <f t="array" ref="K7">RTD("tickerplantrtdserver",,"FWRC1#GBPINR#Month End Rates#0#FwdOutrightBid11")</f>
        <v>100.879</v>
      </c>
      <c r="L7" s="64">
        <f t="array" ref="L7">RTD("tickerplantrtdserver",,"FWRC1#GBPINR#Month End Rates#0#FwdOutrightBid12")</f>
        <v>101.21810000000001</v>
      </c>
      <c r="M7" s="64">
        <f t="array" ref="M7">RTD("tickerplantrtdserver",,"FWRC1#GBPINR#Month End Rates#0#FwdOutrightBid13")</f>
        <v>101.5714</v>
      </c>
      <c r="N7" s="64">
        <f t="array" ref="N7">RTD("tickerplantrtdserver",,"FWRC1#GBPINR#Month End Rates#0#FwdOutrightBid14")</f>
        <v>101.91540000000001</v>
      </c>
      <c r="O7" s="68">
        <f t="array" ref="O7">RTD("tickerplantrtdserver",,"FWRC1#GBPINR#Month End Rates#0#FwdOutrightBid15")</f>
        <v>102.246</v>
      </c>
      <c r="P7" s="20"/>
    </row>
    <row r="8" spans="1:18" s="14" customFormat="1" x14ac:dyDescent="0.25">
      <c r="A8" s="158" t="s">
        <v>48</v>
      </c>
      <c r="B8" s="159"/>
      <c r="C8" s="72">
        <f t="array" ref="C8">RTD("tickerplantrtdserver",,"FWRC1#GBPINR#Month End Rates#0#FwdOutrightAsk1")</f>
        <v>98.381299999999996</v>
      </c>
      <c r="D8" s="64">
        <f t="array" ref="D8">RTD("tickerplantrtdserver",,"FWRC1#GBPINR#Month End Rates#0#FwdOutrightAsk4")</f>
        <v>98.513099999999994</v>
      </c>
      <c r="E8" s="64">
        <f t="array" ref="E8">RTD("tickerplantrtdserver",,"FWRC1#GBPINR#Month End Rates#0#FwdOutrightAsk5")</f>
        <v>98.816100000000006</v>
      </c>
      <c r="F8" s="64">
        <f t="array" ref="F8">RTD("tickerplantrtdserver",,"FWRC1#GBPINR#Month End Rates#0#FwdOutrightAsk6")</f>
        <v>99.124499999999998</v>
      </c>
      <c r="G8" s="64">
        <f t="array" ref="G8">RTD("tickerplantrtdserver",,"FWRC1#GBPINR#Month End Rates#0#FwdOutrightAsk7")</f>
        <v>99.496600000000001</v>
      </c>
      <c r="H8" s="64">
        <f t="array" ref="H8">RTD("tickerplantrtdserver",,"FWRC1#GBPINR#Month End Rates#0#FwdOutrightAsk8")</f>
        <v>99.877799999999993</v>
      </c>
      <c r="I8" s="64">
        <f t="array" ref="I8">RTD("tickerplantrtdserver",,"FWRC1#GBPINR#Month End Rates#0#FwdOutrightAsk9")</f>
        <v>100.20229999999999</v>
      </c>
      <c r="J8" s="64">
        <f t="array" ref="J8">RTD("tickerplantrtdserver",,"FWRC1#GBPINR#Month End Rates#0#FwdOutrightAsk10")</f>
        <v>100.5177</v>
      </c>
      <c r="K8" s="64">
        <f t="array" ref="K8">RTD("tickerplantrtdserver",,"FWRC1#GBPINR#Month End Rates#0#FwdOutrightAsk11")</f>
        <v>100.94110000000001</v>
      </c>
      <c r="L8" s="64">
        <f t="array" ref="L8">RTD("tickerplantrtdserver",,"FWRC1#GBPINR#Month End Rates#0#FwdOutrightAsk12")</f>
        <v>101.2829</v>
      </c>
      <c r="M8" s="64">
        <f t="array" ref="M8">RTD("tickerplantrtdserver",,"FWRC1#GBPINR#Month End Rates#0#FwdOutrightAsk13")</f>
        <v>101.63639999999999</v>
      </c>
      <c r="N8" s="64">
        <f t="array" ref="N8">RTD("tickerplantrtdserver",,"FWRC1#GBPINR#Month End Rates#0#FwdOutrightAsk14")</f>
        <v>101.9821</v>
      </c>
      <c r="O8" s="68">
        <f t="array" ref="O8">RTD("tickerplantrtdserver",,"FWRC1#GBPINR#Month End Rates#0#FwdOutrightAsk15")</f>
        <v>102.3146</v>
      </c>
    </row>
    <row r="9" spans="1:18" s="14" customFormat="1" x14ac:dyDescent="0.25">
      <c r="A9" s="162" t="s">
        <v>2</v>
      </c>
      <c r="B9" s="163"/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5"/>
    </row>
    <row r="10" spans="1:18" s="14" customFormat="1" x14ac:dyDescent="0.25">
      <c r="A10" s="158" t="s">
        <v>47</v>
      </c>
      <c r="B10" s="159"/>
      <c r="C10" s="65">
        <f t="array" ref="C10">RTD("tickerplantrtdserver",,"FWRC1#GBPINR#Month End Rates#0#Bid%2")</f>
        <v>2.5485000000000002</v>
      </c>
      <c r="D10" s="65">
        <f t="array" ref="D10">RTD("tickerplantrtdserver",,"FWRC1#GBPINR#Month End Rates#0#Bid%4")</f>
        <v>5.0187999999999997</v>
      </c>
      <c r="E10" s="65">
        <f t="array" ref="E10">RTD("tickerplantrtdserver",,"FWRC1#GBPINR#Month End Rates#0#Bid%5")</f>
        <v>3.6343000000000001</v>
      </c>
      <c r="F10" s="65">
        <f t="array" ref="F10">RTD("tickerplantrtdserver",,"FWRC1#GBPINR#Month End Rates#0#Bid%6")</f>
        <v>3.7395</v>
      </c>
      <c r="G10" s="65">
        <f t="array" ref="G10">RTD("tickerplantrtdserver",,"FWRC1#GBPINR#Month End Rates#0#Bid%7")</f>
        <v>4.0231000000000003</v>
      </c>
      <c r="H10" s="65">
        <f t="array" ref="H10">RTD("tickerplantrtdserver",,"FWRC1#GBPINR#Month End Rates#0#Bid%8")</f>
        <v>4.0510999999999999</v>
      </c>
      <c r="I10" s="65">
        <f t="array" ref="I10">RTD("tickerplantrtdserver",,"FWRC1#GBPINR#Month End Rates#0#Bid%9")</f>
        <v>4.0655000000000001</v>
      </c>
      <c r="J10" s="65">
        <f t="array" ref="J10">RTD("tickerplantrtdserver",,"FWRC1#GBPINR#Month End Rates#0#Bid%10")</f>
        <v>4.0773000000000001</v>
      </c>
      <c r="K10" s="65">
        <f t="array" ref="K10">RTD("tickerplantrtdserver",,"FWRC1#GBPINR#Month End Rates#0#Bid%11")</f>
        <v>4.1737000000000002</v>
      </c>
      <c r="L10" s="65">
        <f t="array" ref="L10">RTD("tickerplantrtdserver",,"FWRC1#GBPINR#Month End Rates#0#Bid%12")</f>
        <v>4.1759000000000004</v>
      </c>
      <c r="M10" s="65">
        <f t="array" ref="M10">RTD("tickerplantrtdserver",,"FWRC1#GBPINR#Month End Rates#0#Bid%13")</f>
        <v>4.1817000000000002</v>
      </c>
      <c r="N10" s="65">
        <f t="array" ref="N10">RTD("tickerplantrtdserver",,"FWRC1#GBPINR#Month End Rates#0#Bid%14")</f>
        <v>4.1883999999999997</v>
      </c>
      <c r="O10" s="67">
        <f t="array" ref="O10">RTD("tickerplantrtdserver",,"FWRC1#GBPINR#Month End Rates#0#Bid%15")</f>
        <v>4.1797000000000004</v>
      </c>
    </row>
    <row r="11" spans="1:18" s="14" customFormat="1" ht="15.75" thickBot="1" x14ac:dyDescent="0.3">
      <c r="A11" s="160" t="s">
        <v>48</v>
      </c>
      <c r="B11" s="161"/>
      <c r="C11" s="69">
        <f t="array" ref="C11">RTD("tickerplantrtdserver",,"FWRC1#GBPINR#Month End Rates#0#Ask%2")</f>
        <v>5.1566999999999998</v>
      </c>
      <c r="D11" s="69">
        <f t="array" ref="D11">RTD("tickerplantrtdserver",,"FWRC1#GBPINR#Month End Rates#0#Ask%4")</f>
        <v>5.4759000000000002</v>
      </c>
      <c r="E11" s="69">
        <f t="array" ref="E11">RTD("tickerplantrtdserver",,"FWRC1#GBPINR#Month End Rates#0#Ask%5")</f>
        <v>3.8111000000000002</v>
      </c>
      <c r="F11" s="69">
        <f t="array" ref="F11">RTD("tickerplantrtdserver",,"FWRC1#GBPINR#Month End Rates#0#Ask%6")</f>
        <v>3.8671000000000002</v>
      </c>
      <c r="G11" s="69">
        <f t="array" ref="G11">RTD("tickerplantrtdserver",,"FWRC1#GBPINR#Month End Rates#0#Ask%7")</f>
        <v>4.1288999999999998</v>
      </c>
      <c r="H11" s="69">
        <f t="array" ref="H11">RTD("tickerplantrtdserver",,"FWRC1#GBPINR#Month End Rates#0#Ask%8")</f>
        <v>4.1368</v>
      </c>
      <c r="I11" s="69">
        <f t="array" ref="I11">RTD("tickerplantrtdserver",,"FWRC1#GBPINR#Month End Rates#0#Ask%9")</f>
        <v>4.1394000000000002</v>
      </c>
      <c r="J11" s="69">
        <f t="array" ref="J11">RTD("tickerplantrtdserver",,"FWRC1#GBPINR#Month End Rates#0#Ask%10")</f>
        <v>4.1455000000000002</v>
      </c>
      <c r="K11" s="69">
        <f t="array" ref="K11">RTD("tickerplantrtdserver",,"FWRC1#GBPINR#Month End Rates#0#Ask%11")</f>
        <v>4.2363999999999997</v>
      </c>
      <c r="L11" s="69">
        <f t="array" ref="L11">RTD("tickerplantrtdserver",,"FWRC1#GBPINR#Month End Rates#0#Ask%12")</f>
        <v>4.2352999999999996</v>
      </c>
      <c r="M11" s="69">
        <f t="array" ref="M11">RTD("tickerplantrtdserver",,"FWRC1#GBPINR#Month End Rates#0#Ask%13")</f>
        <v>4.2350000000000003</v>
      </c>
      <c r="N11" s="69">
        <f t="array" ref="N11">RTD("tickerplantrtdserver",,"FWRC1#GBPINR#Month End Rates#0#Ask%14")</f>
        <v>4.2388000000000003</v>
      </c>
      <c r="O11" s="70">
        <f t="array" ref="O11">RTD("tickerplantrtdserver",,"FWRC1#GBPINR#Month End Rates#0#Ask%15")</f>
        <v>4.2278000000000002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21"/>
      <c r="C13" s="21"/>
      <c r="D13" s="58"/>
      <c r="E13" s="21"/>
      <c r="F13" s="21"/>
      <c r="G13" s="21"/>
      <c r="H13" s="32"/>
      <c r="I13" s="32"/>
      <c r="J13" s="32"/>
      <c r="L13" s="31"/>
      <c r="M13" s="31"/>
      <c r="N13" s="31"/>
      <c r="Q13" s="23"/>
      <c r="R13" s="23"/>
    </row>
    <row r="14" spans="1:18" s="14" customFormat="1" x14ac:dyDescent="0.25">
      <c r="A14" s="13"/>
      <c r="B14" s="21"/>
      <c r="C14" s="21"/>
      <c r="D14" s="58"/>
      <c r="E14" s="21"/>
      <c r="F14" s="21"/>
      <c r="G14" s="21"/>
      <c r="H14" s="32"/>
      <c r="I14" s="32"/>
      <c r="J14" s="32"/>
      <c r="L14" s="31"/>
      <c r="M14" s="31"/>
      <c r="N14" s="31"/>
      <c r="Q14" s="23"/>
      <c r="R14" s="23"/>
    </row>
    <row r="15" spans="1:18" s="14" customFormat="1" x14ac:dyDescent="0.25">
      <c r="A15" s="13"/>
      <c r="B15" s="21"/>
      <c r="C15" s="21"/>
      <c r="D15" s="58"/>
      <c r="E15" s="21"/>
      <c r="F15" s="21"/>
      <c r="G15" s="21"/>
      <c r="H15" s="32"/>
      <c r="I15" s="32"/>
      <c r="J15" s="32"/>
      <c r="L15" s="31"/>
      <c r="M15" s="31"/>
      <c r="N15" s="31"/>
      <c r="Q15" s="23"/>
      <c r="R15" s="23"/>
    </row>
    <row r="16" spans="1:18" s="14" customFormat="1" x14ac:dyDescent="0.25">
      <c r="A16" s="13"/>
      <c r="B16" s="21"/>
      <c r="C16" s="21"/>
      <c r="D16" s="58"/>
      <c r="E16" s="21"/>
      <c r="F16" s="21"/>
      <c r="G16" s="21"/>
      <c r="H16" s="32"/>
      <c r="I16" s="32"/>
      <c r="J16" s="32"/>
      <c r="L16" s="31"/>
      <c r="M16" s="31"/>
      <c r="N16" s="31"/>
      <c r="Q16" s="23"/>
      <c r="R16" s="23"/>
    </row>
    <row r="17" spans="1:19" s="14" customFormat="1" x14ac:dyDescent="0.25">
      <c r="A17" s="13"/>
      <c r="B17" s="21"/>
      <c r="C17" s="21"/>
      <c r="D17" s="58"/>
      <c r="E17" s="21"/>
      <c r="F17" s="21"/>
      <c r="G17" s="21"/>
      <c r="H17" s="32"/>
      <c r="I17" s="32"/>
      <c r="J17" s="32"/>
      <c r="L17" s="31"/>
      <c r="M17" s="31"/>
      <c r="N17" s="31"/>
      <c r="Q17" s="23"/>
      <c r="R17" s="23"/>
    </row>
    <row r="18" spans="1:19" s="14" customFormat="1" x14ac:dyDescent="0.25">
      <c r="A18" s="13"/>
      <c r="B18" s="21"/>
      <c r="C18" s="21"/>
      <c r="D18" s="58"/>
      <c r="E18" s="21"/>
      <c r="F18" s="21"/>
      <c r="G18" s="21"/>
      <c r="H18" s="32"/>
      <c r="I18" s="32"/>
      <c r="J18" s="32"/>
      <c r="L18" s="31"/>
      <c r="M18" s="31"/>
      <c r="N18" s="31"/>
      <c r="Q18" s="23"/>
      <c r="R18" s="23"/>
    </row>
    <row r="19" spans="1:19" s="14" customFormat="1" x14ac:dyDescent="0.25">
      <c r="A19" s="13"/>
      <c r="B19" s="21"/>
      <c r="C19" s="21"/>
      <c r="D19" s="58"/>
      <c r="E19" s="21"/>
      <c r="F19" s="21"/>
      <c r="G19" s="21"/>
      <c r="H19" s="32"/>
      <c r="I19" s="32"/>
      <c r="J19" s="32"/>
      <c r="L19" s="31"/>
      <c r="M19" s="31"/>
      <c r="N19" s="31"/>
      <c r="Q19" s="23"/>
      <c r="R19" s="23"/>
    </row>
    <row r="20" spans="1:19" s="14" customFormat="1" x14ac:dyDescent="0.25">
      <c r="A20" s="13"/>
      <c r="B20" s="21"/>
      <c r="C20" s="21"/>
      <c r="D20" s="58"/>
      <c r="E20" s="21"/>
      <c r="F20" s="21"/>
      <c r="G20" s="21"/>
      <c r="H20" s="32"/>
      <c r="I20" s="32"/>
      <c r="J20" s="32"/>
      <c r="L20" s="31"/>
      <c r="M20" s="31"/>
      <c r="N20" s="31"/>
      <c r="Q20" s="23"/>
      <c r="R20" s="23"/>
    </row>
    <row r="21" spans="1:19" x14ac:dyDescent="0.25">
      <c r="A21" s="13"/>
      <c r="B21" s="21"/>
      <c r="C21" s="21"/>
      <c r="D21" s="58"/>
      <c r="E21" s="21"/>
      <c r="F21" s="21"/>
      <c r="G21" s="21"/>
      <c r="H21" s="32"/>
      <c r="I21" s="32"/>
      <c r="J21" s="32"/>
      <c r="K21" s="14"/>
      <c r="L21" s="31"/>
      <c r="M21" s="31"/>
      <c r="N21" s="31"/>
      <c r="O21" s="14"/>
      <c r="P21" s="14"/>
      <c r="Q21" s="23"/>
      <c r="R21" s="23"/>
      <c r="S21" s="14"/>
    </row>
    <row r="22" spans="1:19" x14ac:dyDescent="0.25">
      <c r="A22" s="13"/>
      <c r="B22" s="21"/>
      <c r="C22" s="21"/>
      <c r="D22" s="58"/>
      <c r="E22" s="21"/>
      <c r="F22" s="21"/>
      <c r="G22" s="21"/>
      <c r="H22" s="32"/>
      <c r="I22" s="32"/>
      <c r="J22" s="32"/>
      <c r="K22" s="14"/>
      <c r="L22" s="31"/>
      <c r="M22" s="31"/>
      <c r="N22" s="31"/>
      <c r="O22" s="14"/>
      <c r="P22" s="14"/>
      <c r="Q22" s="23"/>
      <c r="R22" s="23"/>
      <c r="S22" s="14"/>
    </row>
    <row r="23" spans="1:19" x14ac:dyDescent="0.25">
      <c r="A23" s="13"/>
      <c r="B23" s="21"/>
      <c r="C23" s="21"/>
      <c r="D23" s="58"/>
      <c r="E23" s="21"/>
      <c r="F23" s="21"/>
      <c r="G23" s="21"/>
      <c r="H23" s="32"/>
      <c r="I23" s="32"/>
      <c r="J23" s="32"/>
      <c r="K23" s="14"/>
      <c r="L23" s="31"/>
      <c r="M23" s="31"/>
      <c r="N23" s="31"/>
      <c r="O23" s="14"/>
      <c r="P23" s="14"/>
      <c r="Q23" s="23"/>
      <c r="R23" s="23"/>
      <c r="S23" s="14"/>
    </row>
    <row r="24" spans="1:19" s="2" customFormat="1" x14ac:dyDescent="0.25">
      <c r="A24" s="13"/>
      <c r="B24" s="21"/>
      <c r="C24" s="21"/>
      <c r="D24" s="58"/>
      <c r="E24" s="21"/>
      <c r="F24" s="21"/>
      <c r="G24" s="21"/>
      <c r="H24" s="32"/>
      <c r="I24" s="32"/>
      <c r="J24" s="32"/>
      <c r="K24" s="14"/>
      <c r="L24" s="31"/>
      <c r="M24" s="31"/>
      <c r="N24" s="31"/>
      <c r="O24" s="14"/>
      <c r="P24" s="14"/>
      <c r="Q24" s="23"/>
      <c r="R24" s="23"/>
      <c r="S24" s="14"/>
    </row>
    <row r="25" spans="1:19" x14ac:dyDescent="0.25">
      <c r="A25" s="13"/>
      <c r="B25" s="21"/>
      <c r="C25" s="21"/>
      <c r="D25" s="58"/>
      <c r="E25" s="21"/>
      <c r="F25" s="21"/>
      <c r="G25" s="21"/>
      <c r="H25" s="32"/>
      <c r="I25" s="32"/>
      <c r="J25" s="32"/>
      <c r="K25" s="14"/>
      <c r="L25" s="31"/>
      <c r="M25" s="31"/>
      <c r="N25" s="31"/>
      <c r="O25" s="14"/>
      <c r="P25" s="14"/>
      <c r="Q25" s="23"/>
      <c r="R25" s="23"/>
      <c r="S25" s="14"/>
    </row>
    <row r="26" spans="1:19" x14ac:dyDescent="0.25">
      <c r="A26" s="13"/>
      <c r="B26" s="21"/>
      <c r="C26" s="21"/>
      <c r="D26" s="58"/>
      <c r="E26" s="21"/>
      <c r="F26" s="21"/>
      <c r="G26" s="21"/>
      <c r="H26" s="32"/>
      <c r="I26" s="32"/>
      <c r="J26" s="32"/>
      <c r="K26" s="14"/>
      <c r="L26" s="31"/>
      <c r="M26" s="31"/>
      <c r="N26" s="31"/>
      <c r="O26" s="14"/>
      <c r="P26" s="14"/>
      <c r="Q26" s="23"/>
      <c r="R26" s="23"/>
      <c r="S26" s="14"/>
    </row>
    <row r="27" spans="1:19" x14ac:dyDescent="0.25">
      <c r="A27" s="13"/>
      <c r="B27" s="21"/>
      <c r="C27" s="21"/>
      <c r="D27" s="58"/>
      <c r="E27" s="21"/>
      <c r="F27" s="21"/>
      <c r="G27" s="21"/>
      <c r="H27" s="32"/>
      <c r="I27" s="32"/>
      <c r="J27" s="32"/>
      <c r="K27" s="14"/>
      <c r="L27" s="31"/>
      <c r="M27" s="31"/>
      <c r="N27" s="31"/>
      <c r="O27" s="14"/>
      <c r="P27" s="14"/>
      <c r="Q27" s="23"/>
      <c r="R27" s="23"/>
      <c r="S27" s="14"/>
    </row>
    <row r="28" spans="1:19" x14ac:dyDescent="0.25">
      <c r="A28" s="13"/>
      <c r="B28" s="21"/>
      <c r="C28" s="21"/>
      <c r="D28" s="58"/>
      <c r="E28" s="21"/>
      <c r="F28" s="21"/>
      <c r="G28" s="21"/>
      <c r="H28" s="32"/>
      <c r="I28" s="32"/>
      <c r="J28" s="32"/>
      <c r="K28" s="14"/>
      <c r="L28" s="31"/>
      <c r="M28" s="31"/>
      <c r="N28" s="31"/>
      <c r="O28" s="14"/>
      <c r="P28" s="14"/>
      <c r="Q28" s="23"/>
      <c r="R28" s="23"/>
      <c r="S28" s="14"/>
    </row>
    <row r="29" spans="1:19" x14ac:dyDescent="0.25">
      <c r="A29" s="13"/>
      <c r="B29" s="21"/>
      <c r="C29" s="21"/>
      <c r="D29" s="58"/>
      <c r="E29" s="21"/>
      <c r="F29" s="21"/>
      <c r="G29" s="21"/>
      <c r="H29" s="32"/>
      <c r="I29" s="32"/>
      <c r="J29" s="32"/>
      <c r="K29" s="14"/>
      <c r="L29" s="31"/>
      <c r="M29" s="31"/>
      <c r="N29" s="31"/>
      <c r="O29" s="14"/>
      <c r="P29" s="14"/>
      <c r="Q29" s="23"/>
      <c r="R29" s="23"/>
      <c r="S29" s="14"/>
    </row>
    <row r="30" spans="1:19" x14ac:dyDescent="0.25">
      <c r="A30" s="13"/>
      <c r="B30" s="21"/>
      <c r="C30" s="21"/>
      <c r="D30" s="58"/>
      <c r="E30" s="21"/>
      <c r="F30" s="21"/>
      <c r="G30" s="21"/>
      <c r="H30" s="32"/>
      <c r="I30" s="32"/>
      <c r="J30" s="32"/>
      <c r="K30" s="14"/>
      <c r="L30" s="31"/>
      <c r="M30" s="31"/>
      <c r="N30" s="31"/>
      <c r="O30" s="14"/>
      <c r="P30" s="14"/>
      <c r="Q30" s="23"/>
      <c r="R30" s="23"/>
      <c r="S30" s="14"/>
    </row>
    <row r="31" spans="1:19" x14ac:dyDescent="0.25">
      <c r="A31" s="13"/>
      <c r="B31" s="21"/>
      <c r="C31" s="21"/>
      <c r="D31" s="58"/>
      <c r="E31" s="21"/>
      <c r="F31" s="21"/>
      <c r="G31" s="21"/>
      <c r="H31" s="32"/>
      <c r="I31" s="32"/>
      <c r="J31" s="32"/>
      <c r="K31" s="14"/>
      <c r="L31" s="31"/>
      <c r="M31" s="31"/>
      <c r="N31" s="31"/>
      <c r="O31" s="14"/>
      <c r="P31" s="14"/>
      <c r="Q31" s="23"/>
      <c r="R31" s="23"/>
      <c r="S31" s="14"/>
    </row>
    <row r="32" spans="1:19" x14ac:dyDescent="0.25">
      <c r="A32" s="13"/>
      <c r="B32" s="21"/>
      <c r="C32" s="21"/>
      <c r="D32" s="58"/>
      <c r="E32" s="21"/>
      <c r="F32" s="21"/>
      <c r="G32" s="21"/>
      <c r="H32" s="32"/>
      <c r="I32" s="32"/>
      <c r="J32" s="32"/>
      <c r="K32" s="14"/>
      <c r="L32" s="31"/>
      <c r="M32" s="31"/>
      <c r="N32" s="31"/>
      <c r="O32" s="14"/>
      <c r="P32" s="14"/>
      <c r="Q32" s="23"/>
      <c r="R32" s="23"/>
      <c r="S32" s="14"/>
    </row>
    <row r="33" spans="1:19" x14ac:dyDescent="0.25">
      <c r="A33" s="13"/>
      <c r="B33" s="21"/>
      <c r="C33" s="21"/>
      <c r="D33" s="58"/>
      <c r="E33" s="21"/>
      <c r="F33" s="21"/>
      <c r="G33" s="21"/>
      <c r="H33" s="32"/>
      <c r="I33" s="32"/>
      <c r="J33" s="32"/>
      <c r="K33" s="14"/>
      <c r="L33" s="31"/>
      <c r="M33" s="31"/>
      <c r="N33" s="31"/>
      <c r="O33" s="14"/>
      <c r="P33" s="14"/>
      <c r="Q33" s="23"/>
      <c r="R33" s="23"/>
      <c r="S33" s="14"/>
    </row>
    <row r="34" spans="1:19" x14ac:dyDescent="0.25">
      <c r="A34" s="13"/>
      <c r="B34" s="21"/>
      <c r="C34" s="21"/>
      <c r="D34" s="58"/>
      <c r="E34" s="21"/>
      <c r="F34" s="21"/>
      <c r="G34" s="21"/>
      <c r="H34" s="32"/>
      <c r="I34" s="32"/>
      <c r="J34" s="32"/>
      <c r="K34" s="14"/>
      <c r="L34" s="31"/>
      <c r="M34" s="31"/>
      <c r="N34" s="31"/>
      <c r="O34" s="14"/>
      <c r="P34" s="14"/>
      <c r="Q34" s="23"/>
      <c r="R34" s="23"/>
      <c r="S34" s="14"/>
    </row>
    <row r="35" spans="1:19" x14ac:dyDescent="0.25">
      <c r="A35" s="13"/>
      <c r="B35" s="21"/>
      <c r="C35" s="21"/>
      <c r="D35" s="58"/>
      <c r="E35" s="21"/>
      <c r="F35" s="21"/>
      <c r="G35" s="21"/>
      <c r="H35" s="32"/>
      <c r="I35" s="32"/>
      <c r="J35" s="32"/>
      <c r="K35" s="14"/>
      <c r="L35" s="31"/>
      <c r="M35" s="31"/>
      <c r="N35" s="31"/>
      <c r="O35" s="14"/>
      <c r="P35" s="14"/>
      <c r="Q35" s="23"/>
      <c r="R35" s="23"/>
      <c r="S35" s="14"/>
    </row>
    <row r="36" spans="1:19" x14ac:dyDescent="0.25">
      <c r="A36" s="13"/>
      <c r="B36" s="21"/>
      <c r="C36" s="21"/>
      <c r="D36" s="58"/>
      <c r="E36" s="21"/>
      <c r="F36" s="21"/>
      <c r="G36" s="21"/>
      <c r="H36" s="32"/>
      <c r="I36" s="32"/>
      <c r="J36" s="32"/>
      <c r="K36" s="14"/>
      <c r="L36" s="31"/>
      <c r="M36" s="31"/>
      <c r="N36" s="31"/>
      <c r="O36" s="14"/>
      <c r="P36" s="14"/>
      <c r="Q36" s="23"/>
      <c r="R36" s="23"/>
      <c r="S36" s="14"/>
    </row>
    <row r="37" spans="1:19" x14ac:dyDescent="0.25">
      <c r="A37" s="13"/>
      <c r="B37" s="21"/>
      <c r="C37" s="21"/>
      <c r="D37" s="58"/>
      <c r="E37" s="21"/>
      <c r="F37" s="21"/>
      <c r="G37" s="21"/>
      <c r="H37" s="32"/>
      <c r="I37" s="32"/>
      <c r="J37" s="32"/>
      <c r="K37" s="14"/>
      <c r="L37" s="31"/>
      <c r="M37" s="31"/>
      <c r="N37" s="31"/>
      <c r="O37" s="14"/>
      <c r="P37" s="14"/>
      <c r="Q37" s="23"/>
      <c r="R37" s="23"/>
      <c r="S37" s="14"/>
    </row>
    <row r="38" spans="1:19" x14ac:dyDescent="0.25">
      <c r="A38" s="13"/>
      <c r="B38" s="21"/>
      <c r="C38" s="21"/>
      <c r="D38" s="58"/>
      <c r="E38" s="21"/>
      <c r="F38" s="21"/>
      <c r="G38" s="21"/>
      <c r="H38" s="32"/>
      <c r="I38" s="32"/>
      <c r="J38" s="32"/>
      <c r="K38" s="14"/>
      <c r="L38" s="31"/>
      <c r="M38" s="31"/>
      <c r="N38" s="31"/>
      <c r="O38" s="14"/>
      <c r="P38" s="14"/>
      <c r="Q38" s="23"/>
      <c r="R38" s="23"/>
      <c r="S38" s="14"/>
    </row>
    <row r="39" spans="1:19" x14ac:dyDescent="0.25">
      <c r="A39" s="13"/>
      <c r="B39" s="21"/>
      <c r="C39" s="21"/>
      <c r="D39" s="58"/>
      <c r="E39" s="21"/>
      <c r="F39" s="21"/>
      <c r="G39" s="21"/>
      <c r="H39" s="32"/>
      <c r="I39" s="32"/>
      <c r="J39" s="32"/>
      <c r="K39" s="14"/>
      <c r="L39" s="31"/>
      <c r="M39" s="31"/>
      <c r="N39" s="31"/>
      <c r="O39" s="14"/>
      <c r="P39" s="14"/>
      <c r="Q39" s="23"/>
      <c r="R39" s="23"/>
      <c r="S39" s="14"/>
    </row>
  </sheetData>
  <mergeCells count="14">
    <mergeCell ref="A1:B1"/>
    <mergeCell ref="A2:B2"/>
    <mergeCell ref="A3:B3"/>
    <mergeCell ref="C3:O3"/>
    <mergeCell ref="A4:B4"/>
    <mergeCell ref="A9:B9"/>
    <mergeCell ref="C9:O9"/>
    <mergeCell ref="A10:B10"/>
    <mergeCell ref="A11:B11"/>
    <mergeCell ref="A5:B5"/>
    <mergeCell ref="A6:B6"/>
    <mergeCell ref="C6:O6"/>
    <mergeCell ref="A7:B7"/>
    <mergeCell ref="A8:B8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36"/>
  <sheetViews>
    <sheetView workbookViewId="0">
      <selection sqref="A1:B1"/>
    </sheetView>
  </sheetViews>
  <sheetFormatPr defaultColWidth="8.85546875" defaultRowHeight="15" x14ac:dyDescent="0.25"/>
  <cols>
    <col min="4" max="4" width="9.28515625" bestFit="1" customWidth="1"/>
    <col min="5" max="5" width="9" bestFit="1" customWidth="1"/>
    <col min="6" max="6" width="9.42578125" bestFit="1" customWidth="1"/>
    <col min="7" max="7" width="9" bestFit="1" customWidth="1"/>
    <col min="8" max="8" width="9.28515625" bestFit="1" customWidth="1"/>
    <col min="9" max="9" width="9.42578125" bestFit="1" customWidth="1"/>
    <col min="10" max="10" width="9.28515625" bestFit="1" customWidth="1"/>
    <col min="11" max="11" width="9.140625" bestFit="1" customWidth="1"/>
    <col min="12" max="12" width="9" bestFit="1" customWidth="1"/>
    <col min="13" max="13" width="9.7109375" bestFit="1" customWidth="1"/>
    <col min="14" max="14" width="9.28515625" bestFit="1" customWidth="1"/>
    <col min="15" max="15" width="9.4257812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66" t="s">
        <v>6</v>
      </c>
      <c r="B1" s="167"/>
      <c r="C1" s="76" t="str">
        <f t="array" ref="C1">RTD("tickerplantrtdserver",,"FWRC1#JPYINR#Month End Rates#0#S#Desc.2")</f>
        <v>CASH/SPOT</v>
      </c>
      <c r="D1" s="76" t="str">
        <f t="array" ref="D1">RTD("tickerplantrtdserver",,"FWRC1#JPYINR#Month End Rates#0#S#Desc.4")</f>
        <v>AUG-2020</v>
      </c>
      <c r="E1" s="76" t="str">
        <f t="array" ref="E1">RTD("tickerplantrtdserver",,"FWRC1#JPYINR#Month End Rates#0#S#Desc.5")</f>
        <v>SEP-2020</v>
      </c>
      <c r="F1" s="76" t="str">
        <f t="array" ref="F1">RTD("tickerplantrtdserver",,"FWRC1#JPYINR#Month End Rates#0#S#Desc.6")</f>
        <v>OCT-2020</v>
      </c>
      <c r="G1" s="76" t="str">
        <f t="array" ref="G1">RTD("tickerplantrtdserver",,"FWRC1#JPYINR#Month End Rates#0#S#Desc.7")</f>
        <v>NOV-2020</v>
      </c>
      <c r="H1" s="76" t="str">
        <f t="array" ref="H1">RTD("tickerplantrtdserver",,"FWRC1#JPYINR#Month End Rates#0#S#Desc.8")</f>
        <v>DEC-2020</v>
      </c>
      <c r="I1" s="76" t="str">
        <f t="array" ref="I1">RTD("tickerplantrtdserver",,"FWRC1#JPYINR#Month End Rates#0#S#Desc.9")</f>
        <v>JAN-2021</v>
      </c>
      <c r="J1" s="76" t="str">
        <f t="array" ref="J1">RTD("tickerplantrtdserver",,"FWRC1#JPYINR#Month End Rates#0#S#Desc.10")</f>
        <v>FEB-2021</v>
      </c>
      <c r="K1" s="76" t="str">
        <f t="array" ref="K1">RTD("tickerplantrtdserver",,"FWRC1#JPYINR#Month End Rates#0#S#Desc.11")</f>
        <v>MAR-2021</v>
      </c>
      <c r="L1" s="76" t="str">
        <f t="array" ref="L1">RTD("tickerplantrtdserver",,"FWRC1#JPYINR#Month End Rates#0#S#Desc.12")</f>
        <v>APR-2021</v>
      </c>
      <c r="M1" s="76" t="str">
        <f t="array" ref="M1">RTD("tickerplantrtdserver",,"FWRC1#JPYINR#Month End Rates#0#S#Desc.13")</f>
        <v>MAY-2021</v>
      </c>
      <c r="N1" s="76" t="str">
        <f t="array" ref="N1">RTD("tickerplantrtdserver",,"FWRC1#JPYINR#Month End Rates#0#S#Desc.14")</f>
        <v>JUN-2021</v>
      </c>
      <c r="O1" s="77" t="str">
        <f t="array" ref="O1">RTD("tickerplantrtdserver",,"FWRC1#JPYINR#Month End Rates#0#S#Desc.15")</f>
        <v>JUL-2021</v>
      </c>
    </row>
    <row r="2" spans="1:18" s="14" customFormat="1" ht="15.75" customHeight="1" x14ac:dyDescent="0.25">
      <c r="A2" s="158" t="s">
        <v>5</v>
      </c>
      <c r="B2" s="159"/>
      <c r="C2" s="71" t="str">
        <f t="array" ref="C2">RTD("tickerplantrtdserver",,"FWRC1#JPYINR#Month End Rates#0#S#PillarDate2")</f>
        <v>20-Aug-2020</v>
      </c>
      <c r="D2" s="71" t="str">
        <f t="array" ref="D2">RTD("tickerplantrtdserver",,"FWRC1#JPYINR#Month End Rates#0#S#PillarDate4")</f>
        <v>31-Aug-2020</v>
      </c>
      <c r="E2" s="71" t="str">
        <f t="array" ref="E2">RTD("tickerplantrtdserver",,"FWRC1#JPYINR#Month End Rates#0#S#PillarDate5")</f>
        <v>30-Sep-2020</v>
      </c>
      <c r="F2" s="71" t="str">
        <f t="array" ref="F2">RTD("tickerplantrtdserver",,"FWRC1#JPYINR#Month End Rates#0#S#PillarDate6")</f>
        <v>29-Oct-2020</v>
      </c>
      <c r="G2" s="71" t="str">
        <f t="array" ref="G2">RTD("tickerplantrtdserver",,"FWRC1#JPYINR#Month End Rates#0#S#PillarDate7")</f>
        <v>27-Nov-2020</v>
      </c>
      <c r="H2" s="71" t="str">
        <f t="array" ref="H2">RTD("tickerplantrtdserver",,"FWRC1#JPYINR#Month End Rates#0#S#PillarDate8")</f>
        <v>31-Dec-2020</v>
      </c>
      <c r="I2" s="71" t="str">
        <f t="array" ref="I2">RTD("tickerplantrtdserver",,"FWRC1#JPYINR#Month End Rates#0#S#PillarDate9")</f>
        <v>29-Jan-2021</v>
      </c>
      <c r="J2" s="71" t="str">
        <f t="array" ref="J2">RTD("tickerplantrtdserver",,"FWRC1#JPYINR#Month End Rates#0#S#PillarDate10")</f>
        <v>26-Feb-2021</v>
      </c>
      <c r="K2" s="71" t="str">
        <f t="array" ref="K2">RTD("tickerplantrtdserver",,"FWRC1#JPYINR#Month End Rates#0#S#PillarDate11")</f>
        <v>31-Mar-2021</v>
      </c>
      <c r="L2" s="71" t="str">
        <f t="array" ref="L2">RTD("tickerplantrtdserver",,"FWRC1#JPYINR#Month End Rates#0#S#PillarDate12")</f>
        <v>30-Apr-2021</v>
      </c>
      <c r="M2" s="71" t="str">
        <f t="array" ref="M2">RTD("tickerplantrtdserver",,"FWRC1#JPYINR#Month End Rates#0#S#PillarDate13")</f>
        <v>31-May-2021</v>
      </c>
      <c r="N2" s="71" t="str">
        <f t="array" ref="N2">RTD("tickerplantrtdserver",,"FWRC1#JPYINR#Month End Rates#0#S#PillarDate14")</f>
        <v>30-Jun-2021</v>
      </c>
      <c r="O2" s="75" t="str">
        <f t="array" ref="O2">RTD("tickerplantrtdserver",,"FWRC1#JPYINR#Month End Rates#0#S#PillarDate15")</f>
        <v>30-Jul-2021</v>
      </c>
      <c r="P2" s="30"/>
    </row>
    <row r="3" spans="1:18" s="14" customFormat="1" x14ac:dyDescent="0.25">
      <c r="A3" s="162" t="s">
        <v>4</v>
      </c>
      <c r="B3" s="163"/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5"/>
      <c r="P3" s="15"/>
    </row>
    <row r="4" spans="1:18" s="14" customFormat="1" x14ac:dyDescent="0.25">
      <c r="A4" s="158" t="s">
        <v>47</v>
      </c>
      <c r="B4" s="159"/>
      <c r="C4" s="65">
        <f>RTD("tickerplantrtdserver",,"FWRC1#JPYINR#Month End Rates#0#BidPrice2")/100</f>
        <v>0.98019400000000001</v>
      </c>
      <c r="D4" s="65">
        <f>RTD("tickerplantrtdserver",,"FWRC1#JPYINR#Month End Rates#0#BidPrice4")/100</f>
        <v>7.7429999999999994</v>
      </c>
      <c r="E4" s="65">
        <f>RTD("tickerplantrtdserver",,"FWRC1#JPYINR#Month End Rates#0#BidPrice5")/100</f>
        <v>30.817375000000002</v>
      </c>
      <c r="F4" s="65">
        <f>RTD("tickerplantrtdserver",,"FWRC1#JPYINR#Month End Rates#0#BidPrice6")/100</f>
        <v>53.655349999999999</v>
      </c>
      <c r="G4" s="65">
        <f>RTD("tickerplantrtdserver",,"FWRC1#JPYINR#Month End Rates#0#BidPrice7")/100</f>
        <v>82.179874999999996</v>
      </c>
      <c r="H4" s="65">
        <f>RTD("tickerplantrtdserver",,"FWRC1#JPYINR#Month End Rates#0#BidPrice8")/100</f>
        <v>114.031425</v>
      </c>
      <c r="I4" s="65">
        <f>RTD("tickerplantrtdserver",,"FWRC1#JPYINR#Month End Rates#0#BidPrice9")/100</f>
        <v>139.97924999999998</v>
      </c>
      <c r="J4" s="65">
        <f>RTD("tickerplantrtdserver",,"FWRC1#JPYINR#Month End Rates#0#BidPrice10")/100</f>
        <v>164.31165000000001</v>
      </c>
      <c r="K4" s="65">
        <f>RTD("tickerplantrtdserver",,"FWRC1#JPYINR#Month End Rates#0#BidPrice11")/100</f>
        <v>197.878175</v>
      </c>
      <c r="L4" s="65">
        <f>RTD("tickerplantrtdserver",,"FWRC1#JPYINR#Month End Rates#0#BidPrice12")/100</f>
        <v>224.90134999999998</v>
      </c>
      <c r="M4" s="65">
        <f>RTD("tickerplantrtdserver",,"FWRC1#JPYINR#Month End Rates#0#BidPrice13")/100</f>
        <v>253.79855000000001</v>
      </c>
      <c r="N4" s="65">
        <f>RTD("tickerplantrtdserver",,"FWRC1#JPYINR#Month End Rates#0#BidPrice14")/100</f>
        <v>280.26702499999999</v>
      </c>
      <c r="O4" s="67">
        <f>RTD("tickerplantrtdserver",,"FWRC1#JPYINR#Month End Rates#0#BidPrice15")/100</f>
        <v>308.66865000000001</v>
      </c>
      <c r="P4" s="20"/>
    </row>
    <row r="5" spans="1:18" s="14" customFormat="1" x14ac:dyDescent="0.25">
      <c r="A5" s="158" t="s">
        <v>48</v>
      </c>
      <c r="B5" s="159"/>
      <c r="C5" s="65">
        <f>RTD("tickerplantrtdserver",,"FWRC1#JPYINR#Month End Rates#0#AskPrice2")/100</f>
        <v>2.0677919999999999</v>
      </c>
      <c r="D5" s="65">
        <f>RTD("tickerplantrtdserver",,"FWRC1#JPYINR#Month End Rates#0#AskPrice4")/100</f>
        <v>8.3809749999999994</v>
      </c>
      <c r="E5" s="65">
        <f>RTD("tickerplantrtdserver",,"FWRC1#JPYINR#Month End Rates#0#AskPrice5")/100</f>
        <v>32.171550000000003</v>
      </c>
      <c r="F5" s="65">
        <f>RTD("tickerplantrtdserver",,"FWRC1#JPYINR#Month End Rates#0#AskPrice6")/100</f>
        <v>55.206150000000001</v>
      </c>
      <c r="G5" s="65">
        <f>RTD("tickerplantrtdserver",,"FWRC1#JPYINR#Month End Rates#0#AskPrice7")/100</f>
        <v>84.600949999999997</v>
      </c>
      <c r="H5" s="65">
        <f>RTD("tickerplantrtdserver",,"FWRC1#JPYINR#Month End Rates#0#AskPrice8")/100</f>
        <v>116.58405</v>
      </c>
      <c r="I5" s="65">
        <f>RTD("tickerplantrtdserver",,"FWRC1#JPYINR#Month End Rates#0#AskPrice9")/100</f>
        <v>142.36852500000001</v>
      </c>
      <c r="J5" s="65">
        <f>RTD("tickerplantrtdserver",,"FWRC1#JPYINR#Month End Rates#0#AskPrice10")/100</f>
        <v>167.229175</v>
      </c>
      <c r="K5" s="65">
        <f>RTD("tickerplantrtdserver",,"FWRC1#JPYINR#Month End Rates#0#AskPrice11")/100</f>
        <v>200.89930000000001</v>
      </c>
      <c r="L5" s="65">
        <f>RTD("tickerplantrtdserver",,"FWRC1#JPYINR#Month End Rates#0#AskPrice12")/100</f>
        <v>227.96119999999999</v>
      </c>
      <c r="M5" s="65">
        <f>RTD("tickerplantrtdserver",,"FWRC1#JPYINR#Month End Rates#0#AskPrice13")/100</f>
        <v>256.29424999999998</v>
      </c>
      <c r="N5" s="65">
        <f>RTD("tickerplantrtdserver",,"FWRC1#JPYINR#Month End Rates#0#AskPrice14")/100</f>
        <v>284.37304999999998</v>
      </c>
      <c r="O5" s="67">
        <f>RTD("tickerplantrtdserver",,"FWRC1#JPYINR#Month End Rates#0#AskPrice15")/100</f>
        <v>311.20419999999996</v>
      </c>
      <c r="P5" s="20"/>
    </row>
    <row r="6" spans="1:18" s="14" customFormat="1" x14ac:dyDescent="0.25">
      <c r="A6" s="162" t="s">
        <v>3</v>
      </c>
      <c r="B6" s="163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5"/>
      <c r="P6" s="20"/>
    </row>
    <row r="7" spans="1:18" s="14" customFormat="1" x14ac:dyDescent="0.25">
      <c r="A7" s="158" t="s">
        <v>47</v>
      </c>
      <c r="B7" s="159"/>
      <c r="C7" s="64">
        <f t="array" ref="C7">RTD("tickerplantrtdserver",,"FWRC1#JPYINR#Month End Rates#0#FwdOutrightBid1")</f>
        <v>70.764300000000006</v>
      </c>
      <c r="D7" s="64">
        <f t="array" ref="D7">RTD("tickerplantrtdserver",,"FWRC1#JPYINR#Month End Rates#0#FwdOutrightBid4")</f>
        <v>70.862399999999994</v>
      </c>
      <c r="E7" s="64">
        <f t="array" ref="E7">RTD("tickerplantrtdserver",,"FWRC1#JPYINR#Month End Rates#0#FwdOutrightBid5")</f>
        <v>71.093199999999996</v>
      </c>
      <c r="F7" s="64">
        <f t="array" ref="F7">RTD("tickerplantrtdserver",,"FWRC1#JPYINR#Month End Rates#0#FwdOutrightBid6")</f>
        <v>71.321600000000004</v>
      </c>
      <c r="G7" s="64">
        <f t="array" ref="G7">RTD("tickerplantrtdserver",,"FWRC1#JPYINR#Month End Rates#0#FwdOutrightBid7")</f>
        <v>71.606800000000007</v>
      </c>
      <c r="H7" s="64">
        <f t="array" ref="H7">RTD("tickerplantrtdserver",,"FWRC1#JPYINR#Month End Rates#0#FwdOutrightBid8")</f>
        <v>71.925299999999993</v>
      </c>
      <c r="I7" s="64">
        <f t="array" ref="I7">RTD("tickerplantrtdserver",,"FWRC1#JPYINR#Month End Rates#0#FwdOutrightBid9")</f>
        <v>72.184799999999996</v>
      </c>
      <c r="J7" s="64">
        <f t="array" ref="J7">RTD("tickerplantrtdserver",,"FWRC1#JPYINR#Month End Rates#0#FwdOutrightBid10")</f>
        <v>72.428100000000001</v>
      </c>
      <c r="K7" s="64">
        <f t="array" ref="K7">RTD("tickerplantrtdserver",,"FWRC1#JPYINR#Month End Rates#0#FwdOutrightBid11")</f>
        <v>72.763800000000003</v>
      </c>
      <c r="L7" s="64">
        <f t="array" ref="L7">RTD("tickerplantrtdserver",,"FWRC1#JPYINR#Month End Rates#0#FwdOutrightBid12")</f>
        <v>73.034000000000006</v>
      </c>
      <c r="M7" s="64">
        <f t="array" ref="M7">RTD("tickerplantrtdserver",,"FWRC1#JPYINR#Month End Rates#0#FwdOutrightBid13")</f>
        <v>73.322999999999993</v>
      </c>
      <c r="N7" s="64">
        <f t="array" ref="N7">RTD("tickerplantrtdserver",,"FWRC1#JPYINR#Month End Rates#0#FwdOutrightBid14")</f>
        <v>73.587699999999998</v>
      </c>
      <c r="O7" s="68">
        <f t="array" ref="O7">RTD("tickerplantrtdserver",,"FWRC1#JPYINR#Month End Rates#0#FwdOutrightBid15")</f>
        <v>73.871700000000004</v>
      </c>
      <c r="P7" s="20"/>
    </row>
    <row r="8" spans="1:18" s="14" customFormat="1" x14ac:dyDescent="0.25">
      <c r="A8" s="158" t="s">
        <v>48</v>
      </c>
      <c r="B8" s="159"/>
      <c r="C8" s="64">
        <f t="array" ref="C8">RTD("tickerplantrtdserver",,"FWRC1#JPYINR#Month End Rates#0#FwdOutrightAsk1")</f>
        <v>70.785200000000003</v>
      </c>
      <c r="D8" s="64">
        <f t="array" ref="D8">RTD("tickerplantrtdserver",,"FWRC1#JPYINR#Month End Rates#0#FwdOutrightAsk4")</f>
        <v>70.878799999999998</v>
      </c>
      <c r="E8" s="64">
        <f t="array" ref="E8">RTD("tickerplantrtdserver",,"FWRC1#JPYINR#Month End Rates#0#FwdOutrightAsk5")</f>
        <v>71.116699999999994</v>
      </c>
      <c r="F8" s="64">
        <f t="array" ref="F8">RTD("tickerplantrtdserver",,"FWRC1#JPYINR#Month End Rates#0#FwdOutrightAsk6")</f>
        <v>71.347099999999998</v>
      </c>
      <c r="G8" s="64">
        <f t="array" ref="G8">RTD("tickerplantrtdserver",,"FWRC1#JPYINR#Month End Rates#0#FwdOutrightAsk7")</f>
        <v>71.641000000000005</v>
      </c>
      <c r="H8" s="64">
        <f t="array" ref="H8">RTD("tickerplantrtdserver",,"FWRC1#JPYINR#Month End Rates#0#FwdOutrightAsk8")</f>
        <v>71.960800000000006</v>
      </c>
      <c r="I8" s="64">
        <f t="array" ref="I8">RTD("tickerplantrtdserver",,"FWRC1#JPYINR#Month End Rates#0#FwdOutrightAsk9")</f>
        <v>72.218699999999998</v>
      </c>
      <c r="J8" s="64">
        <f t="array" ref="J8">RTD("tickerplantrtdserver",,"FWRC1#JPYINR#Month End Rates#0#FwdOutrightAsk10")</f>
        <v>72.467299999999994</v>
      </c>
      <c r="K8" s="64">
        <f t="array" ref="K8">RTD("tickerplantrtdserver",,"FWRC1#JPYINR#Month End Rates#0#FwdOutrightAsk11")</f>
        <v>72.804000000000002</v>
      </c>
      <c r="L8" s="64">
        <f t="array" ref="L8">RTD("tickerplantrtdserver",,"FWRC1#JPYINR#Month End Rates#0#FwdOutrightAsk12")</f>
        <v>73.074600000000004</v>
      </c>
      <c r="M8" s="64">
        <f t="array" ref="M8">RTD("tickerplantrtdserver",,"FWRC1#JPYINR#Month End Rates#0#FwdOutrightAsk13")</f>
        <v>73.357900000000001</v>
      </c>
      <c r="N8" s="64">
        <f t="array" ref="N8">RTD("tickerplantrtdserver",,"FWRC1#JPYINR#Month End Rates#0#FwdOutrightAsk14")</f>
        <v>73.6387</v>
      </c>
      <c r="O8" s="68">
        <f t="array" ref="O8">RTD("tickerplantrtdserver",,"FWRC1#JPYINR#Month End Rates#0#FwdOutrightAsk15")</f>
        <v>73.906999999999996</v>
      </c>
    </row>
    <row r="9" spans="1:18" s="14" customFormat="1" x14ac:dyDescent="0.25">
      <c r="A9" s="162" t="s">
        <v>2</v>
      </c>
      <c r="B9" s="163"/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5"/>
    </row>
    <row r="10" spans="1:18" s="14" customFormat="1" x14ac:dyDescent="0.25">
      <c r="A10" s="158" t="s">
        <v>47</v>
      </c>
      <c r="B10" s="159"/>
      <c r="C10" s="65">
        <f t="array" ref="C10">RTD("tickerplantrtdserver",,"FWRC1#JPYINR#Month End Rates#0#Bid%2")</f>
        <v>2.5268000000000002</v>
      </c>
      <c r="D10" s="65">
        <f t="array" ref="D10">RTD("tickerplantrtdserver",,"FWRC1#JPYINR#Month End Rates#0#Bid%4")</f>
        <v>3.6292</v>
      </c>
      <c r="E10" s="65">
        <f t="array" ref="E10">RTD("tickerplantrtdserver",,"FWRC1#JPYINR#Month End Rates#0#Bid%5")</f>
        <v>3.8753000000000002</v>
      </c>
      <c r="F10" s="65">
        <f t="array" ref="F10">RTD("tickerplantrtdserver",,"FWRC1#JPYINR#Month End Rates#0#Bid%6")</f>
        <v>3.9519000000000002</v>
      </c>
      <c r="G10" s="65">
        <f t="array" ref="G10">RTD("tickerplantrtdserver",,"FWRC1#JPYINR#Month End Rates#0#Bid%7")</f>
        <v>4.2797999999999998</v>
      </c>
      <c r="H10" s="65">
        <f t="array" ref="H10">RTD("tickerplantrtdserver",,"FWRC1#JPYINR#Month End Rates#0#Bid%8")</f>
        <v>4.4203999999999999</v>
      </c>
      <c r="I10" s="65">
        <f t="array" ref="I10">RTD("tickerplantrtdserver",,"FWRC1#JPYINR#Month End Rates#0#Bid%9")</f>
        <v>4.4549000000000003</v>
      </c>
      <c r="J10" s="65">
        <f t="array" ref="J10">RTD("tickerplantrtdserver",,"FWRC1#JPYINR#Month End Rates#0#Bid%10")</f>
        <v>4.4587000000000003</v>
      </c>
      <c r="K10" s="65">
        <f t="array" ref="K10">RTD("tickerplantrtdserver",,"FWRC1#JPYINR#Month End Rates#0#Bid%11")</f>
        <v>4.5749000000000004</v>
      </c>
      <c r="L10" s="65">
        <f t="array" ref="L10">RTD("tickerplantrtdserver",,"FWRC1#JPYINR#Month End Rates#0#Bid%12")</f>
        <v>4.5831</v>
      </c>
      <c r="M10" s="65">
        <f t="array" ref="M10">RTD("tickerplantrtdserver",,"FWRC1#JPYINR#Month End Rates#0#Bid%13")</f>
        <v>4.6074999999999999</v>
      </c>
      <c r="N10" s="65">
        <f t="array" ref="N10">RTD("tickerplantrtdserver",,"FWRC1#JPYINR#Month End Rates#0#Bid%14")</f>
        <v>4.6018999999999997</v>
      </c>
      <c r="O10" s="67">
        <f t="array" ref="O10">RTD("tickerplantrtdserver",,"FWRC1#JPYINR#Month End Rates#0#Bid%15")</f>
        <v>4.6261999999999999</v>
      </c>
    </row>
    <row r="11" spans="1:18" s="14" customFormat="1" ht="15.75" thickBot="1" x14ac:dyDescent="0.3">
      <c r="A11" s="160" t="s">
        <v>48</v>
      </c>
      <c r="B11" s="161"/>
      <c r="C11" s="69">
        <f t="array" ref="C11">RTD("tickerplantrtdserver",,"FWRC1#JPYINR#Month End Rates#0#Ask%2")</f>
        <v>5.3311999999999999</v>
      </c>
      <c r="D11" s="69">
        <f t="array" ref="D11">RTD("tickerplantrtdserver",,"FWRC1#JPYINR#Month End Rates#0#Ask%4")</f>
        <v>3.9287000000000001</v>
      </c>
      <c r="E11" s="69">
        <f t="array" ref="E11">RTD("tickerplantrtdserver",,"FWRC1#JPYINR#Month End Rates#0#Ask%5")</f>
        <v>4.0461</v>
      </c>
      <c r="F11" s="69">
        <f t="array" ref="F11">RTD("tickerplantrtdserver",,"FWRC1#JPYINR#Month End Rates#0#Ask%6")</f>
        <v>4.0667</v>
      </c>
      <c r="G11" s="69">
        <f t="array" ref="G11">RTD("tickerplantrtdserver",,"FWRC1#JPYINR#Month End Rates#0#Ask%7")</f>
        <v>4.4065000000000003</v>
      </c>
      <c r="H11" s="69">
        <f t="array" ref="H11">RTD("tickerplantrtdserver",,"FWRC1#JPYINR#Month End Rates#0#Ask%8")</f>
        <v>4.5199999999999996</v>
      </c>
      <c r="I11" s="69">
        <f t="array" ref="I11">RTD("tickerplantrtdserver",,"FWRC1#JPYINR#Month End Rates#0#Ask%9")</f>
        <v>4.5316000000000001</v>
      </c>
      <c r="J11" s="69">
        <f t="array" ref="J11">RTD("tickerplantrtdserver",,"FWRC1#JPYINR#Month End Rates#0#Ask%10")</f>
        <v>4.5385</v>
      </c>
      <c r="K11" s="69">
        <f t="array" ref="K11">RTD("tickerplantrtdserver",,"FWRC1#JPYINR#Month End Rates#0#Ask%11")</f>
        <v>4.6454000000000004</v>
      </c>
      <c r="L11" s="69">
        <f t="array" ref="L11">RTD("tickerplantrtdserver",,"FWRC1#JPYINR#Month End Rates#0#Ask%12")</f>
        <v>4.6460999999999997</v>
      </c>
      <c r="M11" s="69">
        <f t="array" ref="M11">RTD("tickerplantrtdserver",,"FWRC1#JPYINR#Month End Rates#0#Ask%13")</f>
        <v>4.6534000000000004</v>
      </c>
      <c r="N11" s="69">
        <f t="array" ref="N11">RTD("tickerplantrtdserver",,"FWRC1#JPYINR#Month End Rates#0#Ask%14")</f>
        <v>4.6699000000000002</v>
      </c>
      <c r="O11" s="70">
        <f t="array" ref="O11">RTD("tickerplantrtdserver",,"FWRC1#JPYINR#Month End Rates#0#Ask%15")</f>
        <v>4.6649000000000003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21"/>
      <c r="C13" s="21"/>
      <c r="D13" s="58"/>
      <c r="E13" s="21"/>
      <c r="F13" s="21"/>
      <c r="G13" s="21"/>
      <c r="H13" s="32"/>
      <c r="I13" s="32"/>
      <c r="J13" s="32"/>
      <c r="L13" s="31"/>
      <c r="M13" s="31"/>
      <c r="N13" s="31"/>
      <c r="Q13" s="23"/>
      <c r="R13" s="23"/>
    </row>
    <row r="14" spans="1:18" s="14" customForma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</row>
    <row r="15" spans="1:18" s="14" customForma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</row>
    <row r="16" spans="1:18" s="14" customFormat="1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</row>
    <row r="17" spans="1:18" s="14" customFormat="1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</row>
    <row r="18" spans="1:18" s="14" customFormat="1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</row>
    <row r="19" spans="1:18" s="14" customFormat="1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</row>
    <row r="20" spans="1:18" s="14" customFormat="1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</row>
    <row r="21" spans="1:18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</row>
    <row r="22" spans="1:18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</row>
    <row r="23" spans="1:18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</row>
    <row r="24" spans="1:18" s="2" customFormat="1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</row>
    <row r="25" spans="1:18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</row>
    <row r="26" spans="1:18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</row>
    <row r="27" spans="1:18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</row>
    <row r="28" spans="1:18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</row>
    <row r="29" spans="1:18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</row>
    <row r="30" spans="1:18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</row>
    <row r="31" spans="1:18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</row>
    <row r="36" spans="1:2" x14ac:dyDescent="0.25">
      <c r="A36" s="1"/>
      <c r="B36" s="1"/>
    </row>
  </sheetData>
  <mergeCells count="14">
    <mergeCell ref="A1:B1"/>
    <mergeCell ref="A10:B10"/>
    <mergeCell ref="A11:B11"/>
    <mergeCell ref="A6:B6"/>
    <mergeCell ref="C6:O6"/>
    <mergeCell ref="A7:B7"/>
    <mergeCell ref="A8:B8"/>
    <mergeCell ref="A9:B9"/>
    <mergeCell ref="C9:O9"/>
    <mergeCell ref="A5:B5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T36"/>
  <sheetViews>
    <sheetView workbookViewId="0">
      <selection sqref="A1:B1"/>
    </sheetView>
  </sheetViews>
  <sheetFormatPr defaultRowHeight="15" x14ac:dyDescent="0.25"/>
  <cols>
    <col min="4" max="4" width="9.28515625" bestFit="1" customWidth="1"/>
    <col min="5" max="5" width="9" bestFit="1" customWidth="1"/>
    <col min="6" max="6" width="9.42578125" bestFit="1" customWidth="1"/>
    <col min="7" max="7" width="9" bestFit="1" customWidth="1"/>
    <col min="8" max="8" width="9.28515625" bestFit="1" customWidth="1"/>
    <col min="9" max="9" width="9.42578125" bestFit="1" customWidth="1"/>
    <col min="10" max="10" width="9.28515625" bestFit="1" customWidth="1"/>
    <col min="11" max="11" width="9.140625" bestFit="1" customWidth="1"/>
    <col min="12" max="12" width="9" bestFit="1" customWidth="1"/>
    <col min="13" max="13" width="9.7109375" bestFit="1" customWidth="1"/>
    <col min="14" max="14" width="9.28515625" bestFit="1" customWidth="1"/>
    <col min="15" max="15" width="9.4257812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66" t="s">
        <v>6</v>
      </c>
      <c r="B1" s="167"/>
      <c r="C1" s="76" t="str">
        <f t="array" ref="C1">RTD("tickerplantrtdserver",,"FWRC1#EURUSD#Month Wise Rates#0#S#Desc.2")</f>
        <v>TN</v>
      </c>
      <c r="D1" s="76" t="str">
        <f t="array" ref="D1">RTD("tickerplantrtdserver",,"FWRC1#EURUSD#Month Wise Rates#0#S#Desc.7")</f>
        <v>1M</v>
      </c>
      <c r="E1" s="76" t="str">
        <f t="array" ref="E1">RTD("tickerplantrtdserver",,"FWRC1#EURUSD#Month Wise Rates#0#S#Desc.8")</f>
        <v>2M</v>
      </c>
      <c r="F1" s="76" t="str">
        <f t="array" ref="F1">RTD("tickerplantrtdserver",,"FWRC1#EURUSD#Month Wise Rates#0#S#Desc.9")</f>
        <v>3M</v>
      </c>
      <c r="G1" s="76" t="str">
        <f t="array" ref="G1">RTD("tickerplantrtdserver",,"FWRC1#EURUSD#Month Wise Rates#0#S#Desc.10")</f>
        <v>4M</v>
      </c>
      <c r="H1" s="76" t="str">
        <f t="array" ref="H1">RTD("tickerplantrtdserver",,"FWRC1#EURUSD#Month Wise Rates#0#S#Desc.11")</f>
        <v>5M</v>
      </c>
      <c r="I1" s="76" t="str">
        <f t="array" ref="I1">RTD("tickerplantrtdserver",,"FWRC1#EURUSD#Month Wise Rates#0#S#Desc.12")</f>
        <v>6M</v>
      </c>
      <c r="J1" s="76" t="str">
        <f t="array" ref="J1">RTD("tickerplantrtdserver",,"FWRC1#EURUSD#Month Wise Rates#0#S#Desc.13")</f>
        <v>7M</v>
      </c>
      <c r="K1" s="76" t="str">
        <f t="array" ref="K1">RTD("tickerplantrtdserver",,"FWRC1#EURUSD#Month Wise Rates#0#S#Desc.14")</f>
        <v>8M</v>
      </c>
      <c r="L1" s="76" t="str">
        <f t="array" ref="L1">RTD("tickerplantrtdserver",,"FWRC1#EURUSD#Month Wise Rates#0#S#Desc.15")</f>
        <v>9M</v>
      </c>
      <c r="M1" s="76" t="str">
        <f t="array" ref="M1">RTD("tickerplantrtdserver",,"FWRC1#EURUSD#Month Wise Rates#0#S#Desc.16")</f>
        <v>10M</v>
      </c>
      <c r="N1" s="76" t="str">
        <f t="array" ref="N1">RTD("tickerplantrtdserver",,"FWRC1#EURUSD#Month Wise Rates#0#S#Desc.17")</f>
        <v>11M</v>
      </c>
      <c r="O1" s="77" t="str">
        <f t="array" ref="O1">RTD("tickerplantrtdserver",,"FWRC1#EURUSD#Month Wise Rates#0#S#Desc.18")</f>
        <v>12M</v>
      </c>
    </row>
    <row r="2" spans="1:18" s="14" customFormat="1" ht="15.75" customHeight="1" x14ac:dyDescent="0.25">
      <c r="A2" s="158" t="s">
        <v>5</v>
      </c>
      <c r="B2" s="159"/>
      <c r="C2" s="71" t="str">
        <f t="array" ref="C2">RTD("tickerplantrtdserver",,"FWRC1#EURUSD#Month Wise Rates#0#S#PillarDate2")</f>
        <v>20-Aug-2020</v>
      </c>
      <c r="D2" s="71" t="str">
        <f t="array" ref="D2">RTD("tickerplantrtdserver",,"FWRC1#EURUSD#Month Wise Rates#0#S#PillarDate7")</f>
        <v>21-Sep-2020</v>
      </c>
      <c r="E2" s="71" t="str">
        <f t="array" ref="E2">RTD("tickerplantrtdserver",,"FWRC1#EURUSD#Month Wise Rates#0#S#PillarDate8")</f>
        <v>20-Oct-2020</v>
      </c>
      <c r="F2" s="71" t="str">
        <f t="array" ref="F2">RTD("tickerplantrtdserver",,"FWRC1#EURUSD#Month Wise Rates#0#S#PillarDate9")</f>
        <v>20-Nov-2020</v>
      </c>
      <c r="G2" s="71" t="str">
        <f t="array" ref="G2">RTD("tickerplantrtdserver",,"FWRC1#EURUSD#Month Wise Rates#0#S#PillarDate10")</f>
        <v>21-Dec-2020</v>
      </c>
      <c r="H2" s="71" t="str">
        <f t="array" ref="H2">RTD("tickerplantrtdserver",,"FWRC1#EURUSD#Month Wise Rates#0#S#PillarDate11")</f>
        <v>20-Jan-2021</v>
      </c>
      <c r="I2" s="71" t="str">
        <f t="array" ref="I2">RTD("tickerplantrtdserver",,"FWRC1#EURUSD#Month Wise Rates#0#S#PillarDate12")</f>
        <v>22-Feb-2021</v>
      </c>
      <c r="J2" s="71" t="str">
        <f t="array" ref="J2">RTD("tickerplantrtdserver",,"FWRC1#EURUSD#Month Wise Rates#0#S#PillarDate13")</f>
        <v>22-Mar-2021</v>
      </c>
      <c r="K2" s="71" t="str">
        <f t="array" ref="K2">RTD("tickerplantrtdserver",,"FWRC1#EURUSD#Month Wise Rates#0#S#PillarDate14")</f>
        <v>20-Apr-2021</v>
      </c>
      <c r="L2" s="71" t="str">
        <f t="array" ref="L2">RTD("tickerplantrtdserver",,"FWRC1#EURUSD#Month Wise Rates#0#S#PillarDate15")</f>
        <v>20-May-2021</v>
      </c>
      <c r="M2" s="71" t="str">
        <f t="array" ref="M2">RTD("tickerplantrtdserver",,"FWRC1#EURUSD#Month Wise Rates#0#S#PillarDate16")</f>
        <v>21-Jun-2021</v>
      </c>
      <c r="N2" s="71" t="str">
        <f t="array" ref="N2">RTD("tickerplantrtdserver",,"FWRC1#EURUSD#Month Wise Rates#0#S#PillarDate17")</f>
        <v>20-Jul-2021</v>
      </c>
      <c r="O2" s="75" t="str">
        <f t="array" ref="O2">RTD("tickerplantrtdserver",,"FWRC1#EURUSD#Month Wise Rates#0#S#PillarDate18")</f>
        <v>20-Aug-2021</v>
      </c>
      <c r="P2" s="30"/>
    </row>
    <row r="3" spans="1:18" s="14" customFormat="1" x14ac:dyDescent="0.25">
      <c r="A3" s="162" t="s">
        <v>4</v>
      </c>
      <c r="B3" s="163"/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5"/>
      <c r="P3" s="15"/>
    </row>
    <row r="4" spans="1:18" s="14" customFormat="1" x14ac:dyDescent="0.25">
      <c r="A4" s="158" t="s">
        <v>47</v>
      </c>
      <c r="B4" s="159"/>
      <c r="C4" s="65">
        <f t="array" ref="C4">RTD("tickerplantrtdserver",,"FWRC1#EURUSD#Month Wise Rates#0#BidPrice2")</f>
        <v>0.23</v>
      </c>
      <c r="D4" s="65">
        <f t="array" ref="D4">RTD("tickerplantrtdserver",,"FWRC1#EURUSD#Month Wise Rates#0#BidPrice7")</f>
        <v>7.8</v>
      </c>
      <c r="E4" s="65">
        <f t="array" ref="E4">RTD("tickerplantrtdserver",,"FWRC1#EURUSD#Month Wise Rates#0#BidPrice8")</f>
        <v>15.534000000000001</v>
      </c>
      <c r="F4" s="65">
        <f t="array" ref="F4">RTD("tickerplantrtdserver",,"FWRC1#EURUSD#Month Wise Rates#0#BidPrice9")</f>
        <v>22.98</v>
      </c>
      <c r="G4" s="65">
        <f t="array" ref="G4">RTD("tickerplantrtdserver",,"FWRC1#EURUSD#Month Wise Rates#0#BidPrice10")</f>
        <v>30.27</v>
      </c>
      <c r="H4" s="65">
        <f t="array" ref="H4">RTD("tickerplantrtdserver",,"FWRC1#EURUSD#Month Wise Rates#0#BidPrice11")</f>
        <v>41.54</v>
      </c>
      <c r="I4" s="65">
        <f t="array" ref="I4">RTD("tickerplantrtdserver",,"FWRC1#EURUSD#Month Wise Rates#0#BidPrice12")</f>
        <v>49.34</v>
      </c>
      <c r="J4" s="65">
        <f t="array" ref="J4">RTD("tickerplantrtdserver",,"FWRC1#EURUSD#Month Wise Rates#0#BidPrice13")</f>
        <v>55.9</v>
      </c>
      <c r="K4" s="65">
        <f t="array" ref="K4">RTD("tickerplantrtdserver",,"FWRC1#EURUSD#Month Wise Rates#0#BidPrice14")</f>
        <v>63.3</v>
      </c>
      <c r="L4" s="65">
        <f t="array" ref="L4">RTD("tickerplantrtdserver",,"FWRC1#EURUSD#Month Wise Rates#0#BidPrice15")</f>
        <v>69.489999999999995</v>
      </c>
      <c r="M4" s="65">
        <f t="array" ref="M4">RTD("tickerplantrtdserver",,"FWRC1#EURUSD#Month Wise Rates#0#BidPrice16")</f>
        <v>77.599999999999994</v>
      </c>
      <c r="N4" s="65">
        <f t="array" ref="N4">RTD("tickerplantrtdserver",,"FWRC1#EURUSD#Month Wise Rates#0#BidPrice17")</f>
        <v>85.09</v>
      </c>
      <c r="O4" s="67">
        <f t="array" ref="O4">RTD("tickerplantrtdserver",,"FWRC1#EURUSD#Month Wise Rates#0#BidPrice18")</f>
        <v>93.39</v>
      </c>
      <c r="P4" s="20"/>
    </row>
    <row r="5" spans="1:18" s="14" customFormat="1" x14ac:dyDescent="0.25">
      <c r="A5" s="158" t="s">
        <v>48</v>
      </c>
      <c r="B5" s="159"/>
      <c r="C5" s="65">
        <f t="array" ref="C5">RTD("tickerplantrtdserver",,"FWRC1#EURUSD#Month Wise Rates#0#AskPrice2")</f>
        <v>0.25</v>
      </c>
      <c r="D5" s="65">
        <f t="array" ref="D5">RTD("tickerplantrtdserver",,"FWRC1#EURUSD#Month Wise Rates#0#AskPrice7")</f>
        <v>8</v>
      </c>
      <c r="E5" s="65">
        <f t="array" ref="E5">RTD("tickerplantrtdserver",,"FWRC1#EURUSD#Month Wise Rates#0#AskPrice8")</f>
        <v>15.566000000000001</v>
      </c>
      <c r="F5" s="65">
        <f t="array" ref="F5">RTD("tickerplantrtdserver",,"FWRC1#EURUSD#Month Wise Rates#0#AskPrice9")</f>
        <v>23.23</v>
      </c>
      <c r="G5" s="65">
        <f t="array" ref="G5">RTD("tickerplantrtdserver",,"FWRC1#EURUSD#Month Wise Rates#0#AskPrice10")</f>
        <v>30.79</v>
      </c>
      <c r="H5" s="65">
        <f t="array" ref="H5">RTD("tickerplantrtdserver",,"FWRC1#EURUSD#Month Wise Rates#0#AskPrice11")</f>
        <v>42.14</v>
      </c>
      <c r="I5" s="65">
        <f t="array" ref="I5">RTD("tickerplantrtdserver",,"FWRC1#EURUSD#Month Wise Rates#0#AskPrice12")</f>
        <v>50.14</v>
      </c>
      <c r="J5" s="65">
        <f t="array" ref="J5">RTD("tickerplantrtdserver",,"FWRC1#EURUSD#Month Wise Rates#0#AskPrice13")</f>
        <v>59.4</v>
      </c>
      <c r="K5" s="65">
        <f t="array" ref="K5">RTD("tickerplantrtdserver",,"FWRC1#EURUSD#Month Wise Rates#0#AskPrice14")</f>
        <v>65.5</v>
      </c>
      <c r="L5" s="65">
        <f t="array" ref="L5">RTD("tickerplantrtdserver",,"FWRC1#EURUSD#Month Wise Rates#0#AskPrice15")</f>
        <v>71.989999999999995</v>
      </c>
      <c r="M5" s="65">
        <f t="array" ref="M5">RTD("tickerplantrtdserver",,"FWRC1#EURUSD#Month Wise Rates#0#AskPrice16")</f>
        <v>82.6</v>
      </c>
      <c r="N5" s="65">
        <f t="array" ref="N5">RTD("tickerplantrtdserver",,"FWRC1#EURUSD#Month Wise Rates#0#AskPrice17")</f>
        <v>90.59</v>
      </c>
      <c r="O5" s="67">
        <f t="array" ref="O5">RTD("tickerplantrtdserver",,"FWRC1#EURUSD#Month Wise Rates#0#AskPrice18")</f>
        <v>96.29</v>
      </c>
      <c r="P5" s="20"/>
    </row>
    <row r="6" spans="1:18" s="14" customFormat="1" x14ac:dyDescent="0.25">
      <c r="A6" s="162" t="s">
        <v>3</v>
      </c>
      <c r="B6" s="163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5"/>
      <c r="P6" s="20"/>
    </row>
    <row r="7" spans="1:18" s="14" customFormat="1" x14ac:dyDescent="0.25">
      <c r="A7" s="158" t="s">
        <v>47</v>
      </c>
      <c r="B7" s="159"/>
      <c r="C7" s="64">
        <f t="array" ref="C7">RTD("tickerplantrtdserver",,"FWRC1#EURUSD#Month Wise Rates#0#FwdOutrightBid2")</f>
        <v>1.1899</v>
      </c>
      <c r="D7" s="64">
        <f t="array" ref="D7">RTD("tickerplantrtdserver",,"FWRC1#EURUSD#Month Wise Rates#0#FwdOutrightBid7")</f>
        <v>1.1908000000000001</v>
      </c>
      <c r="E7" s="64">
        <f t="array" ref="E7">RTD("tickerplantrtdserver",,"FWRC1#EURUSD#Month Wise Rates#0#FwdOutrightBid8")</f>
        <v>1.1915</v>
      </c>
      <c r="F7" s="64">
        <f t="array" ref="F7">RTD("tickerplantrtdserver",,"FWRC1#EURUSD#Month Wise Rates#0#FwdOutrightBid9")</f>
        <v>1.1922999999999999</v>
      </c>
      <c r="G7" s="64">
        <f t="array" ref="G7">RTD("tickerplantrtdserver",,"FWRC1#EURUSD#Month Wise Rates#0#FwdOutrightBid10")</f>
        <v>1.1930000000000001</v>
      </c>
      <c r="H7" s="64">
        <f t="array" ref="H7">RTD("tickerplantrtdserver",,"FWRC1#EURUSD#Month Wise Rates#0#FwdOutrightBid11")</f>
        <v>1.1941999999999999</v>
      </c>
      <c r="I7" s="64">
        <f t="array" ref="I7">RTD("tickerplantrtdserver",,"FWRC1#EURUSD#Month Wise Rates#0#FwdOutrightBid12")</f>
        <v>1.1950000000000001</v>
      </c>
      <c r="J7" s="64">
        <f t="array" ref="J7">RTD("tickerplantrtdserver",,"FWRC1#EURUSD#Month Wise Rates#0#FwdOutrightBid13")</f>
        <v>1.1955</v>
      </c>
      <c r="K7" s="64">
        <f t="array" ref="K7">RTD("tickerplantrtdserver",,"FWRC1#EURUSD#Month Wise Rates#0#FwdOutrightBid14")</f>
        <v>1.1961999999999999</v>
      </c>
      <c r="L7" s="64">
        <f t="array" ref="L7">RTD("tickerplantrtdserver",,"FWRC1#EURUSD#Month Wise Rates#0#FwdOutrightBid15")</f>
        <v>1.1970000000000001</v>
      </c>
      <c r="M7" s="64">
        <f t="array" ref="M7">RTD("tickerplantrtdserver",,"FWRC1#EURUSD#Month Wise Rates#0#FwdOutrightBid16")</f>
        <v>1.1978</v>
      </c>
      <c r="N7" s="64">
        <f t="array" ref="N7">RTD("tickerplantrtdserver",,"FWRC1#EURUSD#Month Wise Rates#0#FwdOutrightBid17")</f>
        <v>1.1986000000000001</v>
      </c>
      <c r="O7" s="68">
        <f t="array" ref="O7">RTD("tickerplantrtdserver",,"FWRC1#EURUSD#Month Wise Rates#0#FwdOutrightBid18")</f>
        <v>1.1994</v>
      </c>
      <c r="P7" s="20"/>
    </row>
    <row r="8" spans="1:18" s="14" customFormat="1" x14ac:dyDescent="0.25">
      <c r="A8" s="158" t="s">
        <v>48</v>
      </c>
      <c r="B8" s="159"/>
      <c r="C8" s="64">
        <f t="array" ref="C8">RTD("tickerplantrtdserver",,"FWRC1#EURUSD#Month Wise Rates#0#FwdOutrightAsk2")</f>
        <v>1.1902999999999999</v>
      </c>
      <c r="D8" s="64">
        <f t="array" ref="D8">RTD("tickerplantrtdserver",,"FWRC1#EURUSD#Month Wise Rates#0#FwdOutrightAsk7")</f>
        <v>1.1909000000000001</v>
      </c>
      <c r="E8" s="64">
        <f t="array" ref="E8">RTD("tickerplantrtdserver",,"FWRC1#EURUSD#Month Wise Rates#0#FwdOutrightAsk8")</f>
        <v>1.1916</v>
      </c>
      <c r="F8" s="64">
        <f t="array" ref="F8">RTD("tickerplantrtdserver",,"FWRC1#EURUSD#Month Wise Rates#0#FwdOutrightAsk9")</f>
        <v>1.1924999999999999</v>
      </c>
      <c r="G8" s="64">
        <f t="array" ref="G8">RTD("tickerplantrtdserver",,"FWRC1#EURUSD#Month Wise Rates#0#FwdOutrightAsk10")</f>
        <v>1.1931</v>
      </c>
      <c r="H8" s="64">
        <f t="array" ref="H8">RTD("tickerplantrtdserver",,"FWRC1#EURUSD#Month Wise Rates#0#FwdOutrightAsk11")</f>
        <v>1.1942999999999999</v>
      </c>
      <c r="I8" s="64">
        <f t="array" ref="I8">RTD("tickerplantrtdserver",,"FWRC1#EURUSD#Month Wise Rates#0#FwdOutrightAsk12")</f>
        <v>1.1951000000000001</v>
      </c>
      <c r="J8" s="64">
        <f t="array" ref="J8">RTD("tickerplantrtdserver",,"FWRC1#EURUSD#Month Wise Rates#0#FwdOutrightAsk13")</f>
        <v>1.1961999999999999</v>
      </c>
      <c r="K8" s="64">
        <f t="array" ref="K8">RTD("tickerplantrtdserver",,"FWRC1#EURUSD#Month Wise Rates#0#FwdOutrightAsk14")</f>
        <v>1.1969000000000001</v>
      </c>
      <c r="L8" s="64">
        <f t="array" ref="L8">RTD("tickerplantrtdserver",,"FWRC1#EURUSD#Month Wise Rates#0#FwdOutrightAsk15")</f>
        <v>1.1973</v>
      </c>
      <c r="M8" s="64">
        <f t="array" ref="M8">RTD("tickerplantrtdserver",,"FWRC1#EURUSD#Month Wise Rates#0#FwdOutrightAsk16")</f>
        <v>1.1983999999999999</v>
      </c>
      <c r="N8" s="64">
        <f t="array" ref="N8">RTD("tickerplantrtdserver",,"FWRC1#EURUSD#Month Wise Rates#0#FwdOutrightAsk17")</f>
        <v>1.1991000000000001</v>
      </c>
      <c r="O8" s="68">
        <f t="array" ref="O8">RTD("tickerplantrtdserver",,"FWRC1#EURUSD#Month Wise Rates#0#FwdOutrightAsk18")</f>
        <v>1.1998</v>
      </c>
    </row>
    <row r="9" spans="1:18" s="14" customFormat="1" x14ac:dyDescent="0.25">
      <c r="A9" s="162" t="s">
        <v>2</v>
      </c>
      <c r="B9" s="163"/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5"/>
    </row>
    <row r="10" spans="1:18" s="14" customFormat="1" x14ac:dyDescent="0.25">
      <c r="A10" s="158" t="s">
        <v>47</v>
      </c>
      <c r="B10" s="159"/>
      <c r="C10" s="65">
        <f>RTD("tickerplantrtdserver",,"FWRC1#EURUSD#Month Wise Rates#0#Bid%2")</f>
        <v>0.70530000000000004</v>
      </c>
      <c r="D10" s="65">
        <f t="array" ref="D10">RTD("tickerplantrtdserver",,"FWRC1#EURUSD#Month Wise Rates#0#Bid%7")</f>
        <v>0.74760000000000004</v>
      </c>
      <c r="E10" s="65">
        <f t="array" ref="E10">RTD("tickerplantrtdserver",,"FWRC1#EURUSD#Month Wise Rates#0#Bid%8")</f>
        <v>0.78100000000000003</v>
      </c>
      <c r="F10" s="65">
        <f t="array" ref="F10">RTD("tickerplantrtdserver",,"FWRC1#EURUSD#Month Wise Rates#0#Bid%9")</f>
        <v>0.7661</v>
      </c>
      <c r="G10" s="65">
        <f t="array" ref="G10">RTD("tickerplantrtdserver",,"FWRC1#EURUSD#Month Wise Rates#0#Bid%10")</f>
        <v>0.75480000000000003</v>
      </c>
      <c r="H10" s="65">
        <f t="array" ref="H10">RTD("tickerplantrtdserver",,"FWRC1#EURUSD#Month Wise Rates#0#Bid%11")</f>
        <v>0.8327</v>
      </c>
      <c r="I10" s="65">
        <f t="array" ref="I10">RTD("tickerplantrtdserver",,"FWRC1#EURUSD#Month Wise Rates#0#Bid%12")</f>
        <v>0.81359999999999999</v>
      </c>
      <c r="J10" s="65">
        <f t="array" ref="J10">RTD("tickerplantrtdserver",,"FWRC1#EURUSD#Month Wise Rates#0#Bid%13")</f>
        <v>0.80100000000000005</v>
      </c>
      <c r="K10" s="65">
        <f t="array" ref="K10">RTD("tickerplantrtdserver",,"FWRC1#EURUSD#Month Wise Rates#0#Bid%14")</f>
        <v>0.79879999999999995</v>
      </c>
      <c r="L10" s="65">
        <f t="array" ref="L10">RTD("tickerplantrtdserver",,"FWRC1#EURUSD#Month Wise Rates#0#Bid%15")</f>
        <v>0.78069999999999995</v>
      </c>
      <c r="M10" s="65">
        <f t="array" ref="M10">RTD("tickerplantrtdserver",,"FWRC1#EURUSD#Month Wise Rates#0#Bid%16")</f>
        <v>0.78029999999999999</v>
      </c>
      <c r="N10" s="65">
        <f t="array" ref="N10">RTD("tickerplantrtdserver",,"FWRC1#EURUSD#Month Wise Rates#0#Bid%17")</f>
        <v>0.78129999999999999</v>
      </c>
      <c r="O10" s="67">
        <f t="array" ref="O10">RTD("tickerplantrtdserver",,"FWRC1#EURUSD#Month Wise Rates#0#Bid%18")</f>
        <v>0.78469999999999995</v>
      </c>
    </row>
    <row r="11" spans="1:18" s="14" customFormat="1" ht="15.75" thickBot="1" x14ac:dyDescent="0.3">
      <c r="A11" s="160" t="s">
        <v>48</v>
      </c>
      <c r="B11" s="161"/>
      <c r="C11" s="69">
        <f t="array" ref="C11">RTD("tickerplantrtdserver",,"FWRC1#EURUSD#Month Wise Rates#0#Ask%2")</f>
        <v>0.76690000000000003</v>
      </c>
      <c r="D11" s="69">
        <f t="array" ref="D11">RTD("tickerplantrtdserver",,"FWRC1#EURUSD#Month Wise Rates#0#Ask%7")</f>
        <v>0.76680000000000004</v>
      </c>
      <c r="E11" s="69">
        <f t="array" ref="E11">RTD("tickerplantrtdserver",,"FWRC1#EURUSD#Month Wise Rates#0#Ask%8")</f>
        <v>0.78269999999999995</v>
      </c>
      <c r="F11" s="69">
        <f t="array" ref="F11">RTD("tickerplantrtdserver",,"FWRC1#EURUSD#Month Wise Rates#0#Ask%9")</f>
        <v>0.77449999999999997</v>
      </c>
      <c r="G11" s="69">
        <f t="array" ref="G11">RTD("tickerplantrtdserver",,"FWRC1#EURUSD#Month Wise Rates#0#Ask%10")</f>
        <v>0.76780000000000004</v>
      </c>
      <c r="H11" s="69">
        <f t="array" ref="H11">RTD("tickerplantrtdserver",,"FWRC1#EURUSD#Month Wise Rates#0#Ask%11")</f>
        <v>0.84470000000000001</v>
      </c>
      <c r="I11" s="69">
        <f t="array" ref="I11">RTD("tickerplantrtdserver",,"FWRC1#EURUSD#Month Wise Rates#0#Ask%12")</f>
        <v>0.82679999999999998</v>
      </c>
      <c r="J11" s="69">
        <f t="array" ref="J11">RTD("tickerplantrtdserver",,"FWRC1#EURUSD#Month Wise Rates#0#Ask%13")</f>
        <v>0.85140000000000005</v>
      </c>
      <c r="K11" s="69">
        <f t="array" ref="K11">RTD("tickerplantrtdserver",,"FWRC1#EURUSD#Month Wise Rates#0#Ask%14")</f>
        <v>0.82679999999999998</v>
      </c>
      <c r="L11" s="69">
        <f t="array" ref="L11">RTD("tickerplantrtdserver",,"FWRC1#EURUSD#Month Wise Rates#0#Ask%15")</f>
        <v>0.80879999999999996</v>
      </c>
      <c r="M11" s="69">
        <f t="array" ref="M11">RTD("tickerplantrtdserver",,"FWRC1#EURUSD#Month Wise Rates#0#Ask%16")</f>
        <v>0.83069999999999999</v>
      </c>
      <c r="N11" s="69">
        <f t="array" ref="N11">RTD("tickerplantrtdserver",,"FWRC1#EURUSD#Month Wise Rates#0#Ask%17")</f>
        <v>0.83189999999999997</v>
      </c>
      <c r="O11" s="70">
        <f t="array" ref="O11">RTD("tickerplantrtdserver",,"FWRC1#EURUSD#Month Wise Rates#0#Ask%18")</f>
        <v>0.80910000000000004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21"/>
      <c r="C13" s="21"/>
      <c r="D13" s="20"/>
      <c r="E13" s="21"/>
      <c r="F13" s="21"/>
      <c r="G13" s="21"/>
      <c r="H13" s="32"/>
      <c r="I13" s="32"/>
      <c r="J13" s="32"/>
      <c r="L13" s="31"/>
      <c r="M13" s="31"/>
      <c r="N13" s="31"/>
      <c r="Q13" s="23"/>
      <c r="R13" s="23"/>
    </row>
    <row r="14" spans="1:18" s="14" customFormat="1" x14ac:dyDescent="0.25">
      <c r="A14" s="13"/>
      <c r="B14" s="21"/>
      <c r="C14" s="21"/>
      <c r="D14" s="58"/>
      <c r="E14" s="21"/>
      <c r="F14" s="33"/>
      <c r="G14" s="34"/>
      <c r="H14" s="34"/>
      <c r="I14" s="34"/>
      <c r="J14" s="21"/>
      <c r="L14" s="58"/>
      <c r="M14" s="58"/>
      <c r="N14" s="58"/>
      <c r="P14" s="31"/>
      <c r="Q14" s="31"/>
      <c r="R14" s="31"/>
    </row>
    <row r="15" spans="1:18" s="14" customFormat="1" x14ac:dyDescent="0.25">
      <c r="A15" s="13"/>
      <c r="B15" s="21"/>
      <c r="C15" s="21"/>
      <c r="D15" s="58"/>
      <c r="E15" s="58"/>
      <c r="G15" s="13"/>
      <c r="H15" s="58"/>
      <c r="I15" s="58"/>
      <c r="J15" s="58"/>
      <c r="L15" s="15"/>
      <c r="M15" s="15"/>
      <c r="N15" s="15"/>
      <c r="P15" s="15"/>
      <c r="Q15" s="15"/>
      <c r="R15" s="15"/>
    </row>
    <row r="16" spans="1:18" s="14" customFormat="1" x14ac:dyDescent="0.25">
      <c r="A16" s="15"/>
      <c r="B16" s="21"/>
      <c r="C16" s="21"/>
      <c r="D16" s="58"/>
      <c r="E16" s="58"/>
      <c r="G16" s="15"/>
      <c r="H16" s="58"/>
      <c r="I16" s="58"/>
      <c r="J16" s="58"/>
      <c r="L16" s="13"/>
      <c r="P16" s="13"/>
    </row>
    <row r="17" spans="1:20" s="14" customFormat="1" x14ac:dyDescent="0.25">
      <c r="A17" s="13"/>
      <c r="B17" s="21"/>
      <c r="C17" s="21"/>
      <c r="D17" s="58"/>
      <c r="E17" s="58"/>
      <c r="G17" s="13"/>
      <c r="H17" s="58"/>
      <c r="I17" s="58"/>
      <c r="J17" s="58"/>
      <c r="L17" s="15"/>
      <c r="M17" s="15"/>
      <c r="N17" s="15"/>
      <c r="P17" s="15"/>
      <c r="Q17" s="15"/>
      <c r="R17" s="15"/>
    </row>
    <row r="18" spans="1:20" s="14" customFormat="1" x14ac:dyDescent="0.25">
      <c r="A18" s="15"/>
      <c r="B18" s="21"/>
      <c r="C18" s="21"/>
      <c r="D18" s="58"/>
      <c r="E18" s="58"/>
      <c r="G18" s="15"/>
      <c r="H18" s="58"/>
      <c r="I18" s="58"/>
      <c r="J18" s="58"/>
      <c r="L18" s="13"/>
      <c r="P18" s="13"/>
    </row>
    <row r="19" spans="1:20" s="14" customFormat="1" x14ac:dyDescent="0.25">
      <c r="A19" s="13"/>
      <c r="B19" s="21"/>
      <c r="C19" s="21"/>
      <c r="D19" s="58"/>
      <c r="E19" s="58"/>
      <c r="G19" s="13"/>
      <c r="H19" s="58"/>
      <c r="I19" s="58"/>
      <c r="J19" s="58"/>
      <c r="L19" s="15"/>
      <c r="M19" s="15"/>
      <c r="N19" s="15"/>
      <c r="P19" s="15"/>
      <c r="Q19" s="15"/>
      <c r="R19" s="15"/>
    </row>
    <row r="20" spans="1:20" s="14" customFormat="1" x14ac:dyDescent="0.25">
      <c r="A20" s="15"/>
      <c r="B20" s="21"/>
      <c r="C20" s="21"/>
      <c r="D20" s="58"/>
      <c r="E20" s="58"/>
      <c r="G20" s="15"/>
      <c r="H20" s="58"/>
      <c r="I20" s="58"/>
      <c r="J20" s="58"/>
      <c r="L20" s="13"/>
      <c r="P20" s="13"/>
    </row>
    <row r="21" spans="1:20" x14ac:dyDescent="0.25">
      <c r="A21" s="13"/>
      <c r="B21" s="21"/>
      <c r="C21" s="21"/>
      <c r="D21" s="58"/>
      <c r="E21" s="58"/>
      <c r="F21" s="14"/>
      <c r="G21" s="13"/>
      <c r="H21" s="58"/>
      <c r="I21" s="58"/>
      <c r="J21" s="58"/>
      <c r="K21" s="14"/>
      <c r="L21" s="15"/>
      <c r="M21" s="15"/>
      <c r="N21" s="15"/>
      <c r="O21" s="14"/>
      <c r="P21" s="15"/>
      <c r="Q21" s="15"/>
      <c r="R21" s="15"/>
      <c r="S21" s="14"/>
      <c r="T21" s="14"/>
    </row>
    <row r="22" spans="1:20" x14ac:dyDescent="0.25">
      <c r="A22" s="15"/>
      <c r="B22" s="21"/>
      <c r="C22" s="21"/>
      <c r="D22" s="58"/>
      <c r="E22" s="58"/>
      <c r="F22" s="14"/>
      <c r="G22" s="15"/>
      <c r="H22" s="58"/>
      <c r="I22" s="58"/>
      <c r="J22" s="58"/>
      <c r="K22" s="14"/>
      <c r="L22" s="13"/>
      <c r="M22" s="14"/>
      <c r="N22" s="14"/>
      <c r="O22" s="14"/>
      <c r="P22" s="13"/>
      <c r="Q22" s="14"/>
      <c r="R22" s="14"/>
      <c r="S22" s="14"/>
      <c r="T22" s="14"/>
    </row>
    <row r="23" spans="1:20" x14ac:dyDescent="0.25">
      <c r="A23" s="13"/>
      <c r="B23" s="21"/>
      <c r="C23" s="21"/>
      <c r="D23" s="58"/>
      <c r="E23" s="58"/>
      <c r="F23" s="14"/>
      <c r="G23" s="13"/>
      <c r="H23" s="58"/>
      <c r="I23" s="58"/>
      <c r="J23" s="58"/>
      <c r="K23" s="14"/>
      <c r="L23" s="15"/>
      <c r="M23" s="15"/>
      <c r="N23" s="15"/>
      <c r="O23" s="14"/>
      <c r="P23" s="15"/>
      <c r="Q23" s="15"/>
      <c r="R23" s="15"/>
      <c r="S23" s="14"/>
      <c r="T23" s="14"/>
    </row>
    <row r="24" spans="1:20" s="2" customFormat="1" x14ac:dyDescent="0.25">
      <c r="A24" s="15"/>
      <c r="B24" s="21"/>
      <c r="C24" s="21"/>
      <c r="D24" s="58"/>
      <c r="E24" s="58"/>
      <c r="F24" s="14"/>
      <c r="G24" s="15"/>
      <c r="H24" s="58"/>
      <c r="I24" s="58"/>
      <c r="J24" s="58"/>
      <c r="K24" s="14"/>
      <c r="L24" s="13"/>
      <c r="M24" s="14"/>
      <c r="N24" s="14"/>
      <c r="O24" s="14"/>
      <c r="P24" s="13"/>
      <c r="Q24" s="14"/>
      <c r="R24" s="14"/>
      <c r="S24" s="14"/>
      <c r="T24" s="14"/>
    </row>
    <row r="25" spans="1:20" x14ac:dyDescent="0.25">
      <c r="A25" s="13"/>
      <c r="B25" s="21"/>
      <c r="C25" s="21"/>
      <c r="D25" s="58"/>
      <c r="E25" s="58"/>
      <c r="F25" s="14"/>
      <c r="G25" s="13"/>
      <c r="H25" s="58"/>
      <c r="I25" s="58"/>
      <c r="J25" s="58"/>
      <c r="K25" s="14"/>
      <c r="L25" s="15"/>
      <c r="M25" s="15"/>
      <c r="N25" s="15"/>
      <c r="O25" s="14"/>
      <c r="P25" s="15"/>
      <c r="Q25" s="15"/>
      <c r="R25" s="15"/>
      <c r="S25" s="14"/>
      <c r="T25" s="14"/>
    </row>
    <row r="26" spans="1:20" x14ac:dyDescent="0.25">
      <c r="A26" s="15"/>
      <c r="B26" s="21"/>
      <c r="C26" s="21"/>
      <c r="D26" s="58"/>
      <c r="E26" s="58"/>
      <c r="F26" s="14"/>
      <c r="G26" s="15"/>
      <c r="H26" s="58"/>
      <c r="I26" s="58"/>
      <c r="J26" s="58"/>
      <c r="K26" s="14"/>
      <c r="L26" s="13"/>
      <c r="M26" s="14"/>
      <c r="N26" s="14"/>
      <c r="O26" s="14"/>
      <c r="P26" s="13"/>
      <c r="Q26" s="14"/>
      <c r="R26" s="14"/>
      <c r="S26" s="14"/>
      <c r="T26" s="14"/>
    </row>
    <row r="27" spans="1:20" x14ac:dyDescent="0.25">
      <c r="A27" s="13"/>
      <c r="B27" s="21"/>
      <c r="C27" s="21"/>
      <c r="D27" s="58"/>
      <c r="E27" s="58"/>
      <c r="F27" s="14"/>
      <c r="G27" s="13"/>
      <c r="H27" s="58"/>
      <c r="I27" s="58"/>
      <c r="J27" s="58"/>
      <c r="K27" s="14"/>
      <c r="L27" s="15"/>
      <c r="M27" s="15"/>
      <c r="N27" s="15"/>
      <c r="O27" s="14"/>
      <c r="P27" s="15"/>
      <c r="Q27" s="15"/>
      <c r="R27" s="15"/>
      <c r="S27" s="14"/>
      <c r="T27" s="14"/>
    </row>
    <row r="28" spans="1:20" x14ac:dyDescent="0.25">
      <c r="A28" s="15"/>
      <c r="B28" s="21"/>
      <c r="C28" s="21"/>
      <c r="D28" s="58"/>
      <c r="E28" s="58"/>
      <c r="F28" s="14"/>
      <c r="G28" s="15"/>
      <c r="H28" s="58"/>
      <c r="I28" s="58"/>
      <c r="J28" s="58"/>
      <c r="K28" s="14"/>
      <c r="L28" s="13"/>
      <c r="M28" s="14"/>
      <c r="N28" s="14"/>
      <c r="O28" s="14"/>
      <c r="P28" s="13"/>
      <c r="Q28" s="14"/>
      <c r="R28" s="14"/>
      <c r="S28" s="14"/>
      <c r="T28" s="14"/>
    </row>
    <row r="29" spans="1:20" x14ac:dyDescent="0.25">
      <c r="A29" s="13"/>
      <c r="B29" s="21"/>
      <c r="C29" s="21"/>
      <c r="D29" s="58"/>
      <c r="E29" s="58"/>
      <c r="F29" s="14"/>
      <c r="G29" s="13"/>
      <c r="H29" s="58"/>
      <c r="I29" s="58"/>
      <c r="J29" s="58"/>
      <c r="K29" s="14"/>
      <c r="L29" s="15"/>
      <c r="M29" s="15"/>
      <c r="N29" s="15"/>
      <c r="O29" s="14"/>
      <c r="P29" s="15"/>
      <c r="Q29" s="15"/>
      <c r="R29" s="15"/>
      <c r="S29" s="14"/>
      <c r="T29" s="14"/>
    </row>
    <row r="30" spans="1:20" x14ac:dyDescent="0.25">
      <c r="A30" s="15"/>
      <c r="B30" s="21"/>
      <c r="C30" s="21"/>
      <c r="D30" s="58"/>
      <c r="E30" s="58"/>
      <c r="F30" s="14"/>
      <c r="G30" s="15"/>
      <c r="H30" s="58"/>
      <c r="I30" s="58"/>
      <c r="J30" s="58"/>
      <c r="K30" s="14"/>
      <c r="L30" s="13"/>
      <c r="M30" s="14"/>
      <c r="N30" s="14"/>
      <c r="O30" s="14"/>
      <c r="P30" s="13"/>
      <c r="Q30" s="14"/>
      <c r="R30" s="14"/>
      <c r="S30" s="14"/>
      <c r="T30" s="14"/>
    </row>
    <row r="31" spans="1:20" x14ac:dyDescent="0.25">
      <c r="A31" s="13"/>
      <c r="B31" s="21"/>
      <c r="C31" s="21"/>
      <c r="D31" s="58"/>
      <c r="E31" s="58"/>
      <c r="F31" s="14"/>
      <c r="G31" s="13"/>
      <c r="H31" s="58"/>
      <c r="I31" s="58"/>
      <c r="J31" s="58"/>
      <c r="K31" s="14"/>
      <c r="L31" s="15"/>
      <c r="M31" s="15"/>
      <c r="N31" s="15"/>
      <c r="O31" s="14"/>
      <c r="P31" s="15"/>
      <c r="Q31" s="15"/>
      <c r="R31" s="15"/>
      <c r="S31" s="14"/>
      <c r="T31" s="14"/>
    </row>
    <row r="32" spans="1:20" x14ac:dyDescent="0.25">
      <c r="A32" s="15"/>
      <c r="B32" s="21"/>
      <c r="C32" s="21"/>
      <c r="D32" s="58"/>
      <c r="E32" s="58"/>
      <c r="F32" s="14"/>
      <c r="G32" s="15"/>
      <c r="H32" s="58"/>
      <c r="I32" s="58"/>
      <c r="J32" s="58"/>
      <c r="K32" s="14"/>
      <c r="L32" s="13"/>
      <c r="M32" s="14"/>
      <c r="N32" s="14"/>
      <c r="O32" s="14"/>
      <c r="P32" s="13"/>
      <c r="Q32" s="14"/>
      <c r="R32" s="14"/>
      <c r="S32" s="14"/>
      <c r="T32" s="14"/>
    </row>
    <row r="33" spans="1:20" x14ac:dyDescent="0.25">
      <c r="A33" s="13"/>
      <c r="B33" s="21"/>
      <c r="C33" s="21"/>
      <c r="D33" s="58"/>
      <c r="E33" s="58"/>
      <c r="F33" s="14"/>
      <c r="G33" s="13"/>
      <c r="H33" s="58"/>
      <c r="I33" s="58"/>
      <c r="J33" s="58"/>
      <c r="K33" s="14"/>
      <c r="L33" s="15"/>
      <c r="M33" s="15"/>
      <c r="N33" s="15"/>
      <c r="O33" s="14"/>
      <c r="P33" s="15"/>
      <c r="Q33" s="15"/>
      <c r="R33" s="15"/>
      <c r="S33" s="14"/>
      <c r="T33" s="14"/>
    </row>
    <row r="34" spans="1:20" x14ac:dyDescent="0.25">
      <c r="A34" s="15"/>
      <c r="B34" s="21"/>
      <c r="C34" s="21"/>
      <c r="D34" s="58"/>
      <c r="E34" s="58"/>
      <c r="F34" s="14"/>
      <c r="G34" s="15"/>
      <c r="H34" s="58"/>
      <c r="I34" s="58"/>
      <c r="J34" s="58"/>
      <c r="K34" s="14"/>
      <c r="L34" s="13"/>
      <c r="M34" s="14"/>
      <c r="N34" s="14"/>
      <c r="O34" s="14"/>
      <c r="P34" s="13"/>
      <c r="Q34" s="14"/>
      <c r="R34" s="14"/>
      <c r="S34" s="14"/>
      <c r="T34" s="14"/>
    </row>
    <row r="36" spans="1:20" x14ac:dyDescent="0.25">
      <c r="A36" s="1"/>
      <c r="B36" s="1"/>
    </row>
  </sheetData>
  <mergeCells count="14">
    <mergeCell ref="A1:B1"/>
    <mergeCell ref="A10:B10"/>
    <mergeCell ref="A11:B11"/>
    <mergeCell ref="A6:B6"/>
    <mergeCell ref="C6:O6"/>
    <mergeCell ref="A7:B7"/>
    <mergeCell ref="A8:B8"/>
    <mergeCell ref="A9:B9"/>
    <mergeCell ref="C9:O9"/>
    <mergeCell ref="A5:B5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R36"/>
  <sheetViews>
    <sheetView workbookViewId="0">
      <selection sqref="A1:B1"/>
    </sheetView>
  </sheetViews>
  <sheetFormatPr defaultRowHeight="15" x14ac:dyDescent="0.25"/>
  <cols>
    <col min="3" max="3" width="9.85546875" bestFit="1" customWidth="1"/>
    <col min="4" max="4" width="9.28515625" bestFit="1" customWidth="1"/>
    <col min="5" max="5" width="8.85546875" bestFit="1" customWidth="1"/>
    <col min="6" max="7" width="9.42578125" bestFit="1" customWidth="1"/>
    <col min="8" max="8" width="9.28515625" bestFit="1" customWidth="1"/>
    <col min="9" max="10" width="9.5703125" bestFit="1" customWidth="1"/>
    <col min="11" max="11" width="9.28515625" bestFit="1" customWidth="1"/>
    <col min="12" max="12" width="9.42578125" bestFit="1" customWidth="1"/>
    <col min="13" max="13" width="9.7109375" bestFit="1" customWidth="1"/>
    <col min="14" max="14" width="9.28515625" bestFit="1" customWidth="1"/>
    <col min="15" max="15" width="9.8554687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66" t="s">
        <v>6</v>
      </c>
      <c r="B1" s="167"/>
      <c r="C1" s="76" t="str">
        <f t="array" ref="C1">RTD("tickerplantrtdserver",,"FWRC1#GBPUSD#Month Wise Rates#0#S#Desc.2")</f>
        <v>TN</v>
      </c>
      <c r="D1" s="76" t="str">
        <f t="array" ref="D1">RTD("tickerplantrtdserver",,"FWRC1#GBPUSD#Month Wise Rates#0#S#Desc.7")</f>
        <v>1M</v>
      </c>
      <c r="E1" s="76" t="str">
        <f t="array" ref="E1">RTD("tickerplantrtdserver",,"FWRC1#GBPUSD#Month Wise Rates#0#S#Desc.8")</f>
        <v>2M</v>
      </c>
      <c r="F1" s="76" t="str">
        <f t="array" ref="F1">RTD("tickerplantrtdserver",,"FWRC1#GBPUSD#Month Wise Rates#0#S#Desc.9")</f>
        <v>3M</v>
      </c>
      <c r="G1" s="76" t="str">
        <f t="array" ref="G1">RTD("tickerplantrtdserver",,"FWRC1#GBPUSD#Month Wise Rates#0#S#Desc.10")</f>
        <v>4M</v>
      </c>
      <c r="H1" s="76" t="str">
        <f t="array" ref="H1">RTD("tickerplantrtdserver",,"FWRC1#GBPUSD#Month Wise Rates#0#S#Desc.11")</f>
        <v>5M</v>
      </c>
      <c r="I1" s="76" t="str">
        <f t="array" ref="I1">RTD("tickerplantrtdserver",,"FWRC1#GBPUSD#Month Wise Rates#0#S#Desc.12")</f>
        <v>6M</v>
      </c>
      <c r="J1" s="76" t="str">
        <f t="array" ref="J1">RTD("tickerplantrtdserver",,"FWRC1#GBPUSD#Month Wise Rates#0#S#Desc.13")</f>
        <v>7M</v>
      </c>
      <c r="K1" s="76" t="str">
        <f t="array" ref="K1">RTD("tickerplantrtdserver",,"FWRC1#GBPUSD#Month Wise Rates#0#S#Desc.14")</f>
        <v>8M</v>
      </c>
      <c r="L1" s="76" t="str">
        <f t="array" ref="L1">RTD("tickerplantrtdserver",,"FWRC1#GBPUSD#Month Wise Rates#0#S#Desc.15")</f>
        <v>9M</v>
      </c>
      <c r="M1" s="76" t="str">
        <f t="array" ref="M1">RTD("tickerplantrtdserver",,"FWRC1#GBPUSD#Month Wise Rates#0#S#Desc.16")</f>
        <v>10M</v>
      </c>
      <c r="N1" s="76" t="str">
        <f t="array" ref="N1">RTD("tickerplantrtdserver",,"FWRC1#GBPUSD#Month Wise Rates#0#S#Desc.17")</f>
        <v>11M</v>
      </c>
      <c r="O1" s="77" t="str">
        <f t="array" ref="O1">RTD("tickerplantrtdserver",,"FWRC1#GBPUSD#Month Wise Rates#0#S#Desc.18")</f>
        <v>12M</v>
      </c>
    </row>
    <row r="2" spans="1:18" s="14" customFormat="1" ht="15.75" customHeight="1" x14ac:dyDescent="0.25">
      <c r="A2" s="158" t="s">
        <v>5</v>
      </c>
      <c r="B2" s="159"/>
      <c r="C2" s="71" t="str">
        <f t="array" ref="C2">RTD("tickerplantrtdserver",,"FWRC1#GBPUSD#Month Wise Rates#0#S#PillarDate2")</f>
        <v>20-Aug-2020</v>
      </c>
      <c r="D2" s="71" t="str">
        <f t="array" ref="D2">RTD("tickerplantrtdserver",,"FWRC1#GBPUSD#Month Wise Rates#0#S#PillarDate7")</f>
        <v>21-Sep-2020</v>
      </c>
      <c r="E2" s="71" t="str">
        <f t="array" ref="E2">RTD("tickerplantrtdserver",,"FWRC1#GBPUSD#Month Wise Rates#0#S#PillarDate8")</f>
        <v>20-Oct-2020</v>
      </c>
      <c r="F2" s="71" t="str">
        <f t="array" ref="F2">RTD("tickerplantrtdserver",,"FWRC1#GBPUSD#Month Wise Rates#0#S#PillarDate9")</f>
        <v>20-Nov-2020</v>
      </c>
      <c r="G2" s="71" t="str">
        <f t="array" ref="G2">RTD("tickerplantrtdserver",,"FWRC1#GBPUSD#Month Wise Rates#0#S#PillarDate10")</f>
        <v>21-Dec-2020</v>
      </c>
      <c r="H2" s="71" t="str">
        <f t="array" ref="H2">RTD("tickerplantrtdserver",,"FWRC1#GBPUSD#Month Wise Rates#0#S#PillarDate11")</f>
        <v>20-Jan-2021</v>
      </c>
      <c r="I2" s="71" t="str">
        <f t="array" ref="I2">RTD("tickerplantrtdserver",,"FWRC1#GBPUSD#Month Wise Rates#0#S#PillarDate12")</f>
        <v>22-Feb-2021</v>
      </c>
      <c r="J2" s="71" t="str">
        <f t="array" ref="J2">RTD("tickerplantrtdserver",,"FWRC1#GBPUSD#Month Wise Rates#0#S#PillarDate13")</f>
        <v>22-Mar-2021</v>
      </c>
      <c r="K2" s="71" t="str">
        <f t="array" ref="K2">RTD("tickerplantrtdserver",,"FWRC1#GBPUSD#Month Wise Rates#0#S#PillarDate14")</f>
        <v>20-Apr-2021</v>
      </c>
      <c r="L2" s="71" t="str">
        <f t="array" ref="L2">RTD("tickerplantrtdserver",,"FWRC1#GBPUSD#Month Wise Rates#0#S#PillarDate15")</f>
        <v>20-May-2021</v>
      </c>
      <c r="M2" s="71" t="str">
        <f t="array" ref="M2">RTD("tickerplantrtdserver",,"FWRC1#GBPUSD#Month Wise Rates#0#S#PillarDate16")</f>
        <v>21-Jun-2021</v>
      </c>
      <c r="N2" s="71" t="str">
        <f t="array" ref="N2">RTD("tickerplantrtdserver",,"FWRC1#GBPUSD#Month Wise Rates#0#S#PillarDate17")</f>
        <v>20-Jul-2021</v>
      </c>
      <c r="O2" s="75" t="str">
        <f t="array" ref="O2">RTD("tickerplantrtdserver",,"FWRC1#GBPUSD#Month Wise Rates#0#S#PillarDate18")</f>
        <v>20-Aug-2021</v>
      </c>
      <c r="P2" s="30"/>
    </row>
    <row r="3" spans="1:18" s="14" customFormat="1" x14ac:dyDescent="0.25">
      <c r="A3" s="162" t="s">
        <v>4</v>
      </c>
      <c r="B3" s="163"/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5"/>
      <c r="P3" s="15"/>
    </row>
    <row r="4" spans="1:18" s="14" customFormat="1" x14ac:dyDescent="0.25">
      <c r="A4" s="158" t="s">
        <v>47</v>
      </c>
      <c r="B4" s="159"/>
      <c r="C4" s="65">
        <f t="array" ref="C4">RTD("tickerplantrtdserver",,"FWRC1#GBPUSD#Month Wise Rates#0#BidPrice2")</f>
        <v>2.5000000000000001E-2</v>
      </c>
      <c r="D4" s="65">
        <f t="array" ref="D4">RTD("tickerplantrtdserver",,"FWRC1#GBPUSD#Month Wise Rates#0#BidPrice7")</f>
        <v>2</v>
      </c>
      <c r="E4" s="65">
        <f t="array" ref="E4">RTD("tickerplantrtdserver",,"FWRC1#GBPUSD#Month Wise Rates#0#BidPrice8")</f>
        <v>4.1500000000000004</v>
      </c>
      <c r="F4" s="65">
        <f t="array" ref="F4">RTD("tickerplantrtdserver",,"FWRC1#GBPUSD#Month Wise Rates#0#BidPrice9")</f>
        <v>5.85</v>
      </c>
      <c r="G4" s="65">
        <f t="array" ref="G4">RTD("tickerplantrtdserver",,"FWRC1#GBPUSD#Month Wise Rates#0#BidPrice10")</f>
        <v>7.44</v>
      </c>
      <c r="H4" s="65">
        <f t="array" ref="H4">RTD("tickerplantrtdserver",,"FWRC1#GBPUSD#Month Wise Rates#0#BidPrice11")</f>
        <v>12.85</v>
      </c>
      <c r="I4" s="65">
        <f t="array" ref="I4">RTD("tickerplantrtdserver",,"FWRC1#GBPUSD#Month Wise Rates#0#BidPrice12")</f>
        <v>13.8</v>
      </c>
      <c r="J4" s="65">
        <f t="array" ref="J4">RTD("tickerplantrtdserver",,"FWRC1#GBPUSD#Month Wise Rates#0#BidPrice13")</f>
        <v>15.16</v>
      </c>
      <c r="K4" s="65">
        <f t="array" ref="K4">RTD("tickerplantrtdserver",,"FWRC1#GBPUSD#Month Wise Rates#0#BidPrice14")</f>
        <v>16.2</v>
      </c>
      <c r="L4" s="65">
        <f t="array" ref="L4">RTD("tickerplantrtdserver",,"FWRC1#GBPUSD#Month Wise Rates#0#BidPrice15")</f>
        <v>17.760000000000002</v>
      </c>
      <c r="M4" s="65">
        <f t="array" ref="M4">RTD("tickerplantrtdserver",,"FWRC1#GBPUSD#Month Wise Rates#0#BidPrice16")</f>
        <v>19.2</v>
      </c>
      <c r="N4" s="65">
        <f t="array" ref="N4">RTD("tickerplantrtdserver",,"FWRC1#GBPUSD#Month Wise Rates#0#BidPrice17")</f>
        <v>20.190000000000001</v>
      </c>
      <c r="O4" s="67">
        <f t="array" ref="O4">RTD("tickerplantrtdserver",,"FWRC1#GBPUSD#Month Wise Rates#0#BidPrice18")</f>
        <v>22</v>
      </c>
      <c r="P4" s="20"/>
    </row>
    <row r="5" spans="1:18" s="14" customFormat="1" x14ac:dyDescent="0.25">
      <c r="A5" s="158" t="s">
        <v>48</v>
      </c>
      <c r="B5" s="159"/>
      <c r="C5" s="65">
        <f t="array" ref="C5">RTD("tickerplantrtdserver",,"FWRC1#GBPUSD#Month Wise Rates#0#AskPrice2")</f>
        <v>0.105</v>
      </c>
      <c r="D5" s="65">
        <f t="array" ref="D5">RTD("tickerplantrtdserver",,"FWRC1#GBPUSD#Month Wise Rates#0#AskPrice7")</f>
        <v>2.2999999999999998</v>
      </c>
      <c r="E5" s="65">
        <f t="array" ref="E5">RTD("tickerplantrtdserver",,"FWRC1#GBPUSD#Month Wise Rates#0#AskPrice8")</f>
        <v>4.6500000000000004</v>
      </c>
      <c r="F5" s="65">
        <f t="array" ref="F5">RTD("tickerplantrtdserver",,"FWRC1#GBPUSD#Month Wise Rates#0#AskPrice9")</f>
        <v>6.55</v>
      </c>
      <c r="G5" s="65">
        <f t="array" ref="G5">RTD("tickerplantrtdserver",,"FWRC1#GBPUSD#Month Wise Rates#0#AskPrice10")</f>
        <v>7.76</v>
      </c>
      <c r="H5" s="65">
        <f t="array" ref="H5">RTD("tickerplantrtdserver",,"FWRC1#GBPUSD#Month Wise Rates#0#AskPrice11")</f>
        <v>13.25</v>
      </c>
      <c r="I5" s="65">
        <f t="array" ref="I5">RTD("tickerplantrtdserver",,"FWRC1#GBPUSD#Month Wise Rates#0#AskPrice12")</f>
        <v>14.8</v>
      </c>
      <c r="J5" s="65">
        <f t="array" ref="J5">RTD("tickerplantrtdserver",,"FWRC1#GBPUSD#Month Wise Rates#0#AskPrice13")</f>
        <v>15.64</v>
      </c>
      <c r="K5" s="65">
        <f t="array" ref="K5">RTD("tickerplantrtdserver",,"FWRC1#GBPUSD#Month Wise Rates#0#AskPrice14")</f>
        <v>17.89</v>
      </c>
      <c r="L5" s="65">
        <f t="array" ref="L5">RTD("tickerplantrtdserver",,"FWRC1#GBPUSD#Month Wise Rates#0#AskPrice15")</f>
        <v>19.91</v>
      </c>
      <c r="M5" s="65">
        <f t="array" ref="M5">RTD("tickerplantrtdserver",,"FWRC1#GBPUSD#Month Wise Rates#0#AskPrice16")</f>
        <v>20.399999999999999</v>
      </c>
      <c r="N5" s="65">
        <f t="array" ref="N5">RTD("tickerplantrtdserver",,"FWRC1#GBPUSD#Month Wise Rates#0#AskPrice17")</f>
        <v>22.49</v>
      </c>
      <c r="O5" s="67">
        <f t="array" ref="O5">RTD("tickerplantrtdserver",,"FWRC1#GBPUSD#Month Wise Rates#0#AskPrice18")</f>
        <v>23.2</v>
      </c>
      <c r="P5" s="20"/>
    </row>
    <row r="6" spans="1:18" s="14" customFormat="1" x14ac:dyDescent="0.25">
      <c r="A6" s="162" t="s">
        <v>3</v>
      </c>
      <c r="B6" s="163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5"/>
      <c r="P6" s="20"/>
    </row>
    <row r="7" spans="1:18" s="14" customFormat="1" x14ac:dyDescent="0.25">
      <c r="A7" s="158" t="s">
        <v>47</v>
      </c>
      <c r="B7" s="159"/>
      <c r="C7" s="64">
        <f t="array" ref="C7">RTD("tickerplantrtdserver",,"FWRC1#GBPUSD#Month Wise Rates#0#FwdOutrightBid2")</f>
        <v>1.3160000000000001</v>
      </c>
      <c r="D7" s="64">
        <f t="array" ref="D7">RTD("tickerplantrtdserver",,"FWRC1#GBPUSD#Month Wise Rates#0#FwdOutrightBid7")</f>
        <v>1.3160000000000001</v>
      </c>
      <c r="E7" s="64">
        <f t="array" ref="E7">RTD("tickerplantrtdserver",,"FWRC1#GBPUSD#Month Wise Rates#0#FwdOutrightBid8")</f>
        <v>1.3163</v>
      </c>
      <c r="F7" s="64">
        <f t="array" ref="F7">RTD("tickerplantrtdserver",,"FWRC1#GBPUSD#Month Wise Rates#0#FwdOutrightBid9")</f>
        <v>1.3163</v>
      </c>
      <c r="G7" s="64">
        <f t="array" ref="G7">RTD("tickerplantrtdserver",,"FWRC1#GBPUSD#Month Wise Rates#0#FwdOutrightBid10")</f>
        <v>1.3165</v>
      </c>
      <c r="H7" s="64">
        <f t="array" ref="H7">RTD("tickerplantrtdserver",,"FWRC1#GBPUSD#Month Wise Rates#0#FwdOutrightBid11")</f>
        <v>1.3173999999999999</v>
      </c>
      <c r="I7" s="64">
        <f t="array" ref="I7">RTD("tickerplantrtdserver",,"FWRC1#GBPUSD#Month Wise Rates#0#FwdOutrightBid12")</f>
        <v>1.3174999999999999</v>
      </c>
      <c r="J7" s="64">
        <f t="array" ref="J7">RTD("tickerplantrtdserver",,"FWRC1#GBPUSD#Month Wise Rates#0#FwdOutrightBid13")</f>
        <v>1.3177000000000001</v>
      </c>
      <c r="K7" s="64">
        <f t="array" ref="K7">RTD("tickerplantrtdserver",,"FWRC1#GBPUSD#Month Wise Rates#0#FwdOutrightBid14")</f>
        <v>1.3179000000000001</v>
      </c>
      <c r="L7" s="64">
        <f t="array" ref="L7">RTD("tickerplantrtdserver",,"FWRC1#GBPUSD#Month Wise Rates#0#FwdOutrightBid15")</f>
        <v>1.3180000000000001</v>
      </c>
      <c r="M7" s="64">
        <f t="array" ref="M7">RTD("tickerplantrtdserver",,"FWRC1#GBPUSD#Month Wise Rates#0#FwdOutrightBid16")</f>
        <v>1.3182</v>
      </c>
      <c r="N7" s="64">
        <f t="array" ref="N7">RTD("tickerplantrtdserver",,"FWRC1#GBPUSD#Month Wise Rates#0#FwdOutrightBid17")</f>
        <v>1.3183</v>
      </c>
      <c r="O7" s="68">
        <f t="array" ref="O7">RTD("tickerplantrtdserver",,"FWRC1#GBPUSD#Month Wise Rates#0#FwdOutrightBid18")</f>
        <v>1.3184</v>
      </c>
      <c r="P7" s="20"/>
    </row>
    <row r="8" spans="1:18" s="14" customFormat="1" x14ac:dyDescent="0.25">
      <c r="A8" s="158" t="s">
        <v>48</v>
      </c>
      <c r="B8" s="159"/>
      <c r="C8" s="64">
        <f t="array" ref="C8">RTD("tickerplantrtdserver",,"FWRC1#GBPUSD#Month Wise Rates#0#FwdOutrightAsk2")</f>
        <v>1.3160000000000001</v>
      </c>
      <c r="D8" s="64">
        <f t="array" ref="D8">RTD("tickerplantrtdserver",,"FWRC1#GBPUSD#Month Wise Rates#0#FwdOutrightAsk7")</f>
        <v>1.3160000000000001</v>
      </c>
      <c r="E8" s="64">
        <f t="array" ref="E8">RTD("tickerplantrtdserver",,"FWRC1#GBPUSD#Month Wise Rates#0#FwdOutrightAsk8")</f>
        <v>1.3164</v>
      </c>
      <c r="F8" s="64">
        <f t="array" ref="F8">RTD("tickerplantrtdserver",,"FWRC1#GBPUSD#Month Wise Rates#0#FwdOutrightAsk9")</f>
        <v>1.3165</v>
      </c>
      <c r="G8" s="64">
        <f t="array" ref="G8">RTD("tickerplantrtdserver",,"FWRC1#GBPUSD#Month Wise Rates#0#FwdOutrightAsk10")</f>
        <v>1.3170999999999999</v>
      </c>
      <c r="H8" s="64">
        <f t="array" ref="H8">RTD("tickerplantrtdserver",,"FWRC1#GBPUSD#Month Wise Rates#0#FwdOutrightAsk11")</f>
        <v>1.3176000000000001</v>
      </c>
      <c r="I8" s="64">
        <f t="array" ref="I8">RTD("tickerplantrtdserver",,"FWRC1#GBPUSD#Month Wise Rates#0#FwdOutrightAsk12")</f>
        <v>1.3179000000000001</v>
      </c>
      <c r="J8" s="64">
        <f t="array" ref="J8">RTD("tickerplantrtdserver",,"FWRC1#GBPUSD#Month Wise Rates#0#FwdOutrightAsk13")</f>
        <v>1.3178000000000001</v>
      </c>
      <c r="K8" s="64">
        <f t="array" ref="K8">RTD("tickerplantrtdserver",,"FWRC1#GBPUSD#Month Wise Rates#0#FwdOutrightAsk14")</f>
        <v>1.3181</v>
      </c>
      <c r="L8" s="64">
        <f t="array" ref="L8">RTD("tickerplantrtdserver",,"FWRC1#GBPUSD#Month Wise Rates#0#FwdOutrightAsk15")</f>
        <v>1.3183</v>
      </c>
      <c r="M8" s="64">
        <f t="array" ref="M8">RTD("tickerplantrtdserver",,"FWRC1#GBPUSD#Month Wise Rates#0#FwdOutrightAsk16")</f>
        <v>1.3183</v>
      </c>
      <c r="N8" s="64">
        <f t="array" ref="N8">RTD("tickerplantrtdserver",,"FWRC1#GBPUSD#Month Wise Rates#0#FwdOutrightAsk17")</f>
        <v>1.3186</v>
      </c>
      <c r="O8" s="68">
        <f t="array" ref="O8">RTD("tickerplantrtdserver",,"FWRC1#GBPUSD#Month Wise Rates#0#FwdOutrightAsk18")</f>
        <v>1.3186</v>
      </c>
    </row>
    <row r="9" spans="1:18" s="14" customFormat="1" x14ac:dyDescent="0.25">
      <c r="A9" s="162" t="s">
        <v>2</v>
      </c>
      <c r="B9" s="163"/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5"/>
    </row>
    <row r="10" spans="1:18" s="14" customFormat="1" x14ac:dyDescent="0.25">
      <c r="A10" s="158" t="s">
        <v>47</v>
      </c>
      <c r="B10" s="159"/>
      <c r="C10" s="65">
        <f t="array" ref="C10">RTD("tickerplantrtdserver",,"FWRC1#GBPUSD#Month Wise Rates#0#Bid%2")</f>
        <v>6.93E-2</v>
      </c>
      <c r="D10" s="65">
        <f t="array" ref="D10">RTD("tickerplantrtdserver",,"FWRC1#GBPUSD#Month Wise Rates#0#Bid%7")</f>
        <v>0.1734</v>
      </c>
      <c r="E10" s="65">
        <f t="array" ref="E10">RTD("tickerplantrtdserver",,"FWRC1#GBPUSD#Month Wise Rates#0#Bid%8")</f>
        <v>0.18870000000000001</v>
      </c>
      <c r="F10" s="65">
        <f t="array" ref="F10">RTD("tickerplantrtdserver",,"FWRC1#GBPUSD#Month Wise Rates#0#Bid%9")</f>
        <v>0.1764</v>
      </c>
      <c r="G10" s="65">
        <f t="array" ref="G10">RTD("tickerplantrtdserver",,"FWRC1#GBPUSD#Month Wise Rates#0#Bid%10")</f>
        <v>0.16769999999999999</v>
      </c>
      <c r="H10" s="65">
        <f t="array" ref="H10">RTD("tickerplantrtdserver",,"FWRC1#GBPUSD#Month Wise Rates#0#Bid%11")</f>
        <v>0.2329</v>
      </c>
      <c r="I10" s="65">
        <f t="array" ref="I10">RTD("tickerplantrtdserver",,"FWRC1#GBPUSD#Month Wise Rates#0#Bid%12")</f>
        <v>0.20569999999999999</v>
      </c>
      <c r="J10" s="65">
        <f t="array" ref="J10">RTD("tickerplantrtdserver",,"FWRC1#GBPUSD#Month Wise Rates#0#Bid%13")</f>
        <v>0.19639999999999999</v>
      </c>
      <c r="K10" s="65">
        <f t="array" ref="K10">RTD("tickerplantrtdserver",,"FWRC1#GBPUSD#Month Wise Rates#0#Bid%14")</f>
        <v>0.18490000000000001</v>
      </c>
      <c r="L10" s="65">
        <f t="array" ref="L10">RTD("tickerplantrtdserver",,"FWRC1#GBPUSD#Month Wise Rates#0#Bid%15")</f>
        <v>0.1804</v>
      </c>
      <c r="M10" s="65">
        <f t="array" ref="M10">RTD("tickerplantrtdserver",,"FWRC1#GBPUSD#Month Wise Rates#0#Bid%16")</f>
        <v>0.17460000000000001</v>
      </c>
      <c r="N10" s="65">
        <f t="array" ref="N10">RTD("tickerplantrtdserver",,"FWRC1#GBPUSD#Month Wise Rates#0#Bid%17")</f>
        <v>0.1676</v>
      </c>
      <c r="O10" s="67">
        <f t="array" ref="O10">RTD("tickerplantrtdserver",,"FWRC1#GBPUSD#Month Wise Rates#0#Bid%18")</f>
        <v>0.1671</v>
      </c>
    </row>
    <row r="11" spans="1:18" s="14" customFormat="1" ht="15.75" thickBot="1" x14ac:dyDescent="0.3">
      <c r="A11" s="160" t="s">
        <v>48</v>
      </c>
      <c r="B11" s="161"/>
      <c r="C11" s="69">
        <f t="array" ref="C11">RTD("tickerplantrtdserver",,"FWRC1#GBPUSD#Month Wise Rates#0#Ask%2")</f>
        <v>0.29120000000000001</v>
      </c>
      <c r="D11" s="69">
        <f t="array" ref="D11">RTD("tickerplantrtdserver",,"FWRC1#GBPUSD#Month Wise Rates#0#Ask%7")</f>
        <v>0.19939999999999999</v>
      </c>
      <c r="E11" s="69">
        <f t="array" ref="E11">RTD("tickerplantrtdserver",,"FWRC1#GBPUSD#Month Wise Rates#0#Ask%8")</f>
        <v>0.2114</v>
      </c>
      <c r="F11" s="69">
        <f t="array" ref="F11">RTD("tickerplantrtdserver",,"FWRC1#GBPUSD#Month Wise Rates#0#Ask%9")</f>
        <v>0.19750000000000001</v>
      </c>
      <c r="G11" s="69">
        <f t="array" ref="G11">RTD("tickerplantrtdserver",,"FWRC1#GBPUSD#Month Wise Rates#0#Ask%10")</f>
        <v>0.17499999999999999</v>
      </c>
      <c r="H11" s="69">
        <f t="array" ref="H11">RTD("tickerplantrtdserver",,"FWRC1#GBPUSD#Month Wise Rates#0#Ask%11")</f>
        <v>0.2402</v>
      </c>
      <c r="I11" s="69">
        <f t="array" ref="I11">RTD("tickerplantrtdserver",,"FWRC1#GBPUSD#Month Wise Rates#0#Ask%12")</f>
        <v>0.22070000000000001</v>
      </c>
      <c r="J11" s="69">
        <f t="array" ref="J11">RTD("tickerplantrtdserver",,"FWRC1#GBPUSD#Month Wise Rates#0#Ask%13")</f>
        <v>0.20269999999999999</v>
      </c>
      <c r="K11" s="69">
        <f t="array" ref="K11">RTD("tickerplantrtdserver",,"FWRC1#GBPUSD#Month Wise Rates#0#Ask%14")</f>
        <v>0.20419999999999999</v>
      </c>
      <c r="L11" s="69">
        <f t="array" ref="L11">RTD("tickerplantrtdserver",,"FWRC1#GBPUSD#Month Wise Rates#0#Ask%15")</f>
        <v>0.20219999999999999</v>
      </c>
      <c r="M11" s="69">
        <f t="array" ref="M11">RTD("tickerplantrtdserver",,"FWRC1#GBPUSD#Month Wise Rates#0#Ask%16")</f>
        <v>0.1855</v>
      </c>
      <c r="N11" s="69">
        <f t="array" ref="N11">RTD("tickerplantrtdserver",,"FWRC1#GBPUSD#Month Wise Rates#0#Ask%17")</f>
        <v>0.1867</v>
      </c>
      <c r="O11" s="70">
        <f t="array" ref="O11">RTD("tickerplantrtdserver",,"FWRC1#GBPUSD#Month Wise Rates#0#Ask%18")</f>
        <v>0.17630000000000001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23"/>
      <c r="R13" s="23"/>
    </row>
    <row r="14" spans="1:18" s="14" customForma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31"/>
      <c r="R14" s="31"/>
    </row>
    <row r="15" spans="1:18" s="14" customForma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5"/>
      <c r="R15" s="15"/>
    </row>
    <row r="16" spans="1:18" s="14" customFormat="1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</row>
    <row r="17" spans="1:16" s="14" customFormat="1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</row>
    <row r="18" spans="1:16" s="14" customFormat="1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</row>
    <row r="19" spans="1:16" s="14" customFormat="1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</row>
    <row r="20" spans="1:16" s="14" customFormat="1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</row>
    <row r="21" spans="1:16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</row>
    <row r="22" spans="1:16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</row>
    <row r="23" spans="1:16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</row>
    <row r="24" spans="1:16" s="2" customFormat="1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</row>
    <row r="25" spans="1:16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</row>
    <row r="26" spans="1:16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</row>
    <row r="27" spans="1:16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</row>
    <row r="28" spans="1:16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</row>
    <row r="29" spans="1:16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</row>
    <row r="30" spans="1:16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</row>
    <row r="31" spans="1:16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</row>
    <row r="32" spans="1:16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</row>
    <row r="33" spans="1:16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</row>
    <row r="36" spans="1:16" x14ac:dyDescent="0.25">
      <c r="A36" s="1"/>
      <c r="B36" s="1"/>
    </row>
  </sheetData>
  <mergeCells count="14">
    <mergeCell ref="A1:B1"/>
    <mergeCell ref="A10:B10"/>
    <mergeCell ref="A11:B11"/>
    <mergeCell ref="A6:B6"/>
    <mergeCell ref="C6:O6"/>
    <mergeCell ref="A7:B7"/>
    <mergeCell ref="A8:B8"/>
    <mergeCell ref="A9:B9"/>
    <mergeCell ref="C9:O9"/>
    <mergeCell ref="A5:B5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36"/>
  <sheetViews>
    <sheetView workbookViewId="0">
      <selection sqref="A1:B1"/>
    </sheetView>
  </sheetViews>
  <sheetFormatPr defaultColWidth="8.85546875" defaultRowHeight="15" x14ac:dyDescent="0.25"/>
  <cols>
    <col min="3" max="3" width="9.85546875" bestFit="1" customWidth="1"/>
    <col min="4" max="4" width="9.28515625" bestFit="1" customWidth="1"/>
    <col min="5" max="5" width="8.85546875" bestFit="1" customWidth="1"/>
    <col min="6" max="7" width="9.42578125" bestFit="1" customWidth="1"/>
    <col min="8" max="8" width="9.28515625" bestFit="1" customWidth="1"/>
    <col min="9" max="10" width="9.5703125" bestFit="1" customWidth="1"/>
    <col min="11" max="11" width="9.28515625" bestFit="1" customWidth="1"/>
    <col min="12" max="12" width="9.42578125" bestFit="1" customWidth="1"/>
    <col min="13" max="13" width="9.7109375" bestFit="1" customWidth="1"/>
    <col min="14" max="14" width="9.28515625" bestFit="1" customWidth="1"/>
    <col min="15" max="15" width="9.8554687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66" t="s">
        <v>6</v>
      </c>
      <c r="B1" s="167"/>
      <c r="C1" s="76" t="str">
        <f t="array" ref="C1">RTD("tickerplantrtdserver",,"FWRC1#USDJPY#Month Wise Rates#0#S#Desc.2")</f>
        <v>TN</v>
      </c>
      <c r="D1" s="76" t="str">
        <f t="array" ref="D1">RTD("tickerplantrtdserver",,"FWRC1#USDJPY#Month Wise Rates#0#S#Desc.7")</f>
        <v>1M</v>
      </c>
      <c r="E1" s="76" t="str">
        <f t="array" ref="E1">RTD("tickerplantrtdserver",,"FWRC1#USDJPY#Month Wise Rates#0#S#Desc.8")</f>
        <v>2M</v>
      </c>
      <c r="F1" s="76" t="str">
        <f t="array" ref="F1">RTD("tickerplantrtdserver",,"FWRC1#USDJPY#Month Wise Rates#0#S#Desc.9")</f>
        <v>3M</v>
      </c>
      <c r="G1" s="76" t="str">
        <f t="array" ref="G1">RTD("tickerplantrtdserver",,"FWRC1#USDJPY#Month Wise Rates#0#S#Desc.10")</f>
        <v>4M</v>
      </c>
      <c r="H1" s="76" t="str">
        <f t="array" ref="H1">RTD("tickerplantrtdserver",,"FWRC1#USDJPY#Month Wise Rates#0#S#Desc.11")</f>
        <v>5M</v>
      </c>
      <c r="I1" s="76" t="str">
        <f t="array" ref="I1">RTD("tickerplantrtdserver",,"FWRC1#USDJPY#Month Wise Rates#0#S#Desc.12")</f>
        <v>6M</v>
      </c>
      <c r="J1" s="76" t="str">
        <f t="array" ref="J1">RTD("tickerplantrtdserver",,"FWRC1#USDJPY#Month Wise Rates#0#S#Desc.13")</f>
        <v>7M</v>
      </c>
      <c r="K1" s="76" t="str">
        <f t="array" ref="K1">RTD("tickerplantrtdserver",,"FWRC1#USDJPY#Month Wise Rates#0#S#Desc.14")</f>
        <v>8M</v>
      </c>
      <c r="L1" s="76" t="str">
        <f t="array" ref="L1">RTD("tickerplantrtdserver",,"FWRC1#USDJPY#Month Wise Rates#0#S#Desc.15")</f>
        <v>9M</v>
      </c>
      <c r="M1" s="76" t="str">
        <f t="array" ref="M1">RTD("tickerplantrtdserver",,"FWRC1#USDJPY#Month Wise Rates#0#S#Desc.16")</f>
        <v>10M</v>
      </c>
      <c r="N1" s="76" t="str">
        <f t="array" ref="N1">RTD("tickerplantrtdserver",,"FWRC1#USDJPY#Month Wise Rates#0#S#Desc.17")</f>
        <v>11M</v>
      </c>
      <c r="O1" s="77" t="str">
        <f t="array" ref="O1">RTD("tickerplantrtdserver",,"FWRC1#USDJPY#Month Wise Rates#0#S#Desc.18")</f>
        <v>12M</v>
      </c>
    </row>
    <row r="2" spans="1:18" s="14" customFormat="1" ht="15.75" customHeight="1" x14ac:dyDescent="0.25">
      <c r="A2" s="158" t="s">
        <v>5</v>
      </c>
      <c r="B2" s="159"/>
      <c r="C2" s="71" t="str">
        <f t="array" ref="C2">RTD("tickerplantrtdserver",,"FWRC1#USDJPY#Month Wise Rates#0#S#PillarDate2")</f>
        <v>20-Aug-2020</v>
      </c>
      <c r="D2" s="71" t="str">
        <f t="array" ref="D2">RTD("tickerplantrtdserver",,"FWRC1#USDJPY#Month Wise Rates#0#S#PillarDate7")</f>
        <v>23-Sep-2020</v>
      </c>
      <c r="E2" s="71" t="str">
        <f t="array" ref="E2">RTD("tickerplantrtdserver",,"FWRC1#USDJPY#Month Wise Rates#0#S#PillarDate8")</f>
        <v>20-Oct-2020</v>
      </c>
      <c r="F2" s="71" t="str">
        <f t="array" ref="F2">RTD("tickerplantrtdserver",,"FWRC1#USDJPY#Month Wise Rates#0#S#PillarDate9")</f>
        <v>20-Nov-2020</v>
      </c>
      <c r="G2" s="71" t="str">
        <f t="array" ref="G2">RTD("tickerplantrtdserver",,"FWRC1#USDJPY#Month Wise Rates#0#S#PillarDate10")</f>
        <v>21-Dec-2020</v>
      </c>
      <c r="H2" s="71" t="str">
        <f t="array" ref="H2">RTD("tickerplantrtdserver",,"FWRC1#USDJPY#Month Wise Rates#0#S#PillarDate11")</f>
        <v>20-Jan-2021</v>
      </c>
      <c r="I2" s="71" t="str">
        <f t="array" ref="I2">RTD("tickerplantrtdserver",,"FWRC1#USDJPY#Month Wise Rates#0#S#PillarDate12")</f>
        <v>22-Feb-2021</v>
      </c>
      <c r="J2" s="71" t="str">
        <f t="array" ref="J2">RTD("tickerplantrtdserver",,"FWRC1#USDJPY#Month Wise Rates#0#S#PillarDate13")</f>
        <v>22-Mar-2021</v>
      </c>
      <c r="K2" s="71" t="str">
        <f t="array" ref="K2">RTD("tickerplantrtdserver",,"FWRC1#USDJPY#Month Wise Rates#0#S#PillarDate14")</f>
        <v>20-Apr-2021</v>
      </c>
      <c r="L2" s="71" t="str">
        <f t="array" ref="L2">RTD("tickerplantrtdserver",,"FWRC1#USDJPY#Month Wise Rates#0#S#PillarDate15")</f>
        <v>20-May-2021</v>
      </c>
      <c r="M2" s="71" t="str">
        <f t="array" ref="M2">RTD("tickerplantrtdserver",,"FWRC1#USDJPY#Month Wise Rates#0#S#PillarDate16")</f>
        <v>21-Jun-2021</v>
      </c>
      <c r="N2" s="71" t="str">
        <f t="array" ref="N2">RTD("tickerplantrtdserver",,"FWRC1#USDJPY#Month Wise Rates#0#S#PillarDate17")</f>
        <v>20-Jul-2021</v>
      </c>
      <c r="O2" s="75" t="str">
        <f t="array" ref="O2">RTD("tickerplantrtdserver",,"FWRC1#USDJPY#Month Wise Rates#0#S#PillarDate18")</f>
        <v>20-Aug-2021</v>
      </c>
      <c r="P2" s="30"/>
    </row>
    <row r="3" spans="1:18" s="14" customFormat="1" x14ac:dyDescent="0.25">
      <c r="A3" s="162" t="s">
        <v>4</v>
      </c>
      <c r="B3" s="163"/>
      <c r="C3" s="168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168"/>
      <c r="O3" s="169"/>
      <c r="P3" s="15"/>
    </row>
    <row r="4" spans="1:18" s="14" customFormat="1" x14ac:dyDescent="0.25">
      <c r="A4" s="158" t="s">
        <v>47</v>
      </c>
      <c r="B4" s="159"/>
      <c r="C4" s="65">
        <f t="array" ref="C4">RTD("tickerplantrtdserver",,"FWRC1#USDJPY#Month Wise Rates#0#BidPrice2")</f>
        <v>-0.12</v>
      </c>
      <c r="D4" s="65">
        <f t="array" ref="D4">RTD("tickerplantrtdserver",,"FWRC1#USDJPY#Month Wise Rates#0#BidPrice7")</f>
        <v>-3.64</v>
      </c>
      <c r="E4" s="65">
        <f t="array" ref="E4">RTD("tickerplantrtdserver",,"FWRC1#USDJPY#Month Wise Rates#0#BidPrice8")</f>
        <v>-8.1199999999999992</v>
      </c>
      <c r="F4" s="65">
        <f t="array" ref="F4">RTD("tickerplantrtdserver",,"FWRC1#USDJPY#Month Wise Rates#0#BidPrice9")</f>
        <v>-12.1</v>
      </c>
      <c r="G4" s="65">
        <f t="array" ref="G4">RTD("tickerplantrtdserver",,"FWRC1#USDJPY#Month Wise Rates#0#BidPrice10")</f>
        <v>-16.149999999999999</v>
      </c>
      <c r="H4" s="65">
        <f t="array" ref="H4">RTD("tickerplantrtdserver",,"FWRC1#USDJPY#Month Wise Rates#0#BidPrice11")</f>
        <v>-28</v>
      </c>
      <c r="I4" s="65">
        <f t="array" ref="I4">RTD("tickerplantrtdserver",,"FWRC1#USDJPY#Month Wise Rates#0#BidPrice12")</f>
        <v>-32.409999999999997</v>
      </c>
      <c r="J4" s="65">
        <f t="array" ref="J4">RTD("tickerplantrtdserver",,"FWRC1#USDJPY#Month Wise Rates#0#BidPrice13")</f>
        <v>-37.36</v>
      </c>
      <c r="K4" s="65">
        <f t="array" ref="K4">RTD("tickerplantrtdserver",,"FWRC1#USDJPY#Month Wise Rates#0#BidPrice14")</f>
        <v>-42.83</v>
      </c>
      <c r="L4" s="65">
        <f t="array" ref="L4">RTD("tickerplantrtdserver",,"FWRC1#USDJPY#Month Wise Rates#0#BidPrice15")</f>
        <v>-47.33</v>
      </c>
      <c r="M4" s="65">
        <f t="array" ref="M4">RTD("tickerplantrtdserver",,"FWRC1#USDJPY#Month Wise Rates#0#BidPrice16")</f>
        <v>-52.96</v>
      </c>
      <c r="N4" s="65">
        <f t="array" ref="N4">RTD("tickerplantrtdserver",,"FWRC1#USDJPY#Month Wise Rates#0#BidPrice17")</f>
        <v>-58.69</v>
      </c>
      <c r="O4" s="67">
        <f t="array" ref="O4">RTD("tickerplantrtdserver",,"FWRC1#USDJPY#Month Wise Rates#0#BidPrice18")</f>
        <v>-64.150000000000006</v>
      </c>
      <c r="P4" s="20"/>
    </row>
    <row r="5" spans="1:18" s="14" customFormat="1" x14ac:dyDescent="0.25">
      <c r="A5" s="158" t="s">
        <v>48</v>
      </c>
      <c r="B5" s="159"/>
      <c r="C5" s="65">
        <f t="array" ref="C5">RTD("tickerplantrtdserver",,"FWRC1#USDJPY#Month Wise Rates#0#AskPrice2")</f>
        <v>-0.04</v>
      </c>
      <c r="D5" s="65">
        <f t="array" ref="D5">RTD("tickerplantrtdserver",,"FWRC1#USDJPY#Month Wise Rates#0#AskPrice7")</f>
        <v>-3.54</v>
      </c>
      <c r="E5" s="65">
        <f t="array" ref="E5">RTD("tickerplantrtdserver",,"FWRC1#USDJPY#Month Wise Rates#0#AskPrice8")</f>
        <v>-7.83</v>
      </c>
      <c r="F5" s="65">
        <f t="array" ref="F5">RTD("tickerplantrtdserver",,"FWRC1#USDJPY#Month Wise Rates#0#AskPrice9")</f>
        <v>-11.85</v>
      </c>
      <c r="G5" s="65">
        <f t="array" ref="G5">RTD("tickerplantrtdserver",,"FWRC1#USDJPY#Month Wise Rates#0#AskPrice10")</f>
        <v>-14.65</v>
      </c>
      <c r="H5" s="65">
        <f t="array" ref="H5">RTD("tickerplantrtdserver",,"FWRC1#USDJPY#Month Wise Rates#0#AskPrice11")</f>
        <v>-26.5</v>
      </c>
      <c r="I5" s="65">
        <f t="array" ref="I5">RTD("tickerplantrtdserver",,"FWRC1#USDJPY#Month Wise Rates#0#AskPrice12")</f>
        <v>-31.19</v>
      </c>
      <c r="J5" s="65">
        <f t="array" ref="J5">RTD("tickerplantrtdserver",,"FWRC1#USDJPY#Month Wise Rates#0#AskPrice13")</f>
        <v>-35.36</v>
      </c>
      <c r="K5" s="65">
        <f t="array" ref="K5">RTD("tickerplantrtdserver",,"FWRC1#USDJPY#Month Wise Rates#0#AskPrice14")</f>
        <v>-40.83</v>
      </c>
      <c r="L5" s="65">
        <f t="array" ref="L5">RTD("tickerplantrtdserver",,"FWRC1#USDJPY#Month Wise Rates#0#AskPrice15")</f>
        <v>-45.33</v>
      </c>
      <c r="M5" s="65">
        <f t="array" ref="M5">RTD("tickerplantrtdserver",,"FWRC1#USDJPY#Month Wise Rates#0#AskPrice16")</f>
        <v>-51.46</v>
      </c>
      <c r="N5" s="65">
        <f t="array" ref="N5">RTD("tickerplantrtdserver",,"FWRC1#USDJPY#Month Wise Rates#0#AskPrice17")</f>
        <v>-55.19</v>
      </c>
      <c r="O5" s="67">
        <f t="array" ref="O5">RTD("tickerplantrtdserver",,"FWRC1#USDJPY#Month Wise Rates#0#AskPrice18")</f>
        <v>-62.15</v>
      </c>
      <c r="P5" s="20"/>
    </row>
    <row r="6" spans="1:18" s="14" customFormat="1" x14ac:dyDescent="0.25">
      <c r="A6" s="162" t="s">
        <v>3</v>
      </c>
      <c r="B6" s="163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9"/>
      <c r="P6" s="20"/>
    </row>
    <row r="7" spans="1:18" s="14" customFormat="1" x14ac:dyDescent="0.25">
      <c r="A7" s="158" t="s">
        <v>47</v>
      </c>
      <c r="B7" s="159"/>
      <c r="C7" s="65">
        <f t="array" ref="C7">RTD("tickerplantrtdserver",,"FWRC1#USDJPY#Month Wise Rates#0#FwdOutrightBid2")</f>
        <v>105.5504</v>
      </c>
      <c r="D7" s="65">
        <f t="array" ref="D7">RTD("tickerplantrtdserver",,"FWRC1#USDJPY#Month Wise Rates#0#FwdOutrightBid7")</f>
        <v>105.5106</v>
      </c>
      <c r="E7" s="65">
        <f t="array" ref="E7">RTD("tickerplantrtdserver",,"FWRC1#USDJPY#Month Wise Rates#0#FwdOutrightBid8")</f>
        <v>105.4658</v>
      </c>
      <c r="F7" s="65">
        <f t="array" ref="F7">RTD("tickerplantrtdserver",,"FWRC1#USDJPY#Month Wise Rates#0#FwdOutrightBid9")</f>
        <v>105.426</v>
      </c>
      <c r="G7" s="65">
        <f t="array" ref="G7">RTD("tickerplantrtdserver",,"FWRC1#USDJPY#Month Wise Rates#0#FwdOutrightBid10")</f>
        <v>105.38549999999999</v>
      </c>
      <c r="H7" s="65">
        <f t="array" ref="H7">RTD("tickerplantrtdserver",,"FWRC1#USDJPY#Month Wise Rates#0#FwdOutrightBid11")</f>
        <v>105.267</v>
      </c>
      <c r="I7" s="65">
        <f t="array" ref="I7">RTD("tickerplantrtdserver",,"FWRC1#USDJPY#Month Wise Rates#0#FwdOutrightBid12")</f>
        <v>105.2229</v>
      </c>
      <c r="J7" s="65">
        <f t="array" ref="J7">RTD("tickerplantrtdserver",,"FWRC1#USDJPY#Month Wise Rates#0#FwdOutrightBid13")</f>
        <v>105.1734</v>
      </c>
      <c r="K7" s="65">
        <f t="array" ref="K7">RTD("tickerplantrtdserver",,"FWRC1#USDJPY#Month Wise Rates#0#FwdOutrightBid14")</f>
        <v>105.1187</v>
      </c>
      <c r="L7" s="65">
        <f t="array" ref="L7">RTD("tickerplantrtdserver",,"FWRC1#USDJPY#Month Wise Rates#0#FwdOutrightBid15")</f>
        <v>105.0737</v>
      </c>
      <c r="M7" s="65">
        <f t="array" ref="M7">RTD("tickerplantrtdserver",,"FWRC1#USDJPY#Month Wise Rates#0#FwdOutrightBid16")</f>
        <v>105.01739999999999</v>
      </c>
      <c r="N7" s="65">
        <f t="array" ref="N7">RTD("tickerplantrtdserver",,"FWRC1#USDJPY#Month Wise Rates#0#FwdOutrightBid17")</f>
        <v>104.9601</v>
      </c>
      <c r="O7" s="67">
        <f t="array" ref="O7">RTD("tickerplantrtdserver",,"FWRC1#USDJPY#Month Wise Rates#0#FwdOutrightBid18")</f>
        <v>104.9055</v>
      </c>
      <c r="P7" s="20"/>
    </row>
    <row r="8" spans="1:18" s="14" customFormat="1" x14ac:dyDescent="0.25">
      <c r="A8" s="158" t="s">
        <v>48</v>
      </c>
      <c r="B8" s="159"/>
      <c r="C8" s="65">
        <f t="array" ref="C8">RTD("tickerplantrtdserver",,"FWRC1#USDJPY#Month Wise Rates#0#FwdOutrightAsk2")</f>
        <v>105.5912</v>
      </c>
      <c r="D8" s="65">
        <f t="array" ref="D8">RTD("tickerplantrtdserver",,"FWRC1#USDJPY#Month Wise Rates#0#FwdOutrightAsk7")</f>
        <v>105.5176</v>
      </c>
      <c r="E8" s="65">
        <f t="array" ref="E8">RTD("tickerplantrtdserver",,"FWRC1#USDJPY#Month Wise Rates#0#FwdOutrightAsk8")</f>
        <v>105.47069999999999</v>
      </c>
      <c r="F8" s="65">
        <f t="array" ref="F8">RTD("tickerplantrtdserver",,"FWRC1#USDJPY#Month Wise Rates#0#FwdOutrightAsk9")</f>
        <v>105.43049999999999</v>
      </c>
      <c r="G8" s="65">
        <f t="array" ref="G8">RTD("tickerplantrtdserver",,"FWRC1#USDJPY#Month Wise Rates#0#FwdOutrightAsk10")</f>
        <v>105.4025</v>
      </c>
      <c r="H8" s="65">
        <f t="array" ref="H8">RTD("tickerplantrtdserver",,"FWRC1#USDJPY#Month Wise Rates#0#FwdOutrightAsk11")</f>
        <v>105.28400000000001</v>
      </c>
      <c r="I8" s="65">
        <f t="array" ref="I8">RTD("tickerplantrtdserver",,"FWRC1#USDJPY#Month Wise Rates#0#FwdOutrightAsk12")</f>
        <v>105.2371</v>
      </c>
      <c r="J8" s="65">
        <f t="array" ref="J8">RTD("tickerplantrtdserver",,"FWRC1#USDJPY#Month Wise Rates#0#FwdOutrightAsk13")</f>
        <v>105.19540000000001</v>
      </c>
      <c r="K8" s="65">
        <f t="array" ref="K8">RTD("tickerplantrtdserver",,"FWRC1#USDJPY#Month Wise Rates#0#FwdOutrightAsk14")</f>
        <v>105.1407</v>
      </c>
      <c r="L8" s="65">
        <f t="array" ref="L8">RTD("tickerplantrtdserver",,"FWRC1#USDJPY#Month Wise Rates#0#FwdOutrightAsk15")</f>
        <v>105.09569999999999</v>
      </c>
      <c r="M8" s="65">
        <f t="array" ref="M8">RTD("tickerplantrtdserver",,"FWRC1#USDJPY#Month Wise Rates#0#FwdOutrightAsk16")</f>
        <v>105.03440000000001</v>
      </c>
      <c r="N8" s="65">
        <f t="array" ref="N8">RTD("tickerplantrtdserver",,"FWRC1#USDJPY#Month Wise Rates#0#FwdOutrightAsk17")</f>
        <v>104.9971</v>
      </c>
      <c r="O8" s="67">
        <f t="array" ref="O8">RTD("tickerplantrtdserver",,"FWRC1#USDJPY#Month Wise Rates#0#FwdOutrightAsk18")</f>
        <v>104.92749999999999</v>
      </c>
    </row>
    <row r="9" spans="1:18" s="14" customFormat="1" x14ac:dyDescent="0.25">
      <c r="A9" s="162" t="s">
        <v>2</v>
      </c>
      <c r="B9" s="163"/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8"/>
      <c r="N9" s="168"/>
      <c r="O9" s="169"/>
    </row>
    <row r="10" spans="1:18" s="14" customFormat="1" x14ac:dyDescent="0.25">
      <c r="A10" s="158" t="s">
        <v>47</v>
      </c>
      <c r="B10" s="159"/>
      <c r="C10" s="65">
        <f t="array" ref="C10">RTD("tickerplantrtdserver",,"FWRC1#USDJPY#Month Wise Rates#0#Bid%2")</f>
        <v>-0.4148</v>
      </c>
      <c r="D10" s="65">
        <f t="array" ref="D10">RTD("tickerplantrtdserver",,"FWRC1#USDJPY#Month Wise Rates#0#Bid%7")</f>
        <v>-0.37019999999999997</v>
      </c>
      <c r="E10" s="65">
        <f t="array" ref="E10">RTD("tickerplantrtdserver",,"FWRC1#USDJPY#Month Wise Rates#0#Bid%8")</f>
        <v>-0.46029999999999999</v>
      </c>
      <c r="F10" s="65">
        <f t="array" ref="F10">RTD("tickerplantrtdserver",,"FWRC1#USDJPY#Month Wise Rates#0#Bid%9")</f>
        <v>-0.45479999999999998</v>
      </c>
      <c r="G10" s="65">
        <f t="array" ref="G10">RTD("tickerplantrtdserver",,"FWRC1#USDJPY#Month Wise Rates#0#Bid%10")</f>
        <v>-0.4541</v>
      </c>
      <c r="H10" s="65">
        <f t="array" ref="H10">RTD("tickerplantrtdserver",,"FWRC1#USDJPY#Month Wise Rates#0#Bid%11")</f>
        <v>-0.63290000000000002</v>
      </c>
      <c r="I10" s="65">
        <f t="array" ref="I10">RTD("tickerplantrtdserver",,"FWRC1#USDJPY#Month Wise Rates#0#Bid%12")</f>
        <v>-0.60260000000000002</v>
      </c>
      <c r="J10" s="65">
        <f t="array" ref="J10">RTD("tickerplantrtdserver",,"FWRC1#USDJPY#Month Wise Rates#0#Bid%13")</f>
        <v>-0.60370000000000001</v>
      </c>
      <c r="K10" s="65">
        <f t="array" ref="K10">RTD("tickerplantrtdserver",,"FWRC1#USDJPY#Month Wise Rates#0#Bid%14")</f>
        <v>-0.60950000000000004</v>
      </c>
      <c r="L10" s="65">
        <f t="array" ref="L10">RTD("tickerplantrtdserver",,"FWRC1#USDJPY#Month Wise Rates#0#Bid%15")</f>
        <v>-0.59950000000000003</v>
      </c>
      <c r="M10" s="65">
        <f t="array" ref="M10">RTD("tickerplantrtdserver",,"FWRC1#USDJPY#Month Wise Rates#0#Bid%16")</f>
        <v>-0.60050000000000003</v>
      </c>
      <c r="N10" s="65">
        <f t="array" ref="N10">RTD("tickerplantrtdserver",,"FWRC1#USDJPY#Month Wise Rates#0#Bid%17")</f>
        <v>-0.60770000000000002</v>
      </c>
      <c r="O10" s="67">
        <f t="array" ref="O10">RTD("tickerplantrtdserver",,"FWRC1#USDJPY#Month Wise Rates#0#Bid%18")</f>
        <v>-0.60780000000000001</v>
      </c>
    </row>
    <row r="11" spans="1:18" s="14" customFormat="1" ht="15.75" thickBot="1" x14ac:dyDescent="0.3">
      <c r="A11" s="160" t="s">
        <v>48</v>
      </c>
      <c r="B11" s="161"/>
      <c r="C11" s="69">
        <f t="array" ref="C11">RTD("tickerplantrtdserver",,"FWRC1#USDJPY#Month Wise Rates#0#Ask%2")</f>
        <v>-0.13830000000000001</v>
      </c>
      <c r="D11" s="69">
        <f t="array" ref="D11">RTD("tickerplantrtdserver",,"FWRC1#USDJPY#Month Wise Rates#0#Ask%7")</f>
        <v>-0.36009999999999998</v>
      </c>
      <c r="E11" s="69">
        <f t="array" ref="E11">RTD("tickerplantrtdserver",,"FWRC1#USDJPY#Month Wise Rates#0#Ask%8")</f>
        <v>-0.44390000000000002</v>
      </c>
      <c r="F11" s="69">
        <f t="array" ref="F11">RTD("tickerplantrtdserver",,"FWRC1#USDJPY#Month Wise Rates#0#Ask%9")</f>
        <v>-0.44540000000000002</v>
      </c>
      <c r="G11" s="69">
        <f t="array" ref="G11">RTD("tickerplantrtdserver",,"FWRC1#USDJPY#Month Wise Rates#0#Ask%10")</f>
        <v>-0.41189999999999999</v>
      </c>
      <c r="H11" s="69">
        <f t="array" ref="H11">RTD("tickerplantrtdserver",,"FWRC1#USDJPY#Month Wise Rates#0#Ask%11")</f>
        <v>-0.59899999999999998</v>
      </c>
      <c r="I11" s="69">
        <f t="array" ref="I11">RTD("tickerplantrtdserver",,"FWRC1#USDJPY#Month Wise Rates#0#Ask%12")</f>
        <v>-0.57989999999999997</v>
      </c>
      <c r="J11" s="69">
        <f t="array" ref="J11">RTD("tickerplantrtdserver",,"FWRC1#USDJPY#Month Wise Rates#0#Ask%13")</f>
        <v>-0.57140000000000002</v>
      </c>
      <c r="K11" s="69">
        <f t="array" ref="K11">RTD("tickerplantrtdserver",,"FWRC1#USDJPY#Month Wise Rates#0#Ask%14")</f>
        <v>-0.58109999999999995</v>
      </c>
      <c r="L11" s="69">
        <f t="array" ref="L11">RTD("tickerplantrtdserver",,"FWRC1#USDJPY#Month Wise Rates#0#Ask%15")</f>
        <v>-0.57420000000000004</v>
      </c>
      <c r="M11" s="69">
        <f t="array" ref="M11">RTD("tickerplantrtdserver",,"FWRC1#USDJPY#Month Wise Rates#0#Ask%16")</f>
        <v>-0.58350000000000002</v>
      </c>
      <c r="N11" s="69">
        <f t="array" ref="N11">RTD("tickerplantrtdserver",,"FWRC1#USDJPY#Month Wise Rates#0#Ask%17")</f>
        <v>-0.57140000000000002</v>
      </c>
      <c r="O11" s="70">
        <f t="array" ref="O11">RTD("tickerplantrtdserver",,"FWRC1#USDJPY#Month Wise Rates#0#Ask%18")</f>
        <v>-0.58879999999999999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21"/>
      <c r="C13" s="21"/>
      <c r="D13" s="20"/>
      <c r="E13" s="21"/>
      <c r="F13" s="21"/>
      <c r="G13" s="21"/>
      <c r="H13" s="32"/>
      <c r="I13" s="32"/>
      <c r="J13" s="32"/>
      <c r="L13" s="31"/>
      <c r="M13" s="31"/>
      <c r="N13" s="31"/>
      <c r="Q13" s="23"/>
      <c r="R13" s="23"/>
    </row>
    <row r="14" spans="1:18" s="14" customFormat="1" x14ac:dyDescent="0.25">
      <c r="A14" s="13"/>
      <c r="B14" s="21"/>
      <c r="C14" s="21"/>
      <c r="D14" s="20"/>
      <c r="E14" s="21"/>
      <c r="F14" s="33"/>
      <c r="G14" s="34"/>
      <c r="H14" s="34"/>
      <c r="I14" s="34"/>
      <c r="J14" s="21"/>
      <c r="L14" s="20"/>
      <c r="M14" s="20"/>
      <c r="N14" s="20"/>
      <c r="P14" s="31"/>
      <c r="Q14" s="31"/>
      <c r="R14" s="31"/>
    </row>
    <row r="15" spans="1:18" s="14" customFormat="1" x14ac:dyDescent="0.25">
      <c r="A15" s="13"/>
      <c r="B15" s="21"/>
      <c r="C15" s="21"/>
      <c r="D15" s="20"/>
      <c r="E15" s="20"/>
      <c r="G15" s="13"/>
      <c r="H15" s="20"/>
      <c r="I15" s="20"/>
      <c r="J15" s="20"/>
      <c r="L15" s="15"/>
      <c r="M15" s="15"/>
      <c r="N15" s="15"/>
      <c r="P15" s="15"/>
      <c r="Q15" s="15"/>
      <c r="R15" s="15"/>
    </row>
    <row r="16" spans="1:18" s="14" customFormat="1" x14ac:dyDescent="0.25">
      <c r="A16" s="15"/>
      <c r="B16" s="21"/>
      <c r="C16" s="21"/>
      <c r="D16" s="20"/>
      <c r="E16" s="20"/>
      <c r="G16" s="15"/>
      <c r="H16" s="20"/>
      <c r="I16" s="20"/>
      <c r="J16" s="20"/>
      <c r="L16" s="13"/>
      <c r="P16" s="13"/>
    </row>
    <row r="17" spans="1:16" s="14" customFormat="1" x14ac:dyDescent="0.25">
      <c r="A17" s="15"/>
      <c r="B17" s="21"/>
      <c r="C17" s="21"/>
      <c r="D17" s="20"/>
      <c r="E17" s="20"/>
      <c r="G17" s="15"/>
      <c r="H17" s="20"/>
      <c r="I17" s="20"/>
      <c r="J17" s="20"/>
      <c r="L17" s="13"/>
      <c r="P17" s="13"/>
    </row>
    <row r="18" spans="1:16" s="14" customFormat="1" x14ac:dyDescent="0.25">
      <c r="A18" s="15"/>
      <c r="B18" s="21"/>
      <c r="C18" s="21"/>
      <c r="D18" s="20"/>
      <c r="E18" s="20"/>
      <c r="G18" s="15"/>
      <c r="H18" s="20"/>
      <c r="I18" s="20"/>
      <c r="J18" s="20"/>
      <c r="L18" s="13"/>
      <c r="P18" s="13"/>
    </row>
    <row r="19" spans="1:16" s="14" customFormat="1" x14ac:dyDescent="0.25">
      <c r="A19" s="15"/>
      <c r="B19" s="21"/>
      <c r="C19" s="21"/>
      <c r="D19" s="58"/>
      <c r="E19" s="58"/>
      <c r="G19" s="15"/>
      <c r="H19" s="58"/>
      <c r="I19" s="58"/>
      <c r="J19" s="58"/>
      <c r="L19" s="15"/>
      <c r="P19" s="15"/>
    </row>
    <row r="20" spans="1:16" s="14" customFormat="1" x14ac:dyDescent="0.25">
      <c r="B20" s="21"/>
      <c r="C20" s="21"/>
      <c r="D20" s="58"/>
      <c r="E20" s="58"/>
      <c r="G20" s="15"/>
      <c r="H20" s="58"/>
      <c r="I20" s="58"/>
      <c r="J20" s="58"/>
      <c r="L20" s="13"/>
    </row>
    <row r="21" spans="1:16" x14ac:dyDescent="0.25">
      <c r="B21" s="21"/>
      <c r="C21" s="21"/>
      <c r="D21" s="58"/>
      <c r="E21" s="58"/>
      <c r="F21" s="14"/>
      <c r="G21" s="15"/>
      <c r="H21" s="58"/>
      <c r="I21" s="58"/>
      <c r="J21" s="58"/>
      <c r="K21" s="14"/>
      <c r="L21" s="13"/>
      <c r="M21" s="14"/>
      <c r="N21" s="14"/>
    </row>
    <row r="22" spans="1:16" x14ac:dyDescent="0.25">
      <c r="B22" s="21"/>
      <c r="C22" s="21"/>
      <c r="D22" s="58"/>
      <c r="E22" s="58"/>
      <c r="F22" s="14"/>
      <c r="G22" s="15"/>
      <c r="H22" s="58"/>
      <c r="I22" s="58"/>
      <c r="J22" s="58"/>
      <c r="K22" s="14"/>
      <c r="L22" s="15"/>
      <c r="M22" s="14"/>
      <c r="N22" s="14"/>
    </row>
    <row r="23" spans="1:16" x14ac:dyDescent="0.25">
      <c r="B23" s="21"/>
      <c r="C23" s="21"/>
      <c r="D23" s="58"/>
      <c r="E23" s="58"/>
      <c r="F23" s="14"/>
      <c r="G23" s="15"/>
      <c r="H23" s="58"/>
      <c r="I23" s="58"/>
      <c r="J23" s="58"/>
      <c r="K23" s="14"/>
      <c r="L23" s="13"/>
      <c r="M23" s="14"/>
      <c r="N23" s="14"/>
      <c r="O23" s="2"/>
    </row>
    <row r="24" spans="1:16" s="2" customFormat="1" x14ac:dyDescent="0.25">
      <c r="B24" s="21"/>
      <c r="C24" s="21"/>
      <c r="D24" s="58"/>
      <c r="E24" s="58"/>
      <c r="F24" s="14"/>
      <c r="G24" s="15"/>
      <c r="H24" s="58"/>
      <c r="I24" s="58"/>
      <c r="J24" s="58"/>
      <c r="K24" s="14"/>
      <c r="L24" s="13"/>
      <c r="M24" s="14"/>
      <c r="N24" s="14"/>
      <c r="O24" s="3"/>
    </row>
    <row r="25" spans="1:16" x14ac:dyDescent="0.25">
      <c r="B25" s="21"/>
      <c r="C25" s="21"/>
      <c r="D25" s="58"/>
      <c r="E25" s="58"/>
      <c r="F25" s="14"/>
      <c r="G25" s="15"/>
      <c r="H25" s="58"/>
      <c r="I25" s="58"/>
      <c r="J25" s="58"/>
      <c r="K25" s="14"/>
      <c r="L25" s="15"/>
      <c r="M25" s="14"/>
      <c r="N25" s="14"/>
    </row>
    <row r="26" spans="1:16" x14ac:dyDescent="0.25">
      <c r="B26" s="21"/>
      <c r="C26" s="21"/>
      <c r="D26" s="58"/>
      <c r="E26" s="58"/>
      <c r="F26" s="14"/>
      <c r="G26" s="15"/>
      <c r="H26" s="58"/>
      <c r="I26" s="58"/>
      <c r="J26" s="58"/>
      <c r="K26" s="14"/>
      <c r="L26" s="13"/>
      <c r="M26" s="14"/>
      <c r="N26" s="14"/>
    </row>
    <row r="27" spans="1:16" x14ac:dyDescent="0.25">
      <c r="B27" s="21"/>
      <c r="C27" s="21"/>
      <c r="D27" s="58"/>
      <c r="E27" s="58"/>
      <c r="F27" s="14"/>
      <c r="G27" s="15"/>
      <c r="H27" s="58"/>
      <c r="I27" s="58"/>
      <c r="J27" s="58"/>
      <c r="K27" s="14"/>
      <c r="L27" s="13"/>
      <c r="M27" s="14"/>
      <c r="N27" s="14"/>
    </row>
    <row r="28" spans="1:16" x14ac:dyDescent="0.25">
      <c r="B28" s="21"/>
      <c r="C28" s="21"/>
      <c r="D28" s="58"/>
      <c r="E28" s="58"/>
      <c r="F28" s="14"/>
      <c r="G28" s="15"/>
      <c r="H28" s="58"/>
      <c r="I28" s="58"/>
      <c r="J28" s="58"/>
      <c r="K28" s="14"/>
      <c r="L28" s="15"/>
      <c r="M28" s="14"/>
      <c r="N28" s="14"/>
    </row>
    <row r="29" spans="1:16" x14ac:dyDescent="0.25">
      <c r="B29" s="21"/>
      <c r="C29" s="21"/>
      <c r="D29" s="58"/>
      <c r="E29" s="58"/>
      <c r="F29" s="14"/>
      <c r="G29" s="15"/>
      <c r="H29" s="58"/>
      <c r="I29" s="58"/>
      <c r="J29" s="58"/>
      <c r="K29" s="14"/>
      <c r="L29" s="13"/>
      <c r="M29" s="14"/>
      <c r="N29" s="14"/>
    </row>
    <row r="30" spans="1:16" x14ac:dyDescent="0.25">
      <c r="B30" s="21"/>
      <c r="C30" s="21"/>
      <c r="D30" s="58"/>
      <c r="E30" s="58"/>
      <c r="F30" s="14"/>
      <c r="G30" s="15"/>
      <c r="H30" s="58"/>
      <c r="I30" s="58"/>
      <c r="J30" s="58"/>
      <c r="K30" s="14"/>
      <c r="L30" s="13"/>
      <c r="M30" s="14"/>
      <c r="N30" s="14"/>
    </row>
    <row r="31" spans="1:16" x14ac:dyDescent="0.25">
      <c r="B31" s="21"/>
      <c r="C31" s="21"/>
      <c r="D31" s="58"/>
      <c r="E31" s="58"/>
      <c r="F31" s="14"/>
      <c r="G31" s="15"/>
      <c r="H31" s="58"/>
      <c r="I31" s="58"/>
      <c r="J31" s="58"/>
      <c r="K31" s="14"/>
      <c r="L31" s="15"/>
      <c r="M31" s="14"/>
      <c r="N31" s="14"/>
    </row>
    <row r="32" spans="1:16" x14ac:dyDescent="0.25">
      <c r="B32" s="21"/>
      <c r="C32" s="21"/>
      <c r="D32" s="58"/>
      <c r="E32" s="58"/>
      <c r="F32" s="14"/>
      <c r="G32" s="15"/>
      <c r="H32" s="58"/>
      <c r="I32" s="58"/>
      <c r="J32" s="58"/>
      <c r="K32" s="14"/>
      <c r="L32" s="13"/>
      <c r="M32" s="14"/>
      <c r="N32" s="14"/>
    </row>
    <row r="33" spans="1:14" x14ac:dyDescent="0.25">
      <c r="B33" s="21"/>
      <c r="C33" s="21"/>
      <c r="D33" s="58"/>
      <c r="E33" s="58"/>
      <c r="F33" s="14"/>
      <c r="G33" s="15"/>
      <c r="H33" s="58"/>
      <c r="I33" s="58"/>
      <c r="J33" s="58"/>
      <c r="K33" s="14"/>
      <c r="L33" s="13"/>
      <c r="M33" s="14"/>
      <c r="N33" s="14"/>
    </row>
    <row r="36" spans="1:14" x14ac:dyDescent="0.25">
      <c r="A36" s="1"/>
      <c r="B36" s="1"/>
    </row>
  </sheetData>
  <mergeCells count="14">
    <mergeCell ref="A1:B1"/>
    <mergeCell ref="A10:B10"/>
    <mergeCell ref="A11:B11"/>
    <mergeCell ref="A6:B6"/>
    <mergeCell ref="C6:O6"/>
    <mergeCell ref="A7:B7"/>
    <mergeCell ref="A8:B8"/>
    <mergeCell ref="A9:B9"/>
    <mergeCell ref="C9:O9"/>
    <mergeCell ref="A5:B5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R15"/>
  <sheetViews>
    <sheetView workbookViewId="0"/>
  </sheetViews>
  <sheetFormatPr defaultRowHeight="15" x14ac:dyDescent="0.25"/>
  <cols>
    <col min="2" max="2" width="9.140625" style="78"/>
  </cols>
  <sheetData>
    <row r="1" spans="1:18" ht="15.75" thickBot="1" x14ac:dyDescent="0.3">
      <c r="C1" s="172" t="s">
        <v>13</v>
      </c>
      <c r="D1" s="170"/>
      <c r="E1" s="170" t="s">
        <v>12</v>
      </c>
      <c r="F1" s="170"/>
      <c r="G1" s="170" t="s">
        <v>11</v>
      </c>
      <c r="H1" s="170"/>
      <c r="I1" s="170" t="s">
        <v>10</v>
      </c>
      <c r="J1" s="170"/>
      <c r="K1" s="170" t="s">
        <v>9</v>
      </c>
      <c r="L1" s="170"/>
      <c r="M1" s="170" t="s">
        <v>8</v>
      </c>
      <c r="N1" s="170"/>
      <c r="O1" s="170" t="s">
        <v>7</v>
      </c>
      <c r="P1" s="171"/>
    </row>
    <row r="2" spans="1:18" ht="15.75" thickBot="1" x14ac:dyDescent="0.3">
      <c r="B2" s="80" t="s">
        <v>53</v>
      </c>
      <c r="C2" s="82" t="s">
        <v>26</v>
      </c>
      <c r="D2" s="79" t="s">
        <v>24</v>
      </c>
      <c r="E2" s="79" t="s">
        <v>26</v>
      </c>
      <c r="F2" s="79" t="s">
        <v>24</v>
      </c>
      <c r="G2" s="79" t="s">
        <v>26</v>
      </c>
      <c r="H2" s="79" t="s">
        <v>24</v>
      </c>
      <c r="I2" s="79" t="s">
        <v>26</v>
      </c>
      <c r="J2" s="79" t="s">
        <v>24</v>
      </c>
      <c r="K2" s="79" t="s">
        <v>26</v>
      </c>
      <c r="L2" s="79" t="s">
        <v>24</v>
      </c>
      <c r="M2" s="79" t="s">
        <v>26</v>
      </c>
      <c r="N2" s="79" t="s">
        <v>24</v>
      </c>
      <c r="O2" s="79" t="s">
        <v>26</v>
      </c>
      <c r="P2" s="85" t="s">
        <v>24</v>
      </c>
      <c r="Q2" s="57"/>
      <c r="R2" s="57"/>
    </row>
    <row r="3" spans="1:18" ht="15.75" thickBot="1" x14ac:dyDescent="0.3">
      <c r="A3" t="s">
        <v>42</v>
      </c>
      <c r="B3" s="98">
        <v>2</v>
      </c>
      <c r="C3" s="86">
        <f t="array" ref="C3">RTD("tickerplantrtdserver",,"FWRC1#USDINR#Month Wise Rates#0#BidPrice0")</f>
        <v>74.754999999999995</v>
      </c>
      <c r="D3" s="87">
        <f t="array" ref="D3">RTD("tickerplantrtdserver",,"FWRC1#USDINR#Month Wise Rates#0#AskPrice0")</f>
        <v>74.765000000000001</v>
      </c>
      <c r="E3" s="87">
        <f t="array" ref="E3">RTD("tickerplantrtdserver",,"FWRC1#EURINR#Month Wise Rates#0#BidPrice0")</f>
        <v>88.96</v>
      </c>
      <c r="F3" s="87">
        <f t="array" ref="F3">RTD("tickerplantrtdserver",,"FWRC1#EURINR#Month Wise Rates#0#AskPrice0")</f>
        <v>88.98</v>
      </c>
      <c r="G3" s="87">
        <f t="array" ref="G3">RTD("tickerplantrtdserver",,"FWRC1#GBPINR#Month Wise Rates#0#BidPrice0")</f>
        <v>98.37</v>
      </c>
      <c r="H3" s="87">
        <f t="array" ref="H3">RTD("tickerplantrtdserver",,"FWRC1#GBPINR#Month Wise Rates#0#AskPrice0")</f>
        <v>98.394999999999996</v>
      </c>
      <c r="I3" s="88">
        <f t="array" ref="I3">RTD("tickerplantrtdserver",,"FWRC1#JPYINR#Month Wise Rates#0#BidPrice0")</f>
        <v>70.784999999999997</v>
      </c>
      <c r="J3" s="88">
        <f t="array" ref="J3">RTD("tickerplantrtdserver",,"FWRC1#JPYINR#Month Wise Rates#0#AskPrice0")</f>
        <v>70.795000000000002</v>
      </c>
      <c r="K3" s="88">
        <f t="array" ref="K3">RTD("tickerplantrtdserver",,"FWRC1#EURUSD#Month Wise Rates#0#BidPrice0")</f>
        <v>1.19007</v>
      </c>
      <c r="L3" s="88">
        <f t="array" ref="L3">RTD("tickerplantrtdserver",,"FWRC1#EURUSD#Month Wise Rates#0#AskPrice0")</f>
        <v>1.1900900000000001</v>
      </c>
      <c r="M3" s="88">
        <f t="array" ref="M3">RTD("tickerplantrtdserver",,"FWRC1#GBPUSD#Month Wise Rates#0#BidPrice0")</f>
        <v>1.3160000000000001</v>
      </c>
      <c r="N3" s="88">
        <f t="array" ref="N3">RTD("tickerplantrtdserver",,"FWRC1#GBPUSD#Month Wise Rates#0#AskPrice0")</f>
        <v>1.3164</v>
      </c>
      <c r="O3" s="89">
        <f t="array" ref="O3">RTD("tickerplantrtdserver",,"FWRC1#USDJPY#Month Wise Rates#0#BidPrice0")</f>
        <v>105.547</v>
      </c>
      <c r="P3" s="90">
        <f t="array" ref="P3">RTD("tickerplantrtdserver",,"FWRC1#USDJPY#Month Wise Rates#0#AskPrice0")</f>
        <v>105.54900000000001</v>
      </c>
    </row>
    <row r="4" spans="1:18" ht="15" customHeight="1" x14ac:dyDescent="0.25">
      <c r="A4" s="101" t="s">
        <v>36</v>
      </c>
      <c r="B4" s="99">
        <v>33</v>
      </c>
      <c r="C4" s="91">
        <f t="array" ref="C4">RTD("tickerplantrtdserver",,"FWRC1#USDINR#Month Wise Rates#0#BidPrice7")</f>
        <v>22.25</v>
      </c>
      <c r="D4" s="83">
        <f t="array" ref="D4">RTD("tickerplantrtdserver",,"FWRC1#USDINR#Month Wise Rates#0#AskPrice7")</f>
        <v>24.25</v>
      </c>
      <c r="E4" s="81">
        <f t="array" ref="E4">RTD("tickerplantrtdserver",,"FWRC1#EURINR#Month Wise Rates#0#BidPrice7")</f>
        <v>32.942700000000002</v>
      </c>
      <c r="F4" s="81">
        <f t="array" ref="F4">RTD("tickerplantrtdserver",,"FWRC1#EURINR#Month Wise Rates#0#AskPrice7")</f>
        <v>35.477499999999999</v>
      </c>
      <c r="G4" s="81">
        <f>RTD("tickerplantrtdserver",,"FWRC1#GBPINR#Month Wise Rates#0#BidPrice7")/100</f>
        <v>31.486716999999999</v>
      </c>
      <c r="H4" s="81">
        <f>RTD("tickerplantrtdserver",,"FWRC1#GBPINR#Month Wise Rates#0#AskPrice7")/100</f>
        <v>34.345827</v>
      </c>
      <c r="I4" s="84">
        <f>RTD("tickerplantrtdserver",,"FWRC1#JPYINR#Month Wise Rates#0#BidPrice7")/100</f>
        <v>23.932872000000003</v>
      </c>
      <c r="J4" s="84">
        <f>RTD("tickerplantrtdserver",,"FWRC1#JPYINR#Month Wise Rates#0#AskPrice7")/100</f>
        <v>25.904834999999999</v>
      </c>
      <c r="K4" s="84">
        <f t="array" ref="K4">RTD("tickerplantrtdserver",,"FWRC1#EURUSD#Month Wise Rates#0#BidPrice7")</f>
        <v>7.8</v>
      </c>
      <c r="L4" s="84">
        <f t="array" ref="L4">RTD("tickerplantrtdserver",,"FWRC1#EURUSD#Month Wise Rates#0#AskPrice7")</f>
        <v>8</v>
      </c>
      <c r="M4" s="84">
        <f t="array" ref="M4">RTD("tickerplantrtdserver",,"FWRC1#GBPUSD#Month Wise Rates#0#BidPrice7")</f>
        <v>2</v>
      </c>
      <c r="N4" s="84">
        <f t="array" ref="N4">RTD("tickerplantrtdserver",,"FWRC1#GBPUSD#Month Wise Rates#0#AskPrice7")</f>
        <v>2.2999999999999998</v>
      </c>
      <c r="O4" s="84">
        <f t="array" ref="O4">RTD("tickerplantrtdserver",,"FWRC1#USDJPY#Month Wise Rates#0#BidPrice7")</f>
        <v>-3.64</v>
      </c>
      <c r="P4" s="92">
        <f t="array" ref="P4">RTD("tickerplantrtdserver",,"FWRC1#USDJPY#Month Wise Rates#0#AskPrice7")</f>
        <v>-3.54</v>
      </c>
    </row>
    <row r="5" spans="1:18" x14ac:dyDescent="0.25">
      <c r="A5" s="102" t="s">
        <v>37</v>
      </c>
      <c r="B5" s="99">
        <v>61</v>
      </c>
      <c r="C5" s="93">
        <f t="array" ref="C5">RTD("tickerplantrtdserver",,"FWRC1#USDINR#Month Wise Rates#0#BidPrice8")</f>
        <v>45.206899999999997</v>
      </c>
      <c r="D5" s="81">
        <f t="array" ref="D5">RTD("tickerplantrtdserver",,"FWRC1#USDINR#Month Wise Rates#0#AskPrice8")</f>
        <v>47.206899999999997</v>
      </c>
      <c r="E5" s="81">
        <f t="array" ref="E5">RTD("tickerplantrtdserver",,"FWRC1#EURINR#Month Wise Rates#0#BidPrice8")</f>
        <v>65.000100000000003</v>
      </c>
      <c r="F5" s="81">
        <f t="array" ref="F5">RTD("tickerplantrtdserver",,"FWRC1#EURINR#Month Wise Rates#0#AskPrice8")</f>
        <v>67.535799999999995</v>
      </c>
      <c r="G5" s="81">
        <f>RTD("tickerplantrtdserver",,"FWRC1#GBPINR#Month Wise Rates#0#BidPrice8")/100</f>
        <v>62.261277</v>
      </c>
      <c r="H5" s="81">
        <f>RTD("tickerplantrtdserver",,"FWRC1#GBPINR#Month Wise Rates#0#AskPrice8")/100</f>
        <v>65.272554</v>
      </c>
      <c r="I5" s="84">
        <f>RTD("tickerplantrtdserver",,"FWRC1#JPYINR#Month Wise Rates#0#BidPrice8")/100</f>
        <v>47.766933000000002</v>
      </c>
      <c r="J5" s="84">
        <f>RTD("tickerplantrtdserver",,"FWRC1#JPYINR#Month Wise Rates#0#AskPrice8")/100</f>
        <v>49.865914000000004</v>
      </c>
      <c r="K5" s="84">
        <f t="array" ref="K5">RTD("tickerplantrtdserver",,"FWRC1#EURUSD#Month Wise Rates#0#BidPrice8")</f>
        <v>15.534000000000001</v>
      </c>
      <c r="L5" s="84">
        <f t="array" ref="L5">RTD("tickerplantrtdserver",,"FWRC1#EURUSD#Month Wise Rates#0#AskPrice8")</f>
        <v>15.566000000000001</v>
      </c>
      <c r="M5" s="84">
        <f t="array" ref="M5">RTD("tickerplantrtdserver",,"FWRC1#GBPUSD#Month Wise Rates#0#BidPrice8")</f>
        <v>4.1500000000000004</v>
      </c>
      <c r="N5" s="84">
        <f t="array" ref="N5">RTD("tickerplantrtdserver",,"FWRC1#GBPUSD#Month Wise Rates#0#AskPrice8")</f>
        <v>4.6500000000000004</v>
      </c>
      <c r="O5" s="84">
        <f t="array" ref="O5">RTD("tickerplantrtdserver",,"FWRC1#USDJPY#Month Wise Rates#0#BidPrice8")</f>
        <v>-8.1199999999999992</v>
      </c>
      <c r="P5" s="92">
        <f t="array" ref="P5">RTD("tickerplantrtdserver",,"FWRC1#USDJPY#Month Wise Rates#0#AskPrice8")</f>
        <v>-7.83</v>
      </c>
    </row>
    <row r="6" spans="1:18" x14ac:dyDescent="0.25">
      <c r="A6" s="102" t="s">
        <v>35</v>
      </c>
      <c r="B6" s="99">
        <v>92</v>
      </c>
      <c r="C6" s="93">
        <f t="array" ref="C6">RTD("tickerplantrtdserver",,"FWRC1#USDINR#Month Wise Rates#0#BidPrice9")</f>
        <v>70.327600000000004</v>
      </c>
      <c r="D6" s="81">
        <f t="array" ref="D6">RTD("tickerplantrtdserver",,"FWRC1#USDINR#Month Wise Rates#0#AskPrice9")</f>
        <v>72.327600000000004</v>
      </c>
      <c r="E6" s="81">
        <f t="array" ref="E6">RTD("tickerplantrtdserver",,"FWRC1#EURINR#Month Wise Rates#0#BidPrice9")</f>
        <v>98.7119</v>
      </c>
      <c r="F6" s="81">
        <f t="array" ref="F6">RTD("tickerplantrtdserver",,"FWRC1#EURINR#Month Wise Rates#0#AskPrice9")</f>
        <v>101.3527</v>
      </c>
      <c r="G6" s="81">
        <f>RTD("tickerplantrtdserver",,"FWRC1#GBPINR#Month Wise Rates#0#BidPrice9")/100</f>
        <v>94.418914000000001</v>
      </c>
      <c r="H6" s="81">
        <f>RTD("tickerplantrtdserver",,"FWRC1#GBPINR#Month Wise Rates#0#AskPrice9")/100</f>
        <v>97.615162999999995</v>
      </c>
      <c r="I6" s="84">
        <f>RTD("tickerplantrtdserver",,"FWRC1#JPYINR#Month Wise Rates#0#BidPrice9")/100</f>
        <v>72.548090999999999</v>
      </c>
      <c r="J6" s="84">
        <f>RTD("tickerplantrtdserver",,"FWRC1#JPYINR#Month Wise Rates#0#AskPrice9")/100</f>
        <v>74.644916000000009</v>
      </c>
      <c r="K6" s="84">
        <f t="array" ref="K6">RTD("tickerplantrtdserver",,"FWRC1#EURUSD#Month Wise Rates#0#BidPrice9")</f>
        <v>22.98</v>
      </c>
      <c r="L6" s="84">
        <f t="array" ref="L6">RTD("tickerplantrtdserver",,"FWRC1#EURUSD#Month Wise Rates#0#AskPrice9")</f>
        <v>23.23</v>
      </c>
      <c r="M6" s="84">
        <f t="array" ref="M6">RTD("tickerplantrtdserver",,"FWRC1#GBPUSD#Month Wise Rates#0#BidPrice9")</f>
        <v>5.85</v>
      </c>
      <c r="N6" s="84">
        <f t="array" ref="N6">RTD("tickerplantrtdserver",,"FWRC1#GBPUSD#Month Wise Rates#0#AskPrice9")</f>
        <v>6.55</v>
      </c>
      <c r="O6" s="84">
        <f t="array" ref="O6">RTD("tickerplantrtdserver",,"FWRC1#USDJPY#Month Wise Rates#0#BidPrice9")</f>
        <v>-12.1</v>
      </c>
      <c r="P6" s="92">
        <f t="array" ref="P6">RTD("tickerplantrtdserver",,"FWRC1#USDJPY#Month Wise Rates#0#AskPrice9")</f>
        <v>-11.85</v>
      </c>
    </row>
    <row r="7" spans="1:18" x14ac:dyDescent="0.25">
      <c r="A7" s="102" t="s">
        <v>38</v>
      </c>
      <c r="B7" s="99">
        <v>125</v>
      </c>
      <c r="C7" s="93">
        <f t="array" ref="C7">RTD("tickerplantrtdserver",,"FWRC1#USDINR#Month Wise Rates#0#BidPrice10")</f>
        <v>95.058800000000005</v>
      </c>
      <c r="D7" s="81">
        <f t="array" ref="D7">RTD("tickerplantrtdserver",,"FWRC1#USDINR#Month Wise Rates#0#AskPrice10")</f>
        <v>97.058800000000005</v>
      </c>
      <c r="E7" s="81">
        <f t="array" ref="E7">RTD("tickerplantrtdserver",,"FWRC1#EURINR#Month Wise Rates#0#BidPrice10")</f>
        <v>135.27160000000001</v>
      </c>
      <c r="F7" s="81">
        <f t="array" ref="F7">RTD("tickerplantrtdserver",,"FWRC1#EURINR#Month Wise Rates#0#AskPrice10")</f>
        <v>137.85730000000001</v>
      </c>
      <c r="G7" s="81">
        <f>RTD("tickerplantrtdserver",,"FWRC1#GBPINR#Month Wise Rates#0#BidPrice10")/100</f>
        <v>129.47399899999999</v>
      </c>
      <c r="H7" s="81">
        <f>RTD("tickerplantrtdserver",,"FWRC1#GBPINR#Month Wise Rates#0#AskPrice10")/100</f>
        <v>132.84442200000001</v>
      </c>
      <c r="I7" s="84">
        <f>RTD("tickerplantrtdserver",,"FWRC1#JPYINR#Month Wise Rates#0#BidPrice10")/100</f>
        <v>99.099267999999995</v>
      </c>
      <c r="J7" s="84">
        <f>RTD("tickerplantrtdserver",,"FWRC1#JPYINR#Month Wise Rates#0#AskPrice10")/100</f>
        <v>102.01878199999999</v>
      </c>
      <c r="K7" s="84">
        <f t="array" ref="K7">RTD("tickerplantrtdserver",,"FWRC1#EURUSD#Month Wise Rates#0#BidPrice10")</f>
        <v>30.27</v>
      </c>
      <c r="L7" s="84">
        <f t="array" ref="L7">RTD("tickerplantrtdserver",,"FWRC1#EURUSD#Month Wise Rates#0#AskPrice10")</f>
        <v>30.79</v>
      </c>
      <c r="M7" s="84">
        <f t="array" ref="M7">RTD("tickerplantrtdserver",,"FWRC1#GBPUSD#Month Wise Rates#0#BidPrice10")</f>
        <v>7.44</v>
      </c>
      <c r="N7" s="84">
        <f t="array" ref="N7">RTD("tickerplantrtdserver",,"FWRC1#GBPUSD#Month Wise Rates#0#AskPrice10")</f>
        <v>7.76</v>
      </c>
      <c r="O7" s="84">
        <f t="array" ref="O7">RTD("tickerplantrtdserver",,"FWRC1#USDJPY#Month Wise Rates#0#BidPrice10")</f>
        <v>-16.149999999999999</v>
      </c>
      <c r="P7" s="92">
        <f t="array" ref="P7">RTD("tickerplantrtdserver",,"FWRC1#USDJPY#Month Wise Rates#0#AskPrice10")</f>
        <v>-14.65</v>
      </c>
    </row>
    <row r="8" spans="1:18" x14ac:dyDescent="0.25">
      <c r="A8" s="102" t="s">
        <v>39</v>
      </c>
      <c r="B8" s="99">
        <v>153</v>
      </c>
      <c r="C8" s="93">
        <f t="array" ref="C8">RTD("tickerplantrtdserver",,"FWRC1#USDINR#Month Wise Rates#0#BidPrice11")</f>
        <v>119.72410000000001</v>
      </c>
      <c r="D8" s="81">
        <f t="array" ref="D8">RTD("tickerplantrtdserver",,"FWRC1#USDINR#Month Wise Rates#0#AskPrice11")</f>
        <v>121.72410000000001</v>
      </c>
      <c r="E8" s="81">
        <f t="array" ref="E8">RTD("tickerplantrtdserver",,"FWRC1#EURINR#Month Wise Rates#0#BidPrice11")</f>
        <v>173.98589999999999</v>
      </c>
      <c r="F8" s="81">
        <f t="array" ref="F8">RTD("tickerplantrtdserver",,"FWRC1#EURINR#Month Wise Rates#0#AskPrice11")</f>
        <v>176.84110000000001</v>
      </c>
      <c r="G8" s="81">
        <f>RTD("tickerplantrtdserver",,"FWRC1#GBPINR#Month Wise Rates#0#BidPrice11")/100</f>
        <v>167.08974499999999</v>
      </c>
      <c r="H8" s="81">
        <f>RTD("tickerplantrtdserver",,"FWRC1#GBPINR#Month Wise Rates#0#AskPrice11")/100</f>
        <v>170.57934</v>
      </c>
      <c r="I8" s="84">
        <f>RTD("tickerplantrtdserver",,"FWRC1#JPYINR#Month Wise Rates#0#BidPrice11")/100</f>
        <v>131.178991</v>
      </c>
      <c r="J8" s="84">
        <f>RTD("tickerplantrtdserver",,"FWRC1#JPYINR#Month Wise Rates#0#AskPrice11")/100</f>
        <v>134.115487</v>
      </c>
      <c r="K8" s="84">
        <f t="array" ref="K8">RTD("tickerplantrtdserver",,"FWRC1#EURUSD#Month Wise Rates#0#BidPrice11")</f>
        <v>41.54</v>
      </c>
      <c r="L8" s="84">
        <f t="array" ref="L8">RTD("tickerplantrtdserver",,"FWRC1#EURUSD#Month Wise Rates#0#AskPrice11")</f>
        <v>42.14</v>
      </c>
      <c r="M8" s="84">
        <f t="array" ref="M8">RTD("tickerplantrtdserver",,"FWRC1#GBPUSD#Month Wise Rates#0#BidPrice11")</f>
        <v>12.85</v>
      </c>
      <c r="N8" s="84">
        <f t="array" ref="N8">RTD("tickerplantrtdserver",,"FWRC1#GBPUSD#Month Wise Rates#0#AskPrice11")</f>
        <v>13.25</v>
      </c>
      <c r="O8" s="84">
        <f t="array" ref="O8">RTD("tickerplantrtdserver",,"FWRC1#USDJPY#Month Wise Rates#0#BidPrice11")</f>
        <v>-28</v>
      </c>
      <c r="P8" s="92">
        <f t="array" ref="P8">RTD("tickerplantrtdserver",,"FWRC1#USDJPY#Month Wise Rates#0#AskPrice11")</f>
        <v>-26.5</v>
      </c>
    </row>
    <row r="9" spans="1:18" x14ac:dyDescent="0.25">
      <c r="A9" s="102" t="s">
        <v>34</v>
      </c>
      <c r="B9" s="99">
        <v>184</v>
      </c>
      <c r="C9" s="93">
        <f t="array" ref="C9">RTD("tickerplantrtdserver",,"FWRC1#USDINR#Month Wise Rates#0#BidPrice12")</f>
        <v>146.96430000000001</v>
      </c>
      <c r="D9" s="81">
        <f t="array" ref="D9">RTD("tickerplantrtdserver",,"FWRC1#USDINR#Month Wise Rates#0#AskPrice12")</f>
        <v>148.96430000000001</v>
      </c>
      <c r="E9" s="81">
        <f t="array" ref="E9">RTD("tickerplantrtdserver",,"FWRC1#EURINR#Month Wise Rates#0#BidPrice12")</f>
        <v>212.57820000000001</v>
      </c>
      <c r="F9" s="81">
        <f t="array" ref="F9">RTD("tickerplantrtdserver",,"FWRC1#EURINR#Month Wise Rates#0#AskPrice12")</f>
        <v>215.50960000000001</v>
      </c>
      <c r="G9" s="81">
        <f>RTD("tickerplantrtdserver",,"FWRC1#GBPINR#Month Wise Rates#0#BidPrice12")/100</f>
        <v>203.848343</v>
      </c>
      <c r="H9" s="81">
        <f>RTD("tickerplantrtdserver",,"FWRC1#GBPINR#Month Wise Rates#0#AskPrice12")/100</f>
        <v>207.49958100000001</v>
      </c>
      <c r="I9" s="84">
        <f>RTD("tickerplantrtdserver",,"FWRC1#JPYINR#Month Wise Rates#0#BidPrice12")/100</f>
        <v>160.716926</v>
      </c>
      <c r="J9" s="84">
        <f>RTD("tickerplantrtdserver",,"FWRC1#JPYINR#Month Wise Rates#0#AskPrice12")/100</f>
        <v>163.460149</v>
      </c>
      <c r="K9" s="84">
        <f t="array" ref="K9">RTD("tickerplantrtdserver",,"FWRC1#EURUSD#Month Wise Rates#0#BidPrice12")</f>
        <v>49.34</v>
      </c>
      <c r="L9" s="84">
        <f t="array" ref="L9">RTD("tickerplantrtdserver",,"FWRC1#EURUSD#Month Wise Rates#0#AskPrice12")</f>
        <v>50.14</v>
      </c>
      <c r="M9" s="84">
        <f t="array" ref="M9">RTD("tickerplantrtdserver",,"FWRC1#GBPUSD#Month Wise Rates#0#BidPrice12")</f>
        <v>13.8</v>
      </c>
      <c r="N9" s="84">
        <f t="array" ref="N9">RTD("tickerplantrtdserver",,"FWRC1#GBPUSD#Month Wise Rates#0#AskPrice12")</f>
        <v>14.8</v>
      </c>
      <c r="O9" s="84">
        <f t="array" ref="O9">RTD("tickerplantrtdserver",,"FWRC1#USDJPY#Month Wise Rates#0#BidPrice12")</f>
        <v>-32.409999999999997</v>
      </c>
      <c r="P9" s="92">
        <f t="array" ref="P9">RTD("tickerplantrtdserver",,"FWRC1#USDJPY#Month Wise Rates#0#AskPrice12")</f>
        <v>-31.19</v>
      </c>
    </row>
    <row r="10" spans="1:18" x14ac:dyDescent="0.25">
      <c r="A10" s="102" t="s">
        <v>43</v>
      </c>
      <c r="B10" s="99">
        <v>215</v>
      </c>
      <c r="C10" s="93">
        <f t="array" ref="C10">RTD("tickerplantrtdserver",,"FWRC1#USDINR#Month Wise Rates#0#BidPrice13")</f>
        <v>170.25</v>
      </c>
      <c r="D10" s="81">
        <f t="array" ref="D10">RTD("tickerplantrtdserver",,"FWRC1#USDINR#Month Wise Rates#0#AskPrice13")</f>
        <v>172.25</v>
      </c>
      <c r="E10" s="81">
        <f t="array" ref="E10">RTD("tickerplantrtdserver",,"FWRC1#EURINR#Month Wise Rates#0#BidPrice13")</f>
        <v>245.47659999999999</v>
      </c>
      <c r="F10" s="81">
        <f t="array" ref="F10">RTD("tickerplantrtdserver",,"FWRC1#EURINR#Month Wise Rates#0#AskPrice13")</f>
        <v>250.5677</v>
      </c>
      <c r="G10" s="81">
        <f>RTD("tickerplantrtdserver",,"FWRC1#GBPINR#Month Wise Rates#0#BidPrice13")/100</f>
        <v>235.21841899999998</v>
      </c>
      <c r="H10" s="81">
        <f>RTD("tickerplantrtdserver",,"FWRC1#GBPINR#Month Wise Rates#0#AskPrice13")/100</f>
        <v>239.08727200000001</v>
      </c>
      <c r="I10" s="84">
        <f>RTD("tickerplantrtdserver",,"FWRC1#JPYINR#Month Wise Rates#0#BidPrice13")/100</f>
        <v>185.06680700000001</v>
      </c>
      <c r="J10" s="84">
        <f>RTD("tickerplantrtdserver",,"FWRC1#JPYINR#Month Wise Rates#0#AskPrice13")/100</f>
        <v>188.35285999999999</v>
      </c>
      <c r="K10" s="84">
        <f t="array" ref="K10">RTD("tickerplantrtdserver",,"FWRC1#EURUSD#Month Wise Rates#0#BidPrice13")</f>
        <v>55.9</v>
      </c>
      <c r="L10" s="84">
        <f t="array" ref="L10">RTD("tickerplantrtdserver",,"FWRC1#EURUSD#Month Wise Rates#0#AskPrice13")</f>
        <v>59.4</v>
      </c>
      <c r="M10" s="84">
        <f t="array" ref="M10">RTD("tickerplantrtdserver",,"FWRC1#GBPUSD#Month Wise Rates#0#BidPrice13")</f>
        <v>15.16</v>
      </c>
      <c r="N10" s="84">
        <f t="array" ref="N10">RTD("tickerplantrtdserver",,"FWRC1#GBPUSD#Month Wise Rates#0#AskPrice13")</f>
        <v>15.64</v>
      </c>
      <c r="O10" s="84">
        <f t="array" ref="O10">RTD("tickerplantrtdserver",,"FWRC1#USDJPY#Month Wise Rates#0#BidPrice13")</f>
        <v>-37.36</v>
      </c>
      <c r="P10" s="92">
        <f t="array" ref="P10">RTD("tickerplantrtdserver",,"FWRC1#USDJPY#Month Wise Rates#0#AskPrice13")</f>
        <v>-35.36</v>
      </c>
    </row>
    <row r="11" spans="1:18" x14ac:dyDescent="0.25">
      <c r="A11" s="102" t="s">
        <v>44</v>
      </c>
      <c r="B11" s="99">
        <v>245</v>
      </c>
      <c r="C11" s="93">
        <f t="array" ref="C11">RTD("tickerplantrtdserver",,"FWRC1#USDINR#Month Wise Rates#0#BidPrice14")</f>
        <v>198.41669999999999</v>
      </c>
      <c r="D11" s="81">
        <f t="array" ref="D11">RTD("tickerplantrtdserver",,"FWRC1#USDINR#Month Wise Rates#0#AskPrice14")</f>
        <v>200.41669999999999</v>
      </c>
      <c r="E11" s="81">
        <f t="array" ref="E11">RTD("tickerplantrtdserver",,"FWRC1#EURINR#Month Wise Rates#0#BidPrice14")</f>
        <v>284.5326</v>
      </c>
      <c r="F11" s="81">
        <f t="array" ref="F11">RTD("tickerplantrtdserver",,"FWRC1#EURINR#Month Wise Rates#0#AskPrice14")</f>
        <v>288.64049999999997</v>
      </c>
      <c r="G11" s="81">
        <f>RTD("tickerplantrtdserver",,"FWRC1#GBPINR#Month Wise Rates#0#BidPrice14")/100</f>
        <v>273.40736400000003</v>
      </c>
      <c r="H11" s="81">
        <f>RTD("tickerplantrtdserver",,"FWRC1#GBPINR#Month Wise Rates#0#AskPrice14")/100</f>
        <v>277.44100800000001</v>
      </c>
      <c r="I11" s="84">
        <f>RTD("tickerplantrtdserver",,"FWRC1#JPYINR#Month Wise Rates#0#BidPrice14")/100</f>
        <v>215.625089</v>
      </c>
      <c r="J11" s="84">
        <f>RTD("tickerplantrtdserver",,"FWRC1#JPYINR#Month Wise Rates#0#AskPrice14")/100</f>
        <v>218.91717700000001</v>
      </c>
      <c r="K11" s="84">
        <f t="array" ref="K11">RTD("tickerplantrtdserver",,"FWRC1#EURUSD#Month Wise Rates#0#BidPrice14")</f>
        <v>63.3</v>
      </c>
      <c r="L11" s="84">
        <f t="array" ref="L11">RTD("tickerplantrtdserver",,"FWRC1#EURUSD#Month Wise Rates#0#AskPrice14")</f>
        <v>65.5</v>
      </c>
      <c r="M11" s="84">
        <f t="array" ref="M11">RTD("tickerplantrtdserver",,"FWRC1#GBPUSD#Month Wise Rates#0#BidPrice14")</f>
        <v>16.2</v>
      </c>
      <c r="N11" s="84">
        <f t="array" ref="N11">RTD("tickerplantrtdserver",,"FWRC1#GBPUSD#Month Wise Rates#0#AskPrice14")</f>
        <v>17.89</v>
      </c>
      <c r="O11" s="84">
        <f t="array" ref="O11">RTD("tickerplantrtdserver",,"FWRC1#USDJPY#Month Wise Rates#0#BidPrice14")</f>
        <v>-42.83</v>
      </c>
      <c r="P11" s="92">
        <f t="array" ref="P11">RTD("tickerplantrtdserver",,"FWRC1#USDJPY#Month Wise Rates#0#AskPrice14")</f>
        <v>-40.83</v>
      </c>
    </row>
    <row r="12" spans="1:18" x14ac:dyDescent="0.25">
      <c r="A12" s="102" t="s">
        <v>40</v>
      </c>
      <c r="B12" s="99">
        <v>278</v>
      </c>
      <c r="C12" s="93">
        <f t="array" ref="C12">RTD("tickerplantrtdserver",,"FWRC1#USDINR#Month Wise Rates#0#BidPrice15")</f>
        <v>223.42740000000001</v>
      </c>
      <c r="D12" s="81">
        <f t="array" ref="D12">RTD("tickerplantrtdserver",,"FWRC1#USDINR#Month Wise Rates#0#AskPrice15")</f>
        <v>225.42740000000001</v>
      </c>
      <c r="E12" s="81">
        <f t="array" ref="E12">RTD("tickerplantrtdserver",,"FWRC1#EURINR#Month Wise Rates#0#BidPrice15")</f>
        <v>319.9812</v>
      </c>
      <c r="F12" s="81">
        <f t="array" ref="F12">RTD("tickerplantrtdserver",,"FWRC1#EURINR#Month Wise Rates#0#AskPrice15")</f>
        <v>324.33030000000002</v>
      </c>
      <c r="G12" s="81">
        <f>RTD("tickerplantrtdserver",,"FWRC1#GBPINR#Month Wise Rates#0#BidPrice15")/100</f>
        <v>307.32203699999997</v>
      </c>
      <c r="H12" s="81">
        <f>RTD("tickerplantrtdserver",,"FWRC1#GBPINR#Month Wise Rates#0#AskPrice15")/100</f>
        <v>311.615093</v>
      </c>
      <c r="I12" s="84">
        <f>RTD("tickerplantrtdserver",,"FWRC1#JPYINR#Month Wise Rates#0#BidPrice15")/100</f>
        <v>242.68010999999998</v>
      </c>
      <c r="J12" s="84">
        <f>RTD("tickerplantrtdserver",,"FWRC1#JPYINR#Month Wise Rates#0#AskPrice15")/100</f>
        <v>245.98184099999997</v>
      </c>
      <c r="K12" s="84">
        <f t="array" ref="K12">RTD("tickerplantrtdserver",,"FWRC1#EURUSD#Month Wise Rates#0#BidPrice15")</f>
        <v>69.489999999999995</v>
      </c>
      <c r="L12" s="84">
        <f t="array" ref="L12">RTD("tickerplantrtdserver",,"FWRC1#EURUSD#Month Wise Rates#0#AskPrice15")</f>
        <v>71.989999999999995</v>
      </c>
      <c r="M12" s="84">
        <f t="array" ref="M12">RTD("tickerplantrtdserver",,"FWRC1#GBPUSD#Month Wise Rates#0#BidPrice15")</f>
        <v>17.760000000000002</v>
      </c>
      <c r="N12" s="84">
        <f t="array" ref="N12">RTD("tickerplantrtdserver",,"FWRC1#GBPUSD#Month Wise Rates#0#AskPrice15")</f>
        <v>19.91</v>
      </c>
      <c r="O12" s="84">
        <f t="array" ref="O12">RTD("tickerplantrtdserver",,"FWRC1#USDJPY#Month Wise Rates#0#BidPrice15")</f>
        <v>-47.33</v>
      </c>
      <c r="P12" s="92">
        <f t="array" ref="P12">RTD("tickerplantrtdserver",,"FWRC1#USDJPY#Month Wise Rates#0#AskPrice15")</f>
        <v>-45.33</v>
      </c>
    </row>
    <row r="13" spans="1:18" x14ac:dyDescent="0.25">
      <c r="A13" s="102" t="s">
        <v>45</v>
      </c>
      <c r="B13" s="99">
        <v>306</v>
      </c>
      <c r="C13" s="93">
        <f t="array" ref="C13">RTD("tickerplantrtdserver",,"FWRC1#USDINR#Month Wise Rates#0#BidPrice16")</f>
        <v>250.4</v>
      </c>
      <c r="D13" s="81">
        <f t="array" ref="D13">RTD("tickerplantrtdserver",,"FWRC1#USDINR#Month Wise Rates#0#AskPrice16")</f>
        <v>252.4</v>
      </c>
      <c r="E13" s="81">
        <f t="array" ref="E13">RTD("tickerplantrtdserver",,"FWRC1#EURINR#Month Wise Rates#0#BidPrice16")</f>
        <v>358.65769999999998</v>
      </c>
      <c r="F13" s="81">
        <f t="array" ref="F13">RTD("tickerplantrtdserver",,"FWRC1#EURINR#Month Wise Rates#0#AskPrice16")</f>
        <v>364.95100000000002</v>
      </c>
      <c r="G13" s="81">
        <f>RTD("tickerplantrtdserver",,"FWRC1#GBPINR#Month Wise Rates#0#BidPrice16")/100</f>
        <v>343.817453</v>
      </c>
      <c r="H13" s="81">
        <f>RTD("tickerplantrtdserver",,"FWRC1#GBPINR#Month Wise Rates#0#AskPrice16")/100</f>
        <v>348.11337399999996</v>
      </c>
      <c r="I13" s="84">
        <f>RTD("tickerplantrtdserver",,"FWRC1#JPYINR#Month Wise Rates#0#BidPrice16")/100</f>
        <v>272.56532899999996</v>
      </c>
      <c r="J13" s="84">
        <f>RTD("tickerplantrtdserver",,"FWRC1#JPYINR#Month Wise Rates#0#AskPrice16")/100</f>
        <v>275.245588</v>
      </c>
      <c r="K13" s="84">
        <f t="array" ref="K13">RTD("tickerplantrtdserver",,"FWRC1#EURUSD#Month Wise Rates#0#BidPrice16")</f>
        <v>77.599999999999994</v>
      </c>
      <c r="L13" s="84">
        <f t="array" ref="L13">RTD("tickerplantrtdserver",,"FWRC1#EURUSD#Month Wise Rates#0#AskPrice16")</f>
        <v>82.6</v>
      </c>
      <c r="M13" s="84">
        <f t="array" ref="M13">RTD("tickerplantrtdserver",,"FWRC1#GBPUSD#Month Wise Rates#0#BidPrice16")</f>
        <v>19.2</v>
      </c>
      <c r="N13" s="84">
        <f t="array" ref="N13">RTD("tickerplantrtdserver",,"FWRC1#GBPUSD#Month Wise Rates#0#AskPrice16")</f>
        <v>20.399999999999999</v>
      </c>
      <c r="O13" s="84">
        <f t="array" ref="O13">RTD("tickerplantrtdserver",,"FWRC1#USDJPY#Month Wise Rates#0#BidPrice16")</f>
        <v>-52.96</v>
      </c>
      <c r="P13" s="92">
        <f t="array" ref="P13">RTD("tickerplantrtdserver",,"FWRC1#USDJPY#Month Wise Rates#0#AskPrice16")</f>
        <v>-51.46</v>
      </c>
    </row>
    <row r="14" spans="1:18" x14ac:dyDescent="0.25">
      <c r="A14" s="102" t="s">
        <v>46</v>
      </c>
      <c r="B14" s="99">
        <v>335</v>
      </c>
      <c r="C14" s="93">
        <f t="array" ref="C14">RTD("tickerplantrtdserver",,"FWRC1#USDINR#Month Wise Rates#0#BidPrice17")</f>
        <v>274.83330000000001</v>
      </c>
      <c r="D14" s="81">
        <f t="array" ref="D14">RTD("tickerplantrtdserver",,"FWRC1#USDINR#Month Wise Rates#0#AskPrice17")</f>
        <v>276.83330000000001</v>
      </c>
      <c r="E14" s="81">
        <f t="array" ref="E14">RTD("tickerplantrtdserver",,"FWRC1#EURINR#Month Wise Rates#0#BidPrice17")</f>
        <v>393.38170000000002</v>
      </c>
      <c r="F14" s="81">
        <f t="array" ref="F14">RTD("tickerplantrtdserver",,"FWRC1#EURINR#Month Wise Rates#0#AskPrice17")</f>
        <v>400.07940000000002</v>
      </c>
      <c r="G14" s="81">
        <f>RTD("tickerplantrtdserver",,"FWRC1#GBPINR#Month Wise Rates#0#BidPrice17")/100</f>
        <v>377.12033100000002</v>
      </c>
      <c r="H14" s="81">
        <f>RTD("tickerplantrtdserver",,"FWRC1#GBPINR#Month Wise Rates#0#AskPrice17")/100</f>
        <v>381.55494299999998</v>
      </c>
      <c r="I14" s="84">
        <f>RTD("tickerplantrtdserver",,"FWRC1#JPYINR#Month Wise Rates#0#BidPrice17")/100</f>
        <v>298.11841499999997</v>
      </c>
      <c r="J14" s="84">
        <f>RTD("tickerplantrtdserver",,"FWRC1#JPYINR#Month Wise Rates#0#AskPrice17")/100</f>
        <v>302.48598999999996</v>
      </c>
      <c r="K14" s="84">
        <f t="array" ref="K14">RTD("tickerplantrtdserver",,"FWRC1#EURUSD#Month Wise Rates#0#BidPrice17")</f>
        <v>85.09</v>
      </c>
      <c r="L14" s="84">
        <f t="array" ref="L14">RTD("tickerplantrtdserver",,"FWRC1#EURUSD#Month Wise Rates#0#AskPrice17")</f>
        <v>90.59</v>
      </c>
      <c r="M14" s="84">
        <f t="array" ref="M14">RTD("tickerplantrtdserver",,"FWRC1#GBPUSD#Month Wise Rates#0#BidPrice17")</f>
        <v>20.190000000000001</v>
      </c>
      <c r="N14" s="84">
        <f t="array" ref="N14">RTD("tickerplantrtdserver",,"FWRC1#GBPUSD#Month Wise Rates#0#AskPrice17")</f>
        <v>22.49</v>
      </c>
      <c r="O14" s="84">
        <f t="array" ref="O14">RTD("tickerplantrtdserver",,"FWRC1#USDJPY#Month Wise Rates#0#BidPrice17")</f>
        <v>-58.69</v>
      </c>
      <c r="P14" s="92">
        <f t="array" ref="P14">RTD("tickerplantrtdserver",,"FWRC1#USDJPY#Month Wise Rates#0#AskPrice17")</f>
        <v>-55.19</v>
      </c>
    </row>
    <row r="15" spans="1:18" ht="15.75" thickBot="1" x14ac:dyDescent="0.3">
      <c r="A15" s="103" t="s">
        <v>33</v>
      </c>
      <c r="B15" s="100">
        <v>365</v>
      </c>
      <c r="C15" s="94">
        <f t="array" ref="C15">RTD("tickerplantrtdserver",,"FWRC1#USDINR#Month Wise Rates#0#BidPrice18")</f>
        <v>300.14999999999998</v>
      </c>
      <c r="D15" s="95">
        <f t="array" ref="D15">RTD("tickerplantrtdserver",,"FWRC1#USDINR#Month Wise Rates#0#AskPrice18")</f>
        <v>302.14999999999998</v>
      </c>
      <c r="E15" s="95">
        <f t="array" ref="E15">RTD("tickerplantrtdserver",,"FWRC1#EURINR#Month Wise Rates#0#BidPrice18")</f>
        <v>429.70499999999998</v>
      </c>
      <c r="F15" s="95">
        <f t="array" ref="F15">RTD("tickerplantrtdserver",,"FWRC1#EURINR#Month Wise Rates#0#AskPrice18")</f>
        <v>434.399</v>
      </c>
      <c r="G15" s="95">
        <f>RTD("tickerplantrtdserver",,"FWRC1#GBPINR#Month Wise Rates#0#BidPrice18")/100</f>
        <v>411.257633</v>
      </c>
      <c r="H15" s="95">
        <f>RTD("tickerplantrtdserver",,"FWRC1#GBPINR#Month Wise Rates#0#AskPrice18")/100</f>
        <v>415.89116199999995</v>
      </c>
      <c r="I15" s="96">
        <f>RTD("tickerplantrtdserver",,"FWRC1#JPYINR#Month Wise Rates#0#BidPrice18")/100</f>
        <v>327.51179300000001</v>
      </c>
      <c r="J15" s="96">
        <f>RTD("tickerplantrtdserver",,"FWRC1#JPYINR#Month Wise Rates#0#AskPrice18")/100</f>
        <v>330.202133</v>
      </c>
      <c r="K15" s="96">
        <f t="array" ref="K15">RTD("tickerplantrtdserver",,"FWRC1#EURUSD#Month Wise Rates#0#BidPrice18")</f>
        <v>93.39</v>
      </c>
      <c r="L15" s="96">
        <f t="array" ref="L15">RTD("tickerplantrtdserver",,"FWRC1#EURUSD#Month Wise Rates#0#AskPrice18")</f>
        <v>96.29</v>
      </c>
      <c r="M15" s="96">
        <f t="array" ref="M15">RTD("tickerplantrtdserver",,"FWRC1#GBPUSD#Month Wise Rates#0#BidPrice18")</f>
        <v>22</v>
      </c>
      <c r="N15" s="96">
        <f t="array" ref="N15">RTD("tickerplantrtdserver",,"FWRC1#GBPUSD#Month Wise Rates#0#AskPrice18")</f>
        <v>23.2</v>
      </c>
      <c r="O15" s="96">
        <f t="array" ref="O15">RTD("tickerplantrtdserver",,"FWRC1#USDJPY#Month Wise Rates#0#BidPrice18")</f>
        <v>-64.150000000000006</v>
      </c>
      <c r="P15" s="97">
        <f t="array" ref="P15">RTD("tickerplantrtdserver",,"FWRC1#USDJPY#Month Wise Rates#0#AskPrice18")</f>
        <v>-62.15</v>
      </c>
    </row>
  </sheetData>
  <mergeCells count="7">
    <mergeCell ref="O1:P1"/>
    <mergeCell ref="C1:D1"/>
    <mergeCell ref="E1:F1"/>
    <mergeCell ref="G1:H1"/>
    <mergeCell ref="I1:J1"/>
    <mergeCell ref="K1:L1"/>
    <mergeCell ref="M1:N1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R39"/>
  <sheetViews>
    <sheetView topLeftCell="A7" workbookViewId="0">
      <selection activeCell="E20" sqref="E20"/>
    </sheetView>
  </sheetViews>
  <sheetFormatPr defaultRowHeight="18" customHeight="1" x14ac:dyDescent="0.15"/>
  <cols>
    <col min="1" max="1" width="13.28515625" style="125" bestFit="1" customWidth="1"/>
    <col min="2" max="16384" width="9.140625" style="113"/>
  </cols>
  <sheetData>
    <row r="1" spans="1:7" ht="18" customHeight="1" thickBot="1" x14ac:dyDescent="0.2">
      <c r="A1" s="110" t="s">
        <v>14</v>
      </c>
      <c r="B1" s="111" t="s">
        <v>20</v>
      </c>
      <c r="C1" s="111" t="s">
        <v>19</v>
      </c>
      <c r="D1" s="111" t="s">
        <v>18</v>
      </c>
      <c r="E1" s="112" t="s">
        <v>54</v>
      </c>
    </row>
    <row r="2" spans="1:7" ht="18" customHeight="1" x14ac:dyDescent="0.15">
      <c r="A2" s="114" t="str">
        <f>RTD("tickerplantrtdserver",,"17#1#1#6069#USDINRCOMP#S#Descr.")</f>
        <v>USDINRCOMP</v>
      </c>
      <c r="B2" s="115">
        <f>RTD("tickerplantrtdserver",,"17#1#1#6069#USDINRCOMP#Open")</f>
        <v>74.77</v>
      </c>
      <c r="C2" s="115">
        <f>RTD("tickerplantrtdserver",,"17#1#1#6069#USDINRCOMP#High")</f>
        <v>74.885000000000005</v>
      </c>
      <c r="D2" s="115">
        <f>RTD("tickerplantrtdserver",,"17#1#1#6069#USDINRCOMP#Low")</f>
        <v>74.739999999999995</v>
      </c>
      <c r="E2" s="116">
        <f>RTD("tickerplantrtdserver",,"17#1#1#6069#USDINRCOMP#LTP")</f>
        <v>74.754999999999995</v>
      </c>
    </row>
    <row r="3" spans="1:7" ht="18" customHeight="1" x14ac:dyDescent="0.15">
      <c r="A3" s="117" t="str">
        <f>RTD("tickerplantrtdserver",,"17#3#1#5949#EURINRCOMP#S#Descr.")</f>
        <v>EURINRCOMP</v>
      </c>
      <c r="B3" s="118">
        <f>RTD("tickerplantrtdserver",,"17#3#1#5949#EURINRCOMP#Open")</f>
        <v>88.917500000000004</v>
      </c>
      <c r="C3" s="118">
        <f>RTD("tickerplantrtdserver",,"17#3#1#5949#EURINRCOMP#High")</f>
        <v>89.075000000000003</v>
      </c>
      <c r="D3" s="118">
        <f>RTD("tickerplantrtdserver",,"17#3#1#5949#EURINRCOMP#Low")</f>
        <v>88.864999999999995</v>
      </c>
      <c r="E3" s="119">
        <f>RTD("tickerplantrtdserver",,"17#3#1#5949#EURINRCOMP#LTP")</f>
        <v>88.96</v>
      </c>
    </row>
    <row r="4" spans="1:7" ht="18" customHeight="1" x14ac:dyDescent="0.15">
      <c r="A4" s="117" t="str">
        <f>RTD("tickerplantrtdserver",,"17#3#1#6031#GBPINRCOMP#S#Descr.")</f>
        <v>GBPINRCOMP</v>
      </c>
      <c r="B4" s="118">
        <f>RTD("tickerplantrtdserver",,"17#3#1#6031#GBPINRCOMP#Open")</f>
        <v>98.202500000000001</v>
      </c>
      <c r="C4" s="118">
        <f>RTD("tickerplantrtdserver",,"17#3#1#6031#GBPINRCOMP#High")</f>
        <v>98.55</v>
      </c>
      <c r="D4" s="118">
        <f>RTD("tickerplantrtdserver",,"17#3#1#6031#GBPINRCOMP#Low")</f>
        <v>98.194999999999993</v>
      </c>
      <c r="E4" s="119">
        <f>RTD("tickerplantrtdserver",,"17#3#1#6031#GBPINRCOMP#LTP")</f>
        <v>98.37</v>
      </c>
    </row>
    <row r="5" spans="1:7" ht="18" customHeight="1" x14ac:dyDescent="0.15">
      <c r="A5" s="117" t="str">
        <f>RTD("tickerplantrtdserver",,"17#3#1#5978#JPYINRCOMP#S#Descr.")</f>
        <v>JPYINRCOMP</v>
      </c>
      <c r="B5" s="118">
        <f>RTD("tickerplantrtdserver",,"17#3#1#5978#JPYINRCOMP#Open")</f>
        <v>70.775000000000006</v>
      </c>
      <c r="C5" s="118">
        <f>RTD("tickerplantrtdserver",,"17#3#1#5978#JPYINRCOMP#High")</f>
        <v>70.984999999999999</v>
      </c>
      <c r="D5" s="118">
        <f>RTD("tickerplantrtdserver",,"17#3#1#5978#JPYINRCOMP#Low")</f>
        <v>70.73</v>
      </c>
      <c r="E5" s="119">
        <f>RTD("tickerplantrtdserver",,"17#3#1#5978#JPYINRCOMP#LTP")</f>
        <v>70.784999999999997</v>
      </c>
      <c r="G5" s="173" t="s">
        <v>59</v>
      </c>
    </row>
    <row r="6" spans="1:7" ht="18" customHeight="1" x14ac:dyDescent="0.15">
      <c r="A6" s="117" t="str">
        <f>RTD("tickerplantrtdserver",,"17#3#1#6056#CHFINRCOMP#S#Descr.")</f>
        <v>CHFINRCOMP</v>
      </c>
      <c r="B6" s="118">
        <f>RTD("tickerplantrtdserver",,"17#3#1#6056#CHFINRCOMP#Open")</f>
        <v>82.61</v>
      </c>
      <c r="C6" s="118">
        <f>RTD("tickerplantrtdserver",,"17#3#1#6056#CHFINRCOMP#High")</f>
        <v>82.795000000000002</v>
      </c>
      <c r="D6" s="118">
        <f>RTD("tickerplantrtdserver",,"17#3#1#6056#CHFINRCOMP#Low")</f>
        <v>82.457499999999996</v>
      </c>
      <c r="E6" s="119">
        <f>RTD("tickerplantrtdserver",,"17#3#1#6056#CHFINRCOMP#LTP")</f>
        <v>82.525000000000006</v>
      </c>
      <c r="G6" s="173"/>
    </row>
    <row r="7" spans="1:7" ht="18" customHeight="1" x14ac:dyDescent="0.15">
      <c r="A7" s="117" t="str">
        <f>RTD("tickerplantrtdserver",,"17#3#1#5921#CADINRCOMP#S#Descr.")</f>
        <v>CADINRCOMP</v>
      </c>
      <c r="B7" s="118">
        <f>RTD("tickerplantrtdserver",,"17#3#1#5921#CADINRCOMP#Open")</f>
        <v>56.7</v>
      </c>
      <c r="C7" s="118">
        <f>RTD("tickerplantrtdserver",,"17#3#1#5921#CADINRCOMP#High")</f>
        <v>56.84</v>
      </c>
      <c r="D7" s="118">
        <f>RTD("tickerplantrtdserver",,"17#3#1#5921#CADINRCOMP#Low")</f>
        <v>56.677500000000002</v>
      </c>
      <c r="E7" s="119">
        <f>RTD("tickerplantrtdserver",,"17#3#1#5921#CADINRCOMP#LTP")</f>
        <v>56.777500000000003</v>
      </c>
      <c r="G7" s="173"/>
    </row>
    <row r="8" spans="1:7" ht="18" customHeight="1" x14ac:dyDescent="0.15">
      <c r="A8" s="117" t="str">
        <f>RTD("tickerplantrtdserver",,"17#3#1#5903#AUDINRCOMP#S#Descr.")</f>
        <v>AUDINRCOMP</v>
      </c>
      <c r="B8" s="118">
        <f>RTD("tickerplantrtdserver",,"17#3#1#5903#AUDINRCOMP#Open")</f>
        <v>54.0075</v>
      </c>
      <c r="C8" s="118">
        <f>RTD("tickerplantrtdserver",,"17#3#1#5903#AUDINRCOMP#High")</f>
        <v>54.127499999999998</v>
      </c>
      <c r="D8" s="118">
        <f>RTD("tickerplantrtdserver",,"17#3#1#5903#AUDINRCOMP#Low")</f>
        <v>53.977499999999999</v>
      </c>
      <c r="E8" s="119">
        <f>RTD("tickerplantrtdserver",,"17#3#1#5903#AUDINRCOMP#LTP")</f>
        <v>54.027500000000003</v>
      </c>
      <c r="G8" s="173"/>
    </row>
    <row r="9" spans="1:7" ht="18" customHeight="1" x14ac:dyDescent="0.15">
      <c r="A9" s="117" t="str">
        <f>RTD("tickerplantrtdserver",,"17#3#1#6041#SGDINRCOMP#S#Descr.")</f>
        <v>SGDINRCOMP</v>
      </c>
      <c r="B9" s="118">
        <f>RTD("tickerplantrtdserver",,"17#3#1#6041#SGDINRCOMP#Open")</f>
        <v>54.68</v>
      </c>
      <c r="C9" s="118">
        <f>RTD("tickerplantrtdserver",,"17#3#1#6041#SGDINRCOMP#High")</f>
        <v>54.83</v>
      </c>
      <c r="D9" s="118">
        <f>RTD("tickerplantrtdserver",,"17#3#1#6041#SGDINRCOMP#Low")</f>
        <v>54.672499999999999</v>
      </c>
      <c r="E9" s="119">
        <f>RTD("tickerplantrtdserver",,"17#3#1#6041#SGDINRCOMP#LTP")</f>
        <v>54.75</v>
      </c>
      <c r="G9" s="173"/>
    </row>
    <row r="10" spans="1:7" ht="18" customHeight="1" x14ac:dyDescent="0.15">
      <c r="A10" s="117" t="str">
        <f>RTD("tickerplantrtdserver",,"12#2#1#5949#SEURUSD#S#Descr.")</f>
        <v>EURUSD</v>
      </c>
      <c r="B10" s="118">
        <f>RTD("tickerplantrtdserver",,"12#2#1#5949#SEURUSD#Open")</f>
        <v>1.1871499999999999</v>
      </c>
      <c r="C10" s="118">
        <f>RTD("tickerplantrtdserver",,"12#2#1#5949#SEURUSD#High")</f>
        <v>1.19153</v>
      </c>
      <c r="D10" s="118">
        <f>RTD("tickerplantrtdserver",,"12#2#1#5949#SEURUSD#Low")</f>
        <v>1.1867000000000001</v>
      </c>
      <c r="E10" s="119">
        <f>RTD("tickerplantrtdserver",,"12#2#1#5949#SEURUSD#LTP")</f>
        <v>1.19007</v>
      </c>
    </row>
    <row r="11" spans="1:7" ht="18" customHeight="1" x14ac:dyDescent="0.15">
      <c r="A11" s="117" t="str">
        <f>RTD("tickerplantrtdserver",,"12#2#1#6031#SGBPUSD#S#Descr.")</f>
        <v>GBPUSD</v>
      </c>
      <c r="B11" s="118">
        <f>RTD("tickerplantrtdserver",,"12#2#1#6031#SGBPUSD#Open")</f>
        <v>1.3102</v>
      </c>
      <c r="C11" s="118">
        <f>RTD("tickerplantrtdserver",,"12#2#1#6031#SGBPUSD#High")</f>
        <v>1.3180099999999999</v>
      </c>
      <c r="D11" s="118">
        <f>RTD("tickerplantrtdserver",,"12#2#1#6031#SGBPUSD#Low")</f>
        <v>1.30985</v>
      </c>
      <c r="E11" s="119">
        <f>RTD("tickerplantrtdserver",,"12#2#1#6031#SGBPUSD#LTP")</f>
        <v>1.3160000000000001</v>
      </c>
    </row>
    <row r="12" spans="1:7" ht="18" customHeight="1" x14ac:dyDescent="0.15">
      <c r="A12" s="117" t="str">
        <f>RTD("tickerplantrtdserver",,"12#2#1#6069#SUSDJPY#S#Descr.")</f>
        <v>USDJPY</v>
      </c>
      <c r="B12" s="120">
        <f>RTD("tickerplantrtdserver",,"12#2#1#6069#SUSDJPY#Open")</f>
        <v>106</v>
      </c>
      <c r="C12" s="120">
        <f>RTD("tickerplantrtdserver",,"12#2#1#6069#SUSDJPY#High")</f>
        <v>106.05200000000001</v>
      </c>
      <c r="D12" s="120">
        <f>RTD("tickerplantrtdserver",,"12#2#1#6069#SUSDJPY#Low")</f>
        <v>105.36</v>
      </c>
      <c r="E12" s="121">
        <f>RTD("tickerplantrtdserver",,"12#2#1#6069#SUSDJPY#LTP")</f>
        <v>105.547</v>
      </c>
    </row>
    <row r="13" spans="1:7" ht="18" customHeight="1" x14ac:dyDescent="0.15">
      <c r="A13" s="117" t="str">
        <f>RTD("tickerplantrtdserver",,"12#2#1#6069#SUSDCHF#S#Descr.")</f>
        <v>USDCHF</v>
      </c>
      <c r="B13" s="118">
        <f>RTD("tickerplantrtdserver",,"12#2#1#6069#SUSDCHF#Open")</f>
        <v>0.90602000000000005</v>
      </c>
      <c r="C13" s="118">
        <f>RTD("tickerplantrtdserver",,"12#2#1#6069#SUSDCHF#High")</f>
        <v>0.90676999999999996</v>
      </c>
      <c r="D13" s="118">
        <f>RTD("tickerplantrtdserver",,"12#2#1#6069#SUSDCHF#Low")</f>
        <v>0.90329999999999999</v>
      </c>
      <c r="E13" s="119">
        <f>RTD("tickerplantrtdserver",,"12#2#1#6069#SUSDCHF#LTP")</f>
        <v>0.90542999999999996</v>
      </c>
    </row>
    <row r="14" spans="1:7" ht="18" customHeight="1" x14ac:dyDescent="0.15">
      <c r="A14" s="117" t="str">
        <f>RTD("tickerplantrtdserver",,"12#2#1#6069#SUSDCAD#S#Descr.")</f>
        <v>USDCAD</v>
      </c>
      <c r="B14" s="118">
        <f>RTD("tickerplantrtdserver",,"12#2#1#6069#SUSDCAD#Open")</f>
        <v>1.3218000000000001</v>
      </c>
      <c r="C14" s="118">
        <f>RTD("tickerplantrtdserver",,"12#2#1#6069#SUSDCAD#High")</f>
        <v>1.32317</v>
      </c>
      <c r="D14" s="118">
        <f>RTD("tickerplantrtdserver",,"12#2#1#6069#SUSDCAD#Low")</f>
        <v>1.3152999999999999</v>
      </c>
      <c r="E14" s="119">
        <f>RTD("tickerplantrtdserver",,"12#2#1#6069#SUSDCAD#LTP")</f>
        <v>1.3162400000000001</v>
      </c>
    </row>
    <row r="15" spans="1:7" ht="18" customHeight="1" x14ac:dyDescent="0.15">
      <c r="A15" s="117" t="str">
        <f>RTD("tickerplantrtdserver",,"12#2#1#5903#SAUDUSD#S#Descr.")</f>
        <v>AUDUSD</v>
      </c>
      <c r="B15" s="118">
        <f>RTD("tickerplantrtdserver",,"12#2#1#5903#SAUDUSD#Open")</f>
        <v>0.72130000000000005</v>
      </c>
      <c r="C15" s="118">
        <f>RTD("tickerplantrtdserver",,"12#2#1#5903#SAUDUSD#High")</f>
        <v>0.72397</v>
      </c>
      <c r="D15" s="118">
        <f>RTD("tickerplantrtdserver",,"12#2#1#5903#SAUDUSD#Low")</f>
        <v>0.72060000000000002</v>
      </c>
      <c r="E15" s="119">
        <f>RTD("tickerplantrtdserver",,"12#2#1#5903#SAUDUSD#LTP")</f>
        <v>0.72299999999999998</v>
      </c>
    </row>
    <row r="16" spans="1:7" ht="18" customHeight="1" thickBot="1" x14ac:dyDescent="0.2">
      <c r="A16" s="122" t="str">
        <f>RTD("tickerplantrtdserver",,"12#2#1#6069#SUSDSGD#S#Descr.")</f>
        <v>USDSGD</v>
      </c>
      <c r="B16" s="123">
        <f>RTD("tickerplantrtdserver",,"12#2#1#6069#SUSDSGD#Open")</f>
        <v>1.3677999999999999</v>
      </c>
      <c r="C16" s="123">
        <f>RTD("tickerplantrtdserver",,"12#2#1#6069#SUSDSGD#High")</f>
        <v>1.3683000000000001</v>
      </c>
      <c r="D16" s="123">
        <f>RTD("tickerplantrtdserver",,"12#2#1#6069#SUSDSGD#Low")</f>
        <v>1.3643000000000001</v>
      </c>
      <c r="E16" s="124">
        <f>RTD("tickerplantrtdserver",,"12#2#1#6069#SUSDSGD#LTP")</f>
        <v>1.3648</v>
      </c>
    </row>
    <row r="17" spans="1:16" ht="18" customHeight="1" thickBot="1" x14ac:dyDescent="0.2">
      <c r="B17" s="126"/>
      <c r="C17" s="126"/>
      <c r="D17" s="126"/>
      <c r="E17" s="126"/>
    </row>
    <row r="18" spans="1:16" ht="18" customHeight="1" thickBot="1" x14ac:dyDescent="0.2">
      <c r="A18" s="110" t="s">
        <v>14</v>
      </c>
      <c r="B18" s="111" t="s">
        <v>55</v>
      </c>
      <c r="C18" s="111" t="s">
        <v>36</v>
      </c>
      <c r="D18" s="111" t="s">
        <v>37</v>
      </c>
      <c r="E18" s="111" t="s">
        <v>35</v>
      </c>
      <c r="F18" s="111" t="s">
        <v>38</v>
      </c>
      <c r="G18" s="111" t="s">
        <v>39</v>
      </c>
      <c r="H18" s="111" t="s">
        <v>34</v>
      </c>
      <c r="I18" s="111" t="s">
        <v>43</v>
      </c>
      <c r="J18" s="111" t="s">
        <v>44</v>
      </c>
      <c r="K18" s="111" t="s">
        <v>40</v>
      </c>
      <c r="L18" s="111" t="s">
        <v>45</v>
      </c>
      <c r="M18" s="111" t="s">
        <v>46</v>
      </c>
      <c r="N18" s="112" t="s">
        <v>33</v>
      </c>
    </row>
    <row r="19" spans="1:16" ht="18" customHeight="1" x14ac:dyDescent="0.15">
      <c r="A19" s="114" t="str">
        <f>RTD("tickerplantrtdserver",,"17#1#1#6069#USDINRCOMP#S#Descr.")</f>
        <v>USDINRCOMP</v>
      </c>
      <c r="B19" s="127">
        <f t="array" ref="B19">RTD("tickerplantrtdserver",,"FWRC1#USDINR#Month End Rates#0#Close0")</f>
        <v>74.754999999999995</v>
      </c>
      <c r="C19" s="128">
        <f>RTD("tickerplantrtdserver",,"FWRC1#USDINR#Month End Rates#0#Close0")+RTD("tickerplantrtdserver",,"FWRC1#USDINR#Month End Rates#0#Close4")/100</f>
        <v>74.819999999999993</v>
      </c>
      <c r="D19" s="127">
        <f>RTD("tickerplantrtdserver",,"FWRC1#USDINR#Month End Rates#0#Close0")+RTD("tickerplantrtdserver",,"FWRC1#USDINR#Month End Rates#0#Close5")/100</f>
        <v>75.045000000000002</v>
      </c>
      <c r="E19" s="129">
        <f>RTD("tickerplantrtdserver",,"FWRC1#USDINR#Month End Rates#0#Close0")+RTD("tickerplantrtdserver",,"FWRC1#USDINR#Month End Rates#0#Close6")/100</f>
        <v>75.28</v>
      </c>
      <c r="F19" s="129">
        <f>RTD("tickerplantrtdserver",,"FWRC1#USDINR#Month End Rates#0#Close0")+RTD("tickerplantrtdserver",,"FWRC1#USDINR#Month End Rates#0#Close7")/100</f>
        <v>75.515000000000001</v>
      </c>
      <c r="G19" s="129">
        <f>RTD("tickerplantrtdserver",,"FWRC1#USDINR#Month End Rates#0#Close0")+RTD("tickerplantrtdserver",,"FWRC1#USDINR#Month End Rates#0#Close8")/100</f>
        <v>75.784999999999997</v>
      </c>
      <c r="H19" s="129">
        <f>RTD("tickerplantrtdserver",,"FWRC1#USDINR#Month End Rates#0#Close0")+RTD("tickerplantrtdserver",,"FWRC1#USDINR#Month End Rates#0#Close9")/100</f>
        <v>76.027499999999989</v>
      </c>
      <c r="I19" s="129">
        <f>RTD("tickerplantrtdserver",,"FWRC1#USDINR#Month End Rates#0#Close0")+RTD("tickerplantrtdserver",,"FWRC1#USDINR#Month End Rates#0#Close10")/100</f>
        <v>76.257499999999993</v>
      </c>
      <c r="J19" s="129">
        <f>RTD("tickerplantrtdserver",,"FWRC1#USDINR#Month End Rates#0#Close0")+RTD("tickerplantrtdserver",,"FWRC1#USDINR#Month End Rates#0#Close11")/100</f>
        <v>76.532499999999999</v>
      </c>
      <c r="K19" s="129">
        <f>RTD("tickerplantrtdserver",,"FWRC1#USDINR#Month End Rates#0#Close0")+RTD("tickerplantrtdserver",,"FWRC1#USDINR#Month End Rates#0#Close12")/100</f>
        <v>76.842500000000001</v>
      </c>
      <c r="L19" s="129">
        <f>RTD("tickerplantrtdserver",,"FWRC1#USDINR#Month End Rates#0#Close0")+RTD("tickerplantrtdserver",,"FWRC1#USDINR#Month End Rates#0#Close13")/100</f>
        <v>77.069999999999993</v>
      </c>
      <c r="M19" s="129">
        <f>RTD("tickerplantrtdserver",,"FWRC1#USDINR#Month End Rates#0#Close0")+RTD("tickerplantrtdserver",,"FWRC1#USDINR#Month End Rates#0#Close14")/100</f>
        <v>77.339999999999989</v>
      </c>
      <c r="N19" s="130">
        <f>RTD("tickerplantrtdserver",,"FWRC1#USDINR#Month End Rates#0#Close0")+RTD("tickerplantrtdserver",,"FWRC1#USDINR#Month End Rates#0#Close15")/100</f>
        <v>77.584999999999994</v>
      </c>
    </row>
    <row r="20" spans="1:16" ht="18" customHeight="1" x14ac:dyDescent="0.15">
      <c r="A20" s="117" t="str">
        <f>RTD("tickerplantrtdserver",,"17#3#1#5949#EURINRCOMP#S#Descr.")</f>
        <v>EURINRCOMP</v>
      </c>
      <c r="B20" s="131">
        <f t="array" ref="B20">RTD("tickerplantrtdserver",,"FWRC1#EURINR#Month End Rates#0#Close0")</f>
        <v>88.96</v>
      </c>
      <c r="C20" s="132">
        <f>RTD("tickerplantrtdserver",,"FWRC1#EURINR#Month End Rates#0#Close0")+RTD("tickerplantrtdserver",,"FWRC1#EURINR#Month End Rates#0#Close4")/100</f>
        <v>89.073249999999987</v>
      </c>
      <c r="D20" s="132">
        <f>RTD("tickerplantrtdserver",,"FWRC1#EURINR#Month End Rates#0#Close0")+RTD("tickerplantrtdserver",,"FWRC1#EURINR#Month End Rates#0#Close5")/100</f>
        <v>89.379349999999988</v>
      </c>
      <c r="E20" s="132">
        <f>RTD("tickerplantrtdserver",,"FWRC1#EURINR#Month End Rates#0#Close0")+RTD("tickerplantrtdserver",,"FWRC1#EURINR#Month End Rates#0#Close6")/100</f>
        <v>89.697749999999999</v>
      </c>
      <c r="F20" s="132">
        <f>RTD("tickerplantrtdserver",,"FWRC1#EURINR#Month End Rates#0#Close0")+RTD("tickerplantrtdserver",,"FWRC1#EURINR#Month End Rates#0#Close7")/100</f>
        <v>90.081774999999993</v>
      </c>
      <c r="G20" s="132">
        <f>RTD("tickerplantrtdserver",,"FWRC1#EURINR#Month End Rates#0#Close0")+RTD("tickerplantrtdserver",,"FWRC1#EURINR#Month End Rates#0#Close8")/100</f>
        <v>90.472424999999987</v>
      </c>
      <c r="H20" s="132">
        <f>RTD("tickerplantrtdserver",,"FWRC1#EURINR#Month End Rates#0#Close0")+RTD("tickerplantrtdserver",,"FWRC1#EURINR#Month End Rates#0#Close9")/100</f>
        <v>90.811499999999995</v>
      </c>
      <c r="I20" s="132">
        <f>RTD("tickerplantrtdserver",,"FWRC1#EURINR#Month End Rates#0#Close0")+RTD("tickerplantrtdserver",,"FWRC1#EURINR#Month End Rates#0#Close10")/100</f>
        <v>91.13947499999999</v>
      </c>
      <c r="J20" s="132">
        <f>RTD("tickerplantrtdserver",,"FWRC1#EURINR#Month End Rates#0#Close0")+RTD("tickerplantrtdserver",,"FWRC1#EURINR#Month End Rates#0#Close11")/100</f>
        <v>91.571149999999989</v>
      </c>
      <c r="K20" s="132">
        <f>RTD("tickerplantrtdserver",,"FWRC1#EURINR#Month End Rates#0#Close0")+RTD("tickerplantrtdserver",,"FWRC1#EURINR#Month End Rates#0#Close12")/100</f>
        <v>91.925399999999996</v>
      </c>
      <c r="L20" s="132">
        <f>RTD("tickerplantrtdserver",,"FWRC1#EURINR#Month End Rates#0#Close0")+RTD("tickerplantrtdserver",,"FWRC1#EURINR#Month End Rates#0#Close13")/100</f>
        <v>92.299624999999992</v>
      </c>
      <c r="M20" s="132">
        <f>RTD("tickerplantrtdserver",,"FWRC1#EURINR#Month End Rates#0#Close0")+RTD("tickerplantrtdserver",,"FWRC1#EURINR#Month End Rates#0#Close14")/100</f>
        <v>92.658249999999995</v>
      </c>
      <c r="N20" s="133">
        <f>RTD("tickerplantrtdserver",,"FWRC1#EURINR#Month End Rates#0#Close0")+RTD("tickerplantrtdserver",,"FWRC1#EURINR#Month End Rates#0#Close15")/100</f>
        <v>93.009824999999992</v>
      </c>
    </row>
    <row r="21" spans="1:16" ht="18" customHeight="1" x14ac:dyDescent="0.15">
      <c r="A21" s="117" t="str">
        <f>RTD("tickerplantrtdserver",,"17#3#1#6031#GBPINRCOMP#S#Descr.")</f>
        <v>GBPINRCOMP</v>
      </c>
      <c r="B21" s="132">
        <f t="array" ref="B21">RTD("tickerplantrtdserver",,"FWRC1#GBPINR#Month End Rates#0#Close0")</f>
        <v>98.37</v>
      </c>
      <c r="C21" s="132">
        <f>RTD("tickerplantrtdserver",,"FWRC1#GBPINR#Month End Rates#0#Close0")+RTD("tickerplantrtdserver",,"FWRC1#GBPINR#Month End Rates#0#Close4")/10000</f>
        <v>98.478235500000011</v>
      </c>
      <c r="D21" s="132">
        <f>RTD("tickerplantrtdserver",,"FWRC1#GBPINR#Month End Rates#0#Close0")+RTD("tickerplantrtdserver",,"FWRC1#GBPINR#Month End Rates#0#Close5")/10000</f>
        <v>98.771685750000003</v>
      </c>
      <c r="E21" s="132">
        <f>RTD("tickerplantrtdserver",,"FWRC1#GBPINR#Month End Rates#0#Close0")+RTD("tickerplantrtdserver",,"FWRC1#GBPINR#Month End Rates#0#Close6")/10000</f>
        <v>99.075657250000006</v>
      </c>
      <c r="F21" s="132">
        <f>RTD("tickerplantrtdserver",,"FWRC1#GBPINR#Month End Rates#0#Close0")+RTD("tickerplantrtdserver",,"FWRC1#GBPINR#Month End Rates#0#Close7")/10000</f>
        <v>99.443686749999998</v>
      </c>
      <c r="G21" s="132">
        <f>RTD("tickerplantrtdserver",,"FWRC1#GBPINR#Month End Rates#0#Close0")+RTD("tickerplantrtdserver",,"FWRC1#GBPINR#Month End Rates#0#Close8")/10000</f>
        <v>99.8224795</v>
      </c>
      <c r="H21" s="132">
        <f>RTD("tickerplantrtdserver",,"FWRC1#GBPINR#Month End Rates#0#Close0")+RTD("tickerplantrtdserver",,"FWRC1#GBPINR#Month End Rates#0#Close9")/10000</f>
        <v>100.14545325</v>
      </c>
      <c r="I21" s="132">
        <f>RTD("tickerplantrtdserver",,"FWRC1#GBPINR#Month End Rates#0#Close0")+RTD("tickerplantrtdserver",,"FWRC1#GBPINR#Month End Rates#0#Close10")/10000</f>
        <v>100.45838775</v>
      </c>
      <c r="J21" s="132">
        <f>RTD("tickerplantrtdserver",,"FWRC1#GBPINR#Month End Rates#0#Close0")+RTD("tickerplantrtdserver",,"FWRC1#GBPINR#Month End Rates#0#Close11")/10000</f>
        <v>100.879047</v>
      </c>
      <c r="K21" s="132">
        <f>RTD("tickerplantrtdserver",,"FWRC1#GBPINR#Month End Rates#0#Close0")+RTD("tickerplantrtdserver",,"FWRC1#GBPINR#Month End Rates#0#Close12")/10000</f>
        <v>101.21807600000001</v>
      </c>
      <c r="L21" s="132">
        <f>RTD("tickerplantrtdserver",,"FWRC1#GBPINR#Month End Rates#0#Close0")+RTD("tickerplantrtdserver",,"FWRC1#GBPINR#Month End Rates#0#Close13")/10000</f>
        <v>101.57144775</v>
      </c>
      <c r="M21" s="132">
        <f>RTD("tickerplantrtdserver",,"FWRC1#GBPINR#Month End Rates#0#Close0")+RTD("tickerplantrtdserver",,"FWRC1#GBPINR#Month End Rates#0#Close14")/10000</f>
        <v>101.91538275000001</v>
      </c>
      <c r="N21" s="133">
        <f>RTD("tickerplantrtdserver",,"FWRC1#GBPINR#Month End Rates#0#Close0")+RTD("tickerplantrtdserver",,"FWRC1#GBPINR#Month End Rates#0#Close15")/10000</f>
        <v>102.24596225000001</v>
      </c>
    </row>
    <row r="22" spans="1:16" ht="18" customHeight="1" x14ac:dyDescent="0.15">
      <c r="A22" s="117" t="str">
        <f>RTD("tickerplantrtdserver",,"17#3#1#5978#JPYINRCOMP#S#Descr.")</f>
        <v>JPYINRCOMP</v>
      </c>
      <c r="B22" s="131">
        <f>RTD("tickerplantrtdserver",,"FWRC1#JPYINR#Month End Rates#0#Close0")</f>
        <v>70.784999999999997</v>
      </c>
      <c r="C22" s="132">
        <f>RTD("tickerplantrtdserver",,"FWRC1#JPYINR#Month End Rates#0#Close0")+RTD("tickerplantrtdserver",,"FWRC1#JPYINR#Month End Rates#0#Close4")/10000</f>
        <v>70.862430000000003</v>
      </c>
      <c r="D22" s="132">
        <f>RTD("tickerplantrtdserver",,"FWRC1#JPYINR#Month End Rates#0#Close0")+RTD("tickerplantrtdserver",,"FWRC1#JPYINR#Month End Rates#0#Close5")/10000</f>
        <v>71.093173749999991</v>
      </c>
      <c r="E22" s="132">
        <f>RTD("tickerplantrtdserver",,"FWRC1#JPYINR#Month End Rates#0#Close0")+RTD("tickerplantrtdserver",,"FWRC1#JPYINR#Month End Rates#0#Close6")/10000</f>
        <v>71.321553499999993</v>
      </c>
      <c r="F22" s="132">
        <f>RTD("tickerplantrtdserver",,"FWRC1#JPYINR#Month End Rates#0#Close0")+RTD("tickerplantrtdserver",,"FWRC1#JPYINR#Month End Rates#0#Close7")/10000</f>
        <v>71.606798749999996</v>
      </c>
      <c r="G22" s="132">
        <f>RTD("tickerplantrtdserver",,"FWRC1#JPYINR#Month End Rates#0#Close0")+RTD("tickerplantrtdserver",,"FWRC1#JPYINR#Month End Rates#0#Close8")/10000</f>
        <v>71.92531425</v>
      </c>
      <c r="H22" s="132">
        <f>RTD("tickerplantrtdserver",,"FWRC1#JPYINR#Month End Rates#0#Close0")+RTD("tickerplantrtdserver",,"FWRC1#JPYINR#Month End Rates#0#Close9")/10000</f>
        <v>72.1847925</v>
      </c>
      <c r="I22" s="132">
        <f>RTD("tickerplantrtdserver",,"FWRC1#JPYINR#Month End Rates#0#Close0")+RTD("tickerplantrtdserver",,"FWRC1#JPYINR#Month End Rates#0#Close10")/10000</f>
        <v>72.428116500000002</v>
      </c>
      <c r="J22" s="132">
        <f>RTD("tickerplantrtdserver",,"FWRC1#JPYINR#Month End Rates#0#Close0")+RTD("tickerplantrtdserver",,"FWRC1#JPYINR#Month End Rates#0#Close11")/10000</f>
        <v>72.763781749999993</v>
      </c>
      <c r="K22" s="132">
        <f>RTD("tickerplantrtdserver",,"FWRC1#JPYINR#Month End Rates#0#Close0")+RTD("tickerplantrtdserver",,"FWRC1#JPYINR#Month End Rates#0#Close12")/10000</f>
        <v>73.0340135</v>
      </c>
      <c r="L22" s="132">
        <f>RTD("tickerplantrtdserver",,"FWRC1#JPYINR#Month End Rates#0#Close0")+RTD("tickerplantrtdserver",,"FWRC1#JPYINR#Month End Rates#0#Close13")/10000</f>
        <v>73.322985500000001</v>
      </c>
      <c r="M22" s="132">
        <f>RTD("tickerplantrtdserver",,"FWRC1#JPYINR#Month End Rates#0#Close0")+RTD("tickerplantrtdserver",,"FWRC1#JPYINR#Month End Rates#0#Close14")/10000</f>
        <v>73.587670250000002</v>
      </c>
      <c r="N22" s="133">
        <f>RTD("tickerplantrtdserver",,"FWRC1#JPYINR#Month End Rates#0#Close0")+RTD("tickerplantrtdserver",,"FWRC1#JPYINR#Month End Rates#0#Close15")/10000</f>
        <v>73.871686499999996</v>
      </c>
    </row>
    <row r="23" spans="1:16" ht="18" customHeight="1" x14ac:dyDescent="0.15">
      <c r="A23" s="117" t="str">
        <f>RTD("tickerplantrtdserver",,"17#3#1#6056#CHFINRCOMP#S#Descr.")</f>
        <v>CHFINRCOMP</v>
      </c>
      <c r="B23" s="131">
        <f>RTD("tickerplantrtdserver",,"FWRC1#CHFINR#Month Wise Rates#0#Close0")</f>
        <v>82.525000000000006</v>
      </c>
      <c r="C23" s="132">
        <f>RTD("tickerplantrtdserver",,"FWRC1#CHFINR#Month Wise Rates#0#Close0")+RTD("tickerplantrtdserver",,"FWRC1#CHFINR#Month Wise Rates#0#Close7")/10000</f>
        <v>82.847762950000003</v>
      </c>
      <c r="D23" s="132">
        <f>RTD("tickerplantrtdserver",,"FWRC1#CHFINR#Month Wise Rates#0#Close0")+RTD("tickerplantrtdserver",,"FWRC1#CHFINR#Month Wise Rates#0#Close8")/10000</f>
        <v>83.162661159999999</v>
      </c>
      <c r="E23" s="132">
        <f>RTD("tickerplantrtdserver",,"FWRC1#CHFINR#Month Wise Rates#0#Close0")+RTD("tickerplantrtdserver",,"FWRC1#CHFINR#Month Wise Rates#0#Close9")/10000</f>
        <v>83.496879190000001</v>
      </c>
      <c r="F23" s="132">
        <f>RTD("tickerplantrtdserver",,"FWRC1#CHFINR#Month Wise Rates#0#Close0")+RTD("tickerplantrtdserver",,"FWRC1#CHFINR#Month Wise Rates#0#Close10")/10000</f>
        <v>83.851824840000006</v>
      </c>
      <c r="G23" s="132">
        <f>RTD("tickerplantrtdserver",,"FWRC1#CHFINR#Month Wise Rates#0#Close0")+RTD("tickerplantrtdserver",,"FWRC1#CHFINR#Month Wise Rates#0#Close11")/10000</f>
        <v>84.236572360000011</v>
      </c>
      <c r="H23" s="132">
        <f>RTD("tickerplantrtdserver",,"FWRC1#CHFINR#Month Wise Rates#0#Close0")+RTD("tickerplantrtdserver",,"FWRC1#CHFINR#Month Wise Rates#0#Close12")/10000</f>
        <v>84.61285525000001</v>
      </c>
      <c r="I23" s="132">
        <f>RTD("tickerplantrtdserver",,"FWRC1#CHFINR#Month Wise Rates#0#Close0")+RTD("tickerplantrtdserver",,"FWRC1#CHFINR#Month Wise Rates#0#Close13")/10000</f>
        <v>84.917129100000011</v>
      </c>
      <c r="J23" s="132">
        <f>RTD("tickerplantrtdserver",,"FWRC1#CHFINR#Month Wise Rates#0#Close0")+RTD("tickerplantrtdserver",,"FWRC1#CHFINR#Month Wise Rates#0#Close14")/10000</f>
        <v>85.303384350000002</v>
      </c>
      <c r="K23" s="132">
        <f>RTD("tickerplantrtdserver",,"FWRC1#CHFINR#Month Wise Rates#0#Close0")+RTD("tickerplantrtdserver",,"FWRC1#CHFINR#Month Wise Rates#0#Close15")/10000</f>
        <v>85.663774950000004</v>
      </c>
      <c r="L23" s="132">
        <f>RTD("tickerplantrtdserver",,"FWRC1#CHFINR#Month Wise Rates#0#Close0")+RTD("tickerplantrtdserver",,"FWRC1#CHFINR#Month Wise Rates#0#Close16")/10000</f>
        <v>85.970773550000004</v>
      </c>
      <c r="M23" s="132">
        <f>RTD("tickerplantrtdserver",,"FWRC1#CHFINR#Month Wise Rates#0#Close0")+RTD("tickerplantrtdserver",,"FWRC1#CHFINR#Month Wise Rates#0#Close17")/10000</f>
        <v>86.319690840000007</v>
      </c>
      <c r="N23" s="133">
        <f>RTD("tickerplantrtdserver",,"FWRC1#CHFINR#Month Wise Rates#0#Close0")+RTD("tickerplantrtdserver",,"FWRC1#CHFINR#Month Wise Rates#0#Close18")/10000</f>
        <v>86.725871370000007</v>
      </c>
      <c r="P23" s="173" t="s">
        <v>60</v>
      </c>
    </row>
    <row r="24" spans="1:16" ht="18" customHeight="1" x14ac:dyDescent="0.15">
      <c r="A24" s="117" t="str">
        <f>RTD("tickerplantrtdserver",,"17#3#1#5921#CADINRCOMP#S#Descr.")</f>
        <v>CADINRCOMP</v>
      </c>
      <c r="B24" s="132">
        <f>RTD("tickerplantrtdserver",,"FWRC1#CADINR#Month Wise Rates#0#Close0")</f>
        <v>56.777500000000003</v>
      </c>
      <c r="C24" s="132">
        <f>RTD("tickerplantrtdserver",,"FWRC1#CADINR#Month Wise Rates#0#Close0")+RTD("tickerplantrtdserver",,"FWRC1#CADINR#Month Wise Rates#0#Close7")/10000</f>
        <v>56.953304320000001</v>
      </c>
      <c r="D24" s="132">
        <f>RTD("tickerplantrtdserver",,"FWRC1#CADINR#Month Wise Rates#0#Close0")+RTD("tickerplantrtdserver",,"FWRC1#CADINR#Month Wise Rates#0#Close8")/10000</f>
        <v>57.125007870000005</v>
      </c>
      <c r="E24" s="132">
        <f>RTD("tickerplantrtdserver",,"FWRC1#CADINR#Month Wise Rates#0#Close0")+RTD("tickerplantrtdserver",,"FWRC1#CADINR#Month Wise Rates#0#Close9")/10000</f>
        <v>57.307118760000002</v>
      </c>
      <c r="F24" s="132">
        <f>RTD("tickerplantrtdserver",,"FWRC1#CADINR#Month Wise Rates#0#Close0")+RTD("tickerplantrtdserver",,"FWRC1#CADINR#Month Wise Rates#0#Close10")/10000</f>
        <v>57.505420180000002</v>
      </c>
      <c r="G24" s="132">
        <f>RTD("tickerplantrtdserver",,"FWRC1#CADINR#Month Wise Rates#0#Close0")+RTD("tickerplantrtdserver",,"FWRC1#CADINR#Month Wise Rates#0#Close11")/10000</f>
        <v>57.711727090000004</v>
      </c>
      <c r="H24" s="132">
        <f>RTD("tickerplantrtdserver",,"FWRC1#CADINR#Month Wise Rates#0#Close0")+RTD("tickerplantrtdserver",,"FWRC1#CADINR#Month Wise Rates#0#Close12")/10000</f>
        <v>57.921228460000002</v>
      </c>
      <c r="I24" s="132">
        <f>RTD("tickerplantrtdserver",,"FWRC1#CADINR#Month Wise Rates#0#Close0")+RTD("tickerplantrtdserver",,"FWRC1#CADINR#Month Wise Rates#0#Close13")/10000</f>
        <v>58.091939030000006</v>
      </c>
      <c r="J24" s="132">
        <f>RTD("tickerplantrtdserver",,"FWRC1#CADINR#Month Wise Rates#0#Close0")+RTD("tickerplantrtdserver",,"FWRC1#CADINR#Month Wise Rates#0#Close14")/10000</f>
        <v>58.294699260000002</v>
      </c>
      <c r="K24" s="132">
        <f>RTD("tickerplantrtdserver",,"FWRC1#CADINR#Month Wise Rates#0#Close0")+RTD("tickerplantrtdserver",,"FWRC1#CADINR#Month Wise Rates#0#Close15")/10000</f>
        <v>58.493170590000005</v>
      </c>
      <c r="L24" s="132">
        <f>RTD("tickerplantrtdserver",,"FWRC1#CADINR#Month Wise Rates#0#Close0")+RTD("tickerplantrtdserver",,"FWRC1#CADINR#Month Wise Rates#0#Close16")/10000</f>
        <v>58.689562120000005</v>
      </c>
      <c r="M24" s="132">
        <f>RTD("tickerplantrtdserver",,"FWRC1#CADINR#Month Wise Rates#0#Close0")+RTD("tickerplantrtdserver",,"FWRC1#CADINR#Month Wise Rates#0#Close17")/10000</f>
        <v>58.874753230000003</v>
      </c>
      <c r="N24" s="133">
        <f>RTD("tickerplantrtdserver",,"FWRC1#CADINR#Month Wise Rates#0#Close0")+RTD("tickerplantrtdserver",,"FWRC1#CADINR#Month Wise Rates#0#Close18")/10000</f>
        <v>59.063885280000001</v>
      </c>
      <c r="P24" s="173"/>
    </row>
    <row r="25" spans="1:16" ht="18" customHeight="1" x14ac:dyDescent="0.15">
      <c r="A25" s="117" t="str">
        <f>RTD("tickerplantrtdserver",,"17#3#1#5903#AUDINRCOMP#S#Descr.")</f>
        <v>AUDINRCOMP</v>
      </c>
      <c r="B25" s="132">
        <f>RTD("tickerplantrtdserver",,"FWRC1#AUDINR#Month Wise Rates#0#Close0")</f>
        <v>54.027500000000003</v>
      </c>
      <c r="C25" s="132">
        <f>RTD("tickerplantrtdserver",,"FWRC1#AUDINR#Month Wise Rates#0#Close0")+RTD("tickerplantrtdserver",,"FWRC1#AUDINR#Month Wise Rates#0#Close7")/10000</f>
        <v>54.196281650000003</v>
      </c>
      <c r="D25" s="132">
        <f>RTD("tickerplantrtdserver",,"FWRC1#AUDINR#Month Wise Rates#0#Close0")+RTD("tickerplantrtdserver",,"FWRC1#AUDINR#Month Wise Rates#0#Close8")/10000</f>
        <v>54.360308460000006</v>
      </c>
      <c r="E25" s="132">
        <f>RTD("tickerplantrtdserver",,"FWRC1#AUDINR#Month Wise Rates#0#Close0")+RTD("tickerplantrtdserver",,"FWRC1#AUDINR#Month Wise Rates#0#Close9")/10000</f>
        <v>54.533447450000004</v>
      </c>
      <c r="F25" s="132">
        <f>RTD("tickerplantrtdserver",,"FWRC1#AUDINR#Month Wise Rates#0#Close0")+RTD("tickerplantrtdserver",,"FWRC1#AUDINR#Month Wise Rates#0#Close10")/10000</f>
        <v>54.722892700000003</v>
      </c>
      <c r="G25" s="132">
        <f>RTD("tickerplantrtdserver",,"FWRC1#AUDINR#Month Wise Rates#0#Close0")+RTD("tickerplantrtdserver",,"FWRC1#AUDINR#Month Wise Rates#0#Close11")/10000</f>
        <v>54.909047740000005</v>
      </c>
      <c r="H25" s="132">
        <f>RTD("tickerplantrtdserver",,"FWRC1#AUDINR#Month Wise Rates#0#Close0")+RTD("tickerplantrtdserver",,"FWRC1#AUDINR#Month Wise Rates#0#Close12")/10000</f>
        <v>55.106480550000001</v>
      </c>
      <c r="I25" s="132">
        <f>RTD("tickerplantrtdserver",,"FWRC1#AUDINR#Month Wise Rates#0#Close0")+RTD("tickerplantrtdserver",,"FWRC1#AUDINR#Month Wise Rates#0#Close13")/10000</f>
        <v>55.275855900000003</v>
      </c>
      <c r="J25" s="132">
        <f>RTD("tickerplantrtdserver",,"FWRC1#AUDINR#Month Wise Rates#0#Close0")+RTD("tickerplantrtdserver",,"FWRC1#AUDINR#Month Wise Rates#0#Close14")/10000</f>
        <v>55.475975780000006</v>
      </c>
      <c r="K25" s="132">
        <f>RTD("tickerplantrtdserver",,"FWRC1#AUDINR#Month Wise Rates#0#Close0")+RTD("tickerplantrtdserver",,"FWRC1#AUDINR#Month Wise Rates#0#Close15")/10000</f>
        <v>55.654694460000002</v>
      </c>
      <c r="L25" s="132">
        <f>RTD("tickerplantrtdserver",,"FWRC1#AUDINR#Month Wise Rates#0#Close0")+RTD("tickerplantrtdserver",,"FWRC1#AUDINR#Month Wise Rates#0#Close16")/10000</f>
        <v>55.847537170000003</v>
      </c>
      <c r="M25" s="132">
        <f>RTD("tickerplantrtdserver",,"FWRC1#AUDINR#Month Wise Rates#0#Close0")+RTD("tickerplantrtdserver",,"FWRC1#AUDINR#Month Wise Rates#0#Close17")/10000</f>
        <v>56.019990330000006</v>
      </c>
      <c r="N25" s="133">
        <f>RTD("tickerplantrtdserver",,"FWRC1#AUDINR#Month Wise Rates#0#Close0")+RTD("tickerplantrtdserver",,"FWRC1#AUDINR#Month Wise Rates#0#Close18")/10000</f>
        <v>56.198514750000001</v>
      </c>
      <c r="P25" s="173"/>
    </row>
    <row r="26" spans="1:16" ht="18" customHeight="1" x14ac:dyDescent="0.15">
      <c r="A26" s="117" t="str">
        <f>RTD("tickerplantrtdserver",,"17#3#1#6041#SGDINRCOMP#S#Descr.")</f>
        <v>SGDINRCOMP</v>
      </c>
      <c r="B26" s="132">
        <f>RTD("tickerplantrtdserver",,"FWRC1#SGDINR#Month Wise Rates#0#Close0")</f>
        <v>54.75</v>
      </c>
      <c r="C26" s="132">
        <f>RTD("tickerplantrtdserver",,"FWRC1#SGDINR#Month Wise Rates#0#Close0")+RTD("tickerplantrtdserver",,"FWRC1#SGDINR#Month Wise Rates#0#Close7")/10000</f>
        <v>54.909804289999997</v>
      </c>
      <c r="D26" s="132">
        <f>RTD("tickerplantrtdserver",,"FWRC1#SGDINR#Month Wise Rates#0#Close0")+RTD("tickerplantrtdserver",,"FWRC1#SGDINR#Month Wise Rates#0#Close8")/10000</f>
        <v>55.055112370000003</v>
      </c>
      <c r="E26" s="132">
        <f>RTD("tickerplantrtdserver",,"FWRC1#SGDINR#Month Wise Rates#0#Close0")+RTD("tickerplantrtdserver",,"FWRC1#SGDINR#Month Wise Rates#0#Close9")/10000</f>
        <v>55.22577484</v>
      </c>
      <c r="F26" s="132">
        <f>RTD("tickerplantrtdserver",,"FWRC1#SGDINR#Month Wise Rates#0#Close0")+RTD("tickerplantrtdserver",,"FWRC1#SGDINR#Month Wise Rates#0#Close10")/10000</f>
        <v>55.473558769999997</v>
      </c>
      <c r="G26" s="132">
        <f>RTD("tickerplantrtdserver",,"FWRC1#SGDINR#Month Wise Rates#0#Close0")+RTD("tickerplantrtdserver",,"FWRC1#SGDINR#Month Wise Rates#0#Close11")/10000</f>
        <v>55.62826862</v>
      </c>
      <c r="H26" s="132">
        <f>RTD("tickerplantrtdserver",,"FWRC1#SGDINR#Month Wise Rates#0#Close0")+RTD("tickerplantrtdserver",,"FWRC1#SGDINR#Month Wise Rates#0#Close12")/10000</f>
        <v>55.835956009999997</v>
      </c>
      <c r="I26" s="132">
        <f>RTD("tickerplantrtdserver",,"FWRC1#SGDINR#Month Wise Rates#0#Close0")+RTD("tickerplantrtdserver",,"FWRC1#SGDINR#Month Wise Rates#0#Close13")/10000</f>
        <v>56.009478919999999</v>
      </c>
      <c r="J26" s="132">
        <f>RTD("tickerplantrtdserver",,"FWRC1#SGDINR#Month Wise Rates#0#Close0")+RTD("tickerplantrtdserver",,"FWRC1#SGDINR#Month Wise Rates#0#Close14")/10000</f>
        <v>56.218883669999997</v>
      </c>
      <c r="K26" s="132">
        <f>RTD("tickerplantrtdserver",,"FWRC1#SGDINR#Month Wise Rates#0#Close0")+RTD("tickerplantrtdserver",,"FWRC1#SGDINR#Month Wise Rates#0#Close15")/10000</f>
        <v>56.404568769999997</v>
      </c>
      <c r="L26" s="132">
        <f>RTD("tickerplantrtdserver",,"FWRC1#SGDINR#Month Wise Rates#0#Close0")+RTD("tickerplantrtdserver",,"FWRC1#SGDINR#Month Wise Rates#0#Close16")/10000</f>
        <v>56.60038814</v>
      </c>
      <c r="M26" s="132">
        <f>RTD("tickerplantrtdserver",,"FWRC1#SGDINR#Month Wise Rates#0#Close0")+RTD("tickerplantrtdserver",,"FWRC1#SGDINR#Month Wise Rates#0#Close17")/10000</f>
        <v>56.777082479999997</v>
      </c>
      <c r="N26" s="133">
        <f>RTD("tickerplantrtdserver",,"FWRC1#SGDINR#Month Wise Rates#0#Close0")+RTD("tickerplantrtdserver",,"FWRC1#SGDINR#Month Wise Rates#0#Close18")/10000</f>
        <v>56.959899950000001</v>
      </c>
      <c r="P26" s="173"/>
    </row>
    <row r="27" spans="1:16" ht="18" customHeight="1" x14ac:dyDescent="0.15">
      <c r="A27" s="117" t="str">
        <f>RTD("tickerplantrtdserver",,"12#2#1#5949#SEURUSD#S#Descr.")</f>
        <v>EURUSD</v>
      </c>
      <c r="B27" s="132">
        <f>RTD("tickerplantrtdserver",,"FWRC1#EURUSD#Month Wise Rates#0#Close0")</f>
        <v>1.19007</v>
      </c>
      <c r="C27" s="132">
        <f>RTD("tickerplantrtdserver",,"FWRC1#EURUSD#Month Wise Rates#0#Close0")+RTD("tickerplantrtdserver",,"FWRC1#EURUSD#Month Wise Rates#0#Close7")/10000</f>
        <v>1.19085</v>
      </c>
      <c r="D27" s="132">
        <f>RTD("tickerplantrtdserver",,"FWRC1#EURUSD#Month Wise Rates#0#Close0")+RTD("tickerplantrtdserver",,"FWRC1#EURUSD#Month Wise Rates#0#Close8")/10000</f>
        <v>1.1916233999999999</v>
      </c>
      <c r="E27" s="132">
        <f>RTD("tickerplantrtdserver",,"FWRC1#EURUSD#Month Wise Rates#0#Close0")+RTD("tickerplantrtdserver",,"FWRC1#EURUSD#Month Wise Rates#0#Close9")/10000</f>
        <v>1.1923679999999999</v>
      </c>
      <c r="F27" s="132">
        <f>RTD("tickerplantrtdserver",,"FWRC1#EURUSD#Month Wise Rates#0#Close0")+RTD("tickerplantrtdserver",,"FWRC1#EURUSD#Month Wise Rates#0#Close10")/10000</f>
        <v>1.1930969999999999</v>
      </c>
      <c r="G27" s="132">
        <f>RTD("tickerplantrtdserver",,"FWRC1#EURUSD#Month Wise Rates#0#Close0")+RTD("tickerplantrtdserver",,"FWRC1#EURUSD#Month Wise Rates#0#Close11")/10000</f>
        <v>1.194224</v>
      </c>
      <c r="H27" s="132">
        <f>RTD("tickerplantrtdserver",,"FWRC1#EURUSD#Month Wise Rates#0#Close0")+RTD("tickerplantrtdserver",,"FWRC1#EURUSD#Month Wise Rates#0#Close12")/10000</f>
        <v>1.195004</v>
      </c>
      <c r="I27" s="132">
        <f>RTD("tickerplantrtdserver",,"FWRC1#EURUSD#Month Wise Rates#0#Close0")+RTD("tickerplantrtdserver",,"FWRC1#EURUSD#Month Wise Rates#0#Close13")/10000</f>
        <v>1.1956599999999999</v>
      </c>
      <c r="J27" s="132">
        <f>RTD("tickerplantrtdserver",,"FWRC1#EURUSD#Month Wise Rates#0#Close0")+RTD("tickerplantrtdserver",,"FWRC1#EURUSD#Month Wise Rates#0#Close14")/10000</f>
        <v>1.1963999999999999</v>
      </c>
      <c r="K27" s="132">
        <f>RTD("tickerplantrtdserver",,"FWRC1#EURUSD#Month Wise Rates#0#Close0")+RTD("tickerplantrtdserver",,"FWRC1#EURUSD#Month Wise Rates#0#Close15")/10000</f>
        <v>1.1970190000000001</v>
      </c>
      <c r="L27" s="132">
        <f>RTD("tickerplantrtdserver",,"FWRC1#EURUSD#Month Wise Rates#0#Close0")+RTD("tickerplantrtdserver",,"FWRC1#EURUSD#Month Wise Rates#0#Close16")/10000</f>
        <v>1.19783</v>
      </c>
      <c r="M27" s="132">
        <f>RTD("tickerplantrtdserver",,"FWRC1#EURUSD#Month Wise Rates#0#Close0")+RTD("tickerplantrtdserver",,"FWRC1#EURUSD#Month Wise Rates#0#Close17")/10000</f>
        <v>1.1985790000000001</v>
      </c>
      <c r="N27" s="133">
        <f>RTD("tickerplantrtdserver",,"FWRC1#EURUSD#Month Wise Rates#0#Close0")+RTD("tickerplantrtdserver",,"FWRC1#EURUSD#Month Wise Rates#0#Close18")/10000</f>
        <v>1.1994089999999999</v>
      </c>
      <c r="P27" s="173"/>
    </row>
    <row r="28" spans="1:16" ht="18" customHeight="1" x14ac:dyDescent="0.15">
      <c r="A28" s="117" t="str">
        <f>RTD("tickerplantrtdserver",,"12#2#1#6031#SGBPUSD#S#Descr.")</f>
        <v>GBPUSD</v>
      </c>
      <c r="B28" s="132">
        <f>RTD("tickerplantrtdserver",,"FWRC1#GBPUSD#Month Wise Rates#0#Close0")</f>
        <v>1.3160000000000001</v>
      </c>
      <c r="C28" s="132">
        <f>RTD("tickerplantrtdserver",,"FWRC1#GBPUSD#Month Wise Rates#0#Close0")+RTD("tickerplantrtdserver",,"FWRC1#GBPUSD#Month Wise Rates#0#Close7")/10000</f>
        <v>1.3162</v>
      </c>
      <c r="D28" s="132">
        <f>RTD("tickerplantrtdserver",,"FWRC1#GBPUSD#Month Wise Rates#0#Close0")+RTD("tickerplantrtdserver",,"FWRC1#GBPUSD#Month Wise Rates#0#Close8")/10000</f>
        <v>1.3164150000000001</v>
      </c>
      <c r="E28" s="132">
        <f>RTD("tickerplantrtdserver",,"FWRC1#GBPUSD#Month Wise Rates#0#Close0")+RTD("tickerplantrtdserver",,"FWRC1#GBPUSD#Month Wise Rates#0#Close9")/10000</f>
        <v>1.3165850000000001</v>
      </c>
      <c r="F28" s="132">
        <f>RTD("tickerplantrtdserver",,"FWRC1#GBPUSD#Month Wise Rates#0#Close0")+RTD("tickerplantrtdserver",,"FWRC1#GBPUSD#Month Wise Rates#0#Close10")/10000</f>
        <v>1.3167440000000001</v>
      </c>
      <c r="G28" s="132">
        <f>RTD("tickerplantrtdserver",,"FWRC1#GBPUSD#Month Wise Rates#0#Close0")+RTD("tickerplantrtdserver",,"FWRC1#GBPUSD#Month Wise Rates#0#Close11")/10000</f>
        <v>1.317285</v>
      </c>
      <c r="H28" s="132">
        <f>RTD("tickerplantrtdserver",,"FWRC1#GBPUSD#Month Wise Rates#0#Close0")+RTD("tickerplantrtdserver",,"FWRC1#GBPUSD#Month Wise Rates#0#Close12")/10000</f>
        <v>1.31738</v>
      </c>
      <c r="I28" s="132">
        <f>RTD("tickerplantrtdserver",,"FWRC1#GBPUSD#Month Wise Rates#0#Close0")+RTD("tickerplantrtdserver",,"FWRC1#GBPUSD#Month Wise Rates#0#Close13")/10000</f>
        <v>1.3175160000000001</v>
      </c>
      <c r="J28" s="132">
        <f>RTD("tickerplantrtdserver",,"FWRC1#GBPUSD#Month Wise Rates#0#Close0")+RTD("tickerplantrtdserver",,"FWRC1#GBPUSD#Month Wise Rates#0#Close14")/10000</f>
        <v>1.31762</v>
      </c>
      <c r="K28" s="132">
        <f>RTD("tickerplantrtdserver",,"FWRC1#GBPUSD#Month Wise Rates#0#Close0")+RTD("tickerplantrtdserver",,"FWRC1#GBPUSD#Month Wise Rates#0#Close15")/10000</f>
        <v>1.3177760000000001</v>
      </c>
      <c r="L28" s="132">
        <f>RTD("tickerplantrtdserver",,"FWRC1#GBPUSD#Month Wise Rates#0#Close0")+RTD("tickerplantrtdserver",,"FWRC1#GBPUSD#Month Wise Rates#0#Close16")/10000</f>
        <v>1.31792</v>
      </c>
      <c r="M28" s="132">
        <f>RTD("tickerplantrtdserver",,"FWRC1#GBPUSD#Month Wise Rates#0#Close0")+RTD("tickerplantrtdserver",,"FWRC1#GBPUSD#Month Wise Rates#0#Close17")/10000</f>
        <v>1.3180190000000001</v>
      </c>
      <c r="N28" s="133">
        <f>RTD("tickerplantrtdserver",,"FWRC1#GBPUSD#Month Wise Rates#0#Close0")+RTD("tickerplantrtdserver",,"FWRC1#GBPUSD#Month Wise Rates#0#Close18")/10000</f>
        <v>1.3182</v>
      </c>
    </row>
    <row r="29" spans="1:16" ht="18" customHeight="1" x14ac:dyDescent="0.15">
      <c r="A29" s="117" t="str">
        <f>RTD("tickerplantrtdserver",,"12#2#1#6069#SUSDJPY#S#Descr.")</f>
        <v>USDJPY</v>
      </c>
      <c r="B29" s="134">
        <f>RTD("tickerplantrtdserver",,"FWRC1#USDJPY#Month Wise Rates#0#Close0")</f>
        <v>105.547</v>
      </c>
      <c r="C29" s="134">
        <f>RTD("tickerplantrtdserver",,"FWRC1#USDJPY#Month Wise Rates#0#Close0")+RTD("tickerplantrtdserver",,"FWRC1#USDJPY#Month Wise Rates#0#Close7")/100</f>
        <v>105.5106</v>
      </c>
      <c r="D29" s="134">
        <f>RTD("tickerplantrtdserver",,"FWRC1#USDJPY#Month Wise Rates#0#Close0")+RTD("tickerplantrtdserver",,"FWRC1#USDJPY#Month Wise Rates#0#Close8")/100</f>
        <v>105.4658</v>
      </c>
      <c r="E29" s="134">
        <f>RTD("tickerplantrtdserver",,"FWRC1#USDJPY#Month Wise Rates#0#Close0")+RTD("tickerplantrtdserver",,"FWRC1#USDJPY#Month Wise Rates#0#Close9")/100</f>
        <v>105.426</v>
      </c>
      <c r="F29" s="134">
        <f>RTD("tickerplantrtdserver",,"FWRC1#USDJPY#Month Wise Rates#0#Close0")+RTD("tickerplantrtdserver",,"FWRC1#USDJPY#Month Wise Rates#0#Close10")/100</f>
        <v>105.38549999999999</v>
      </c>
      <c r="G29" s="134">
        <f>RTD("tickerplantrtdserver",,"FWRC1#USDJPY#Month Wise Rates#0#Close0")+RTD("tickerplantrtdserver",,"FWRC1#USDJPY#Month Wise Rates#0#Close11")/100</f>
        <v>105.267</v>
      </c>
      <c r="H29" s="134">
        <f>RTD("tickerplantrtdserver",,"FWRC1#USDJPY#Month Wise Rates#0#Close0")+RTD("tickerplantrtdserver",,"FWRC1#USDJPY#Month Wise Rates#0#Close12")/100</f>
        <v>105.2229</v>
      </c>
      <c r="I29" s="134">
        <f>RTD("tickerplantrtdserver",,"FWRC1#USDJPY#Month Wise Rates#0#Close0")+RTD("tickerplantrtdserver",,"FWRC1#USDJPY#Month Wise Rates#0#Close13")/100</f>
        <v>105.1734</v>
      </c>
      <c r="J29" s="134">
        <f>RTD("tickerplantrtdserver",,"FWRC1#USDJPY#Month Wise Rates#0#Close0")+RTD("tickerplantrtdserver",,"FWRC1#USDJPY#Month Wise Rates#0#Close14")/100</f>
        <v>105.1187</v>
      </c>
      <c r="K29" s="134">
        <f>RTD("tickerplantrtdserver",,"FWRC1#USDJPY#Month Wise Rates#0#Close0")+RTD("tickerplantrtdserver",,"FWRC1#USDJPY#Month Wise Rates#0#Close15")/100</f>
        <v>105.0737</v>
      </c>
      <c r="L29" s="134">
        <f>RTD("tickerplantrtdserver",,"FWRC1#USDJPY#Month Wise Rates#0#Close0")+RTD("tickerplantrtdserver",,"FWRC1#USDJPY#Month Wise Rates#0#Close16")/100</f>
        <v>105.01739999999999</v>
      </c>
      <c r="M29" s="134">
        <f>RTD("tickerplantrtdserver",,"FWRC1#USDJPY#Month Wise Rates#0#Close0")+RTD("tickerplantrtdserver",,"FWRC1#USDJPY#Month Wise Rates#0#Close17")/100</f>
        <v>104.9601</v>
      </c>
      <c r="N29" s="135">
        <f>RTD("tickerplantrtdserver",,"FWRC1#USDJPY#Month Wise Rates#0#Close0")+RTD("tickerplantrtdserver",,"FWRC1#USDJPY#Month Wise Rates#0#Close18")/100</f>
        <v>104.9055</v>
      </c>
    </row>
    <row r="30" spans="1:16" ht="18" customHeight="1" x14ac:dyDescent="0.15">
      <c r="A30" s="117" t="str">
        <f>RTD("tickerplantrtdserver",,"12#2#1#6069#SUSDCHF#S#Descr.")</f>
        <v>USDCHF</v>
      </c>
      <c r="B30" s="132">
        <f>RTD("tickerplantrtdserver",,"FWRC1#USDCHF#Month Wise Rates#0#Close0")</f>
        <v>0.90542999999999996</v>
      </c>
      <c r="C30" s="132">
        <f>RTD("tickerplantrtdserver",,"FWRC1#USDCHF#Month Wise Rates#0#Close0")+RTD("tickerplantrtdserver",,"FWRC1#USDCHF#Month Wise Rates#0#Close7")/10000</f>
        <v>0.904613</v>
      </c>
      <c r="D30" s="132">
        <f>RTD("tickerplantrtdserver",,"FWRC1#USDCHF#Month Wise Rates#0#Close0")+RTD("tickerplantrtdserver",,"FWRC1#USDCHF#Month Wise Rates#0#Close8")/10000</f>
        <v>0.90382499999999999</v>
      </c>
      <c r="E30" s="132">
        <f>RTD("tickerplantrtdserver",,"FWRC1#USDCHF#Month Wise Rates#0#Close0")+RTD("tickerplantrtdserver",,"FWRC1#USDCHF#Month Wise Rates#0#Close9")/10000</f>
        <v>0.90305299999999999</v>
      </c>
      <c r="F30" s="132">
        <f>RTD("tickerplantrtdserver",,"FWRC1#USDCHF#Month Wise Rates#0#Close0")+RTD("tickerplantrtdserver",,"FWRC1#USDCHF#Month Wise Rates#0#Close10")/10000</f>
        <v>0.90226999999999991</v>
      </c>
      <c r="G30" s="132">
        <f>RTD("tickerplantrtdserver",,"FWRC1#USDCHF#Month Wise Rates#0#Close0")+RTD("tickerplantrtdserver",,"FWRC1#USDCHF#Month Wise Rates#0#Close11")/10000</f>
        <v>0.90110000000000001</v>
      </c>
      <c r="H30" s="132">
        <f>RTD("tickerplantrtdserver",,"FWRC1#USDCHF#Month Wise Rates#0#Close0")+RTD("tickerplantrtdserver",,"FWRC1#USDCHF#Month Wise Rates#0#Close12")/10000</f>
        <v>0.90031600000000001</v>
      </c>
      <c r="I30" s="132">
        <f>RTD("tickerplantrtdserver",,"FWRC1#USDCHF#Month Wise Rates#0#Close0")+RTD("tickerplantrtdserver",,"FWRC1#USDCHF#Month Wise Rates#0#Close13")/10000</f>
        <v>0.89954499999999993</v>
      </c>
      <c r="J30" s="132">
        <f>RTD("tickerplantrtdserver",,"FWRC1#USDCHF#Month Wise Rates#0#Close0")+RTD("tickerplantrtdserver",,"FWRC1#USDCHF#Month Wise Rates#0#Close14")/10000</f>
        <v>0.89878199999999997</v>
      </c>
      <c r="K30" s="132">
        <f>RTD("tickerplantrtdserver",,"FWRC1#USDCHF#Month Wise Rates#0#Close0")+RTD("tickerplantrtdserver",,"FWRC1#USDCHF#Month Wise Rates#0#Close15")/10000</f>
        <v>0.89803599999999995</v>
      </c>
      <c r="L30" s="132">
        <f>RTD("tickerplantrtdserver",,"FWRC1#USDCHF#Month Wise Rates#0#Close0")+RTD("tickerplantrtdserver",,"FWRC1#USDCHF#Month Wise Rates#0#Close16")/10000</f>
        <v>0.897227</v>
      </c>
      <c r="M30" s="132">
        <f>RTD("tickerplantrtdserver",,"FWRC1#USDCHF#Month Wise Rates#0#Close0")+RTD("tickerplantrtdserver",,"FWRC1#USDCHF#Month Wise Rates#0#Close17")/10000</f>
        <v>0.89650099999999999</v>
      </c>
      <c r="N30" s="133">
        <f>RTD("tickerplantrtdserver",,"FWRC1#USDCHF#Month Wise Rates#0#Close0")+RTD("tickerplantrtdserver",,"FWRC1#USDCHF#Month Wise Rates#0#Close18")/10000</f>
        <v>0.89573399999999992</v>
      </c>
    </row>
    <row r="31" spans="1:16" ht="18" customHeight="1" x14ac:dyDescent="0.15">
      <c r="A31" s="117" t="str">
        <f>RTD("tickerplantrtdserver",,"12#2#1#6069#SUSDCAD#S#Descr.")</f>
        <v>USDCAD</v>
      </c>
      <c r="B31" s="132">
        <f>RTD("tickerplantrtdserver",,"FWRC1#USDCAD#Month Wise Rates#0#Close0")</f>
        <v>1.3162400000000001</v>
      </c>
      <c r="C31" s="132">
        <f>RTD("tickerplantrtdserver",,"FWRC1#USDCAD#Month Wise Rates#0#Close0")+RTD("tickerplantrtdserver",,"FWRC1#USDCAD#Month Wise Rates#0#Close7")/10000</f>
        <v>1.3161200000000002</v>
      </c>
      <c r="D31" s="132">
        <f>RTD("tickerplantrtdserver",,"FWRC1#USDCAD#Month Wise Rates#0#Close0")+RTD("tickerplantrtdserver",,"FWRC1#USDCAD#Month Wise Rates#0#Close8")/10000</f>
        <v>1.31603</v>
      </c>
      <c r="E31" s="132">
        <f>RTD("tickerplantrtdserver",,"FWRC1#USDCAD#Month Wise Rates#0#Close0")+RTD("tickerplantrtdserver",,"FWRC1#USDCAD#Month Wise Rates#0#Close9")/10000</f>
        <v>1.3159040000000002</v>
      </c>
      <c r="F31" s="132">
        <f>RTD("tickerplantrtdserver",,"FWRC1#USDCAD#Month Wise Rates#0#Close0")+RTD("tickerplantrtdserver",,"FWRC1#USDCAD#Month Wise Rates#0#Close10")/10000</f>
        <v>1.315828</v>
      </c>
      <c r="G31" s="132">
        <f>RTD("tickerplantrtdserver",,"FWRC1#USDCAD#Month Wise Rates#0#Close0")+RTD("tickerplantrtdserver",,"FWRC1#USDCAD#Month Wise Rates#0#Close11")/10000</f>
        <v>1.31548</v>
      </c>
      <c r="H31" s="132">
        <f>RTD("tickerplantrtdserver",,"FWRC1#USDCAD#Month Wise Rates#0#Close0")+RTD("tickerplantrtdserver",,"FWRC1#USDCAD#Month Wise Rates#0#Close12")/10000</f>
        <v>1.3155400000000002</v>
      </c>
      <c r="I31" s="132">
        <f>RTD("tickerplantrtdserver",,"FWRC1#USDCAD#Month Wise Rates#0#Close0")+RTD("tickerplantrtdserver",,"FWRC1#USDCAD#Month Wise Rates#0#Close13")/10000</f>
        <v>1.3155410000000001</v>
      </c>
      <c r="J31" s="132">
        <f>RTD("tickerplantrtdserver",,"FWRC1#USDCAD#Month Wise Rates#0#Close0")+RTD("tickerplantrtdserver",,"FWRC1#USDCAD#Month Wise Rates#0#Close14")/10000</f>
        <v>1.315396</v>
      </c>
      <c r="K31" s="132">
        <f>RTD("tickerplantrtdserver",,"FWRC1#USDCAD#Month Wise Rates#0#Close0")+RTD("tickerplantrtdserver",,"FWRC1#USDCAD#Month Wise Rates#0#Close15")/10000</f>
        <v>1.315631</v>
      </c>
      <c r="L31" s="132">
        <f>RTD("tickerplantrtdserver",,"FWRC1#USDCAD#Month Wise Rates#0#Close0")+RTD("tickerplantrtdserver",,"FWRC1#USDCAD#Month Wise Rates#0#Close16")/10000</f>
        <v>1.315504</v>
      </c>
      <c r="M31" s="132">
        <f>RTD("tickerplantrtdserver",,"FWRC1#USDCAD#Month Wise Rates#0#Close0")+RTD("tickerplantrtdserver",,"FWRC1#USDCAD#Month Wise Rates#0#Close17")/10000</f>
        <v>1.315755</v>
      </c>
      <c r="N31" s="133">
        <f>RTD("tickerplantrtdserver",,"FWRC1#USDCAD#Month Wise Rates#0#Close0")+RTD("tickerplantrtdserver",,"FWRC1#USDCAD#Month Wise Rates#0#Close18")/10000</f>
        <v>1.315669</v>
      </c>
    </row>
    <row r="32" spans="1:16" ht="18" customHeight="1" x14ac:dyDescent="0.15">
      <c r="A32" s="117" t="str">
        <f>RTD("tickerplantrtdserver",,"12#2#1#5903#SAUDUSD#S#Descr.")</f>
        <v>AUDUSD</v>
      </c>
      <c r="B32" s="132">
        <f>RTD("tickerplantrtdserver",,"FWRC1#AUDUSD#Month Wise Rates#0#Close0")</f>
        <v>0.72299999999999998</v>
      </c>
      <c r="C32" s="132">
        <f>RTD("tickerplantrtdserver",,"FWRC1#AUDUSD#Month Wise Rates#0#Close0")+RTD("tickerplantrtdserver",,"FWRC1#AUDUSD#Month Wise Rates#0#Close7")/10000</f>
        <v>0.72305399999999997</v>
      </c>
      <c r="D32" s="132">
        <f>RTD("tickerplantrtdserver",,"FWRC1#AUDUSD#Month Wise Rates#0#Close0")+RTD("tickerplantrtdserver",,"FWRC1#AUDUSD#Month Wise Rates#0#Close8")/10000</f>
        <v>0.72310600000000003</v>
      </c>
      <c r="E32" s="132">
        <f>RTD("tickerplantrtdserver",,"FWRC1#AUDUSD#Month Wise Rates#0#Close0")+RTD("tickerplantrtdserver",,"FWRC1#AUDUSD#Month Wise Rates#0#Close9")/10000</f>
        <v>0.72315200000000002</v>
      </c>
      <c r="F32" s="132">
        <f>RTD("tickerplantrtdserver",,"FWRC1#AUDUSD#Month Wise Rates#0#Close0")+RTD("tickerplantrtdserver",,"FWRC1#AUDUSD#Month Wise Rates#0#Close10")/10000</f>
        <v>0.72318399999999994</v>
      </c>
      <c r="G32" s="132">
        <f>RTD("tickerplantrtdserver",,"FWRC1#AUDUSD#Month Wise Rates#0#Close0")+RTD("tickerplantrtdserver",,"FWRC1#AUDUSD#Month Wise Rates#0#Close11")/10000</f>
        <v>0.72321299999999999</v>
      </c>
      <c r="H32" s="132">
        <f>RTD("tickerplantrtdserver",,"FWRC1#AUDUSD#Month Wise Rates#0#Close0")+RTD("tickerplantrtdserver",,"FWRC1#AUDUSD#Month Wise Rates#0#Close12")/10000</f>
        <v>0.72322500000000001</v>
      </c>
      <c r="I32" s="132">
        <f>RTD("tickerplantrtdserver",,"FWRC1#AUDUSD#Month Wise Rates#0#Close0")+RTD("tickerplantrtdserver",,"FWRC1#AUDUSD#Month Wise Rates#0#Close13")/10000</f>
        <v>0.72321599999999997</v>
      </c>
      <c r="J32" s="132">
        <f>RTD("tickerplantrtdserver",,"FWRC1#AUDUSD#Month Wise Rates#0#Close0")+RTD("tickerplantrtdserver",,"FWRC1#AUDUSD#Month Wise Rates#0#Close14")/10000</f>
        <v>0.72320099999999998</v>
      </c>
      <c r="K32" s="132">
        <f>RTD("tickerplantrtdserver",,"FWRC1#AUDUSD#Month Wise Rates#0#Close0")+RTD("tickerplantrtdserver",,"FWRC1#AUDUSD#Month Wise Rates#0#Close15")/10000</f>
        <v>0.72316599999999998</v>
      </c>
      <c r="L32" s="132">
        <f>RTD("tickerplantrtdserver",,"FWRC1#AUDUSD#Month Wise Rates#0#Close0")+RTD("tickerplantrtdserver",,"FWRC1#AUDUSD#Month Wise Rates#0#Close16")/10000</f>
        <v>0.72312100000000001</v>
      </c>
      <c r="M32" s="132">
        <f>RTD("tickerplantrtdserver",,"FWRC1#AUDUSD#Month Wise Rates#0#Close0")+RTD("tickerplantrtdserver",,"FWRC1#AUDUSD#Month Wise Rates#0#Close17")/10000</f>
        <v>0.72304800000000002</v>
      </c>
      <c r="N32" s="133">
        <f>RTD("tickerplantrtdserver",,"FWRC1#AUDUSD#Month Wise Rates#0#Close0")+RTD("tickerplantrtdserver",,"FWRC1#AUDUSD#Month Wise Rates#0#Close18")/10000</f>
        <v>0.72303200000000001</v>
      </c>
    </row>
    <row r="33" spans="1:18" ht="18" customHeight="1" thickBot="1" x14ac:dyDescent="0.2">
      <c r="A33" s="122" t="str">
        <f>RTD("tickerplantrtdserver",,"12#2#1#6069#SUSDSGD#S#Descr.")</f>
        <v>USDSGD</v>
      </c>
      <c r="B33" s="123">
        <f>RTD("tickerplantrtdserver",,"12#2#1#6069#SUSDSGD#LTP")</f>
        <v>1.3648</v>
      </c>
      <c r="C33" s="123">
        <f>RTD("tickerplantrtdserver",,"12#2#1#6069#SUSDSGD#LTP")+RTD("tickerplantrtdserver",,"12#1#1#6069#FUSDSGD\01M#LTP")/10000</f>
        <v>1.364735</v>
      </c>
      <c r="D33" s="123">
        <f>RTD("tickerplantrtdserver",,"12#2#1#6069#SUSDSGD#LTP")+RTD("tickerplantrtdserver",,"12#1#1#6069#FUSDSGD\02M#LTP")/10000</f>
        <v>1.364689</v>
      </c>
      <c r="E33" s="123">
        <f>RTD("tickerplantrtdserver",,"12#2#1#6069#SUSDSGD#LTP")+RTD("tickerplantrtdserver",,"12#1#1#6069#FUSDSGD\03M#LTP")/10000</f>
        <v>1.3645799999999999</v>
      </c>
      <c r="F33" s="123">
        <f>RTD("tickerplantrtdserver",,"12#2#1#6069#SUSDSGD#LTP")+RTD("tickerplantrtdserver",,"12#1#1#6069#FUSDSGD\04M#LTP")/10000</f>
        <v>1.3643909999999999</v>
      </c>
      <c r="G33" s="123">
        <f>RTD("tickerplantrtdserver",,"12#2#1#6069#SUSDSGD#LTP")+RTD("tickerplantrtdserver",,"12#1#1#6069#FUSDSGD\05M#LTP")/10000</f>
        <v>1.3643380000000001</v>
      </c>
      <c r="H33" s="123">
        <f>RTD("tickerplantrtdserver",,"12#2#1#6069#SUSDSGD#LTP")+RTD("tickerplantrtdserver",,"12#1#1#6069#FUSDSGD\06M#LTP")/10000</f>
        <v>1.364225</v>
      </c>
      <c r="I33" s="123">
        <f>RTD("tickerplantrtdserver",,"12#2#1#6069#SUSDSGD#LTP")+RTD("tickerplantrtdserver",,"12#1#1#6069#FUSDSGD\07M#LTP")/10000</f>
        <v>1.3641135600000001</v>
      </c>
      <c r="J33" s="123">
        <f>RTD("tickerplantrtdserver",,"12#2#1#6069#SUSDSGD#LTP")+RTD("tickerplantrtdserver",,"12#1#1#6069#FUSDSGD\08M#LTP")/10000</f>
        <v>1.3639981400000001</v>
      </c>
      <c r="K33" s="123">
        <f>RTD("tickerplantrtdserver",,"12#2#1#6069#SUSDSGD#LTP")+RTD("tickerplantrtdserver",,"12#1#1#6069#FUSDSGD\09M#LTP")/10000</f>
        <v>1.3638779999999999</v>
      </c>
      <c r="L33" s="123">
        <f>RTD("tickerplantrtdserver",,"12#2#1#6069#SUSDSGD#LTP")+RTD("tickerplantrtdserver",,"12#1#1#6069#FUSDSGD\10M#LTP")/10000</f>
        <v>1.3637813599999999</v>
      </c>
      <c r="M33" s="123">
        <f>RTD("tickerplantrtdserver",,"12#2#1#6069#SUSDSGD#LTP")+RTD("tickerplantrtdserver",,"12#1#1#6069#FUSDSGD\11M#LTP")/10000</f>
        <v>1.36369378</v>
      </c>
      <c r="N33" s="124">
        <f>RTD("tickerplantrtdserver",,"12#2#1#6069#SUSDSGD#LTP")+RTD("tickerplantrtdserver",,"12#1#1#6069#FUSDSGD\12M#LTP")/10000</f>
        <v>1.3635999999999999</v>
      </c>
    </row>
    <row r="34" spans="1:18" ht="18" customHeight="1" thickBot="1" x14ac:dyDescent="0.2"/>
    <row r="35" spans="1:18" ht="18" customHeight="1" thickBot="1" x14ac:dyDescent="0.2">
      <c r="A35" s="110" t="s">
        <v>14</v>
      </c>
      <c r="B35" s="136" t="s">
        <v>56</v>
      </c>
      <c r="C35" s="136" t="s">
        <v>57</v>
      </c>
      <c r="D35" s="136" t="s">
        <v>58</v>
      </c>
      <c r="E35" s="136" t="s">
        <v>36</v>
      </c>
      <c r="F35" s="136" t="s">
        <v>37</v>
      </c>
      <c r="G35" s="136" t="s">
        <v>35</v>
      </c>
      <c r="H35" s="136" t="s">
        <v>38</v>
      </c>
      <c r="I35" s="136" t="s">
        <v>39</v>
      </c>
      <c r="J35" s="136" t="s">
        <v>34</v>
      </c>
      <c r="K35" s="137" t="s">
        <v>43</v>
      </c>
      <c r="L35" s="137" t="s">
        <v>44</v>
      </c>
      <c r="M35" s="137" t="s">
        <v>40</v>
      </c>
      <c r="N35" s="137" t="s">
        <v>45</v>
      </c>
      <c r="O35" s="137" t="s">
        <v>46</v>
      </c>
      <c r="P35" s="138" t="s">
        <v>33</v>
      </c>
      <c r="R35" s="173" t="s">
        <v>61</v>
      </c>
    </row>
    <row r="36" spans="1:18" ht="18" customHeight="1" x14ac:dyDescent="0.15">
      <c r="A36" s="114" t="s">
        <v>27</v>
      </c>
      <c r="B36" s="139">
        <f>RTD("tickerplantrtdserver",,"47#5#1#5629#USDON.LIBOR#LTP")</f>
        <v>8.4750000000000006E-2</v>
      </c>
      <c r="C36" s="139">
        <f>RTD("tickerplantrtdserver",,"47#5#1#5629#USD1W.LIBOR#LTP")</f>
        <v>0.11538</v>
      </c>
      <c r="D36" s="139">
        <f>RTD("tickerplantrtdserver",,"47#5#1#5629#USD2W.LIBOR#LTP")</f>
        <v>0.17113</v>
      </c>
      <c r="E36" s="140">
        <f>RTD("tickerplantrtdserver",,"47#5#1#5629#USD1M.LIBOR#LTP")</f>
        <v>0.16138</v>
      </c>
      <c r="F36" s="140">
        <f>RTD("tickerplantrtdserver",,"47#5#1#5629#USD2M.LIBOR#LTP")</f>
        <v>0.20888000000000001</v>
      </c>
      <c r="G36" s="140">
        <f>RTD("tickerplantrtdserver",,"47#5#1#5629#USD3M.LIBOR#LTP")</f>
        <v>0.26774999999999999</v>
      </c>
      <c r="H36" s="140">
        <f>RTD("tickerplantrtdserver",,"47#5#1#5629#USD4M.LIBOR#LTP")</f>
        <v>0.31709999999999999</v>
      </c>
      <c r="I36" s="140">
        <f>RTD("tickerplantrtdserver",,"47#5#1#5629#USD5M.LIBOR#LTP")</f>
        <v>0.36725999999999998</v>
      </c>
      <c r="J36" s="140">
        <f>RTD("tickerplantrtdserver",,"47#5#1#5629#USD6M.LIBOR#LTP")</f>
        <v>0.31963000000000003</v>
      </c>
      <c r="K36" s="141">
        <f>RTD("tickerplantrtdserver",,"47#5#1#5629#USD7M.LIBOR#LTP")</f>
        <v>0.46740999999999999</v>
      </c>
      <c r="L36" s="141">
        <f>RTD("tickerplantrtdserver",,"47#5#1#5629#USD8M.LIBOR#LTP")</f>
        <v>0.51214999999999999</v>
      </c>
      <c r="M36" s="141">
        <f>RTD("tickerplantrtdserver",,"47#5#1#5629#USD9M.LIBOR#LTP")</f>
        <v>0.55079999999999996</v>
      </c>
      <c r="N36" s="141">
        <f>RTD("tickerplantrtdserver",,"47#5#1#5629#USD10M.LIBOR#LTP")</f>
        <v>0.59025000000000005</v>
      </c>
      <c r="O36" s="141">
        <f>RTD("tickerplantrtdserver",,"47#5#1#5629#USD11M.LIBOR#LTP")</f>
        <v>0.63939999999999997</v>
      </c>
      <c r="P36" s="142">
        <f>RTD("tickerplantrtdserver",,"47#5#1#5629#USD1Y.LIBOR#LTP")</f>
        <v>0.46038000000000001</v>
      </c>
      <c r="R36" s="173"/>
    </row>
    <row r="37" spans="1:18" ht="18" customHeight="1" x14ac:dyDescent="0.15">
      <c r="A37" s="117" t="s">
        <v>25</v>
      </c>
      <c r="B37" s="143">
        <f>RTD("tickerplantrtdserver",,"47#5#1#5629#EURON.LIBOR#LTP")</f>
        <v>-0.57986000000000004</v>
      </c>
      <c r="C37" s="143">
        <f>RTD("tickerplantrtdserver",,"47#5#1#5629#EUR1W.LIBOR#LTP")</f>
        <v>-0.56371000000000004</v>
      </c>
      <c r="D37" s="143">
        <f>RTD("tickerplantrtdserver",,"47#5#1#5629#EUR2W.LIBOR#LTP")</f>
        <v>4.471E-2</v>
      </c>
      <c r="E37" s="144">
        <f>RTD("tickerplantrtdserver",,"47#5#1#5629#EUR1M.LIBOR#LTP")</f>
        <v>-0.55100000000000005</v>
      </c>
      <c r="F37" s="144">
        <f>RTD("tickerplantrtdserver",,"47#5#1#5629#EUR2M.LIBOR#LTP")</f>
        <v>-0.48714000000000002</v>
      </c>
      <c r="G37" s="144">
        <f>RTD("tickerplantrtdserver",,"47#5#1#5629#EUR3M.LIBOR#LTP")</f>
        <v>-0.51300000000000001</v>
      </c>
      <c r="H37" s="144">
        <f>RTD("tickerplantrtdserver",,"47#5#1#5629#EUR4M.LIBOR#LTP")</f>
        <v>0.14713999999999999</v>
      </c>
      <c r="I37" s="144">
        <f>RTD("tickerplantrtdserver",,"47#5#1#5629#EUR5M.LIBOR#LTP")</f>
        <v>0.17357</v>
      </c>
      <c r="J37" s="144">
        <f>RTD("tickerplantrtdserver",,"47#5#1#5629#EUR6M.LIBOR#LTP")</f>
        <v>-0.46914</v>
      </c>
      <c r="K37" s="145">
        <f>RTD("tickerplantrtdserver",,"47#5#1#5629#EUR7M.LIBOR#LTP")</f>
        <v>0.22928999999999999</v>
      </c>
      <c r="L37" s="145">
        <f>RTD("tickerplantrtdserver",,"47#5#1#5629#EUR8M.LIBOR#LTP")</f>
        <v>0.26357000000000003</v>
      </c>
      <c r="M37" s="145">
        <f>RTD("tickerplantrtdserver",,"47#5#1#5629#EUR9M.LIBOR#LTP")</f>
        <v>0.29357</v>
      </c>
      <c r="N37" s="145">
        <f>RTD("tickerplantrtdserver",,"47#5#1#5629#EUR10M.LIBOR#LTP")</f>
        <v>0.32429000000000002</v>
      </c>
      <c r="O37" s="145">
        <f>RTD("tickerplantrtdserver",,"47#5#1#5629#EUR11M.LIBOR#LTP")</f>
        <v>0.35499999999999998</v>
      </c>
      <c r="P37" s="146">
        <f>RTD("tickerplantrtdserver",,"47#5#1#5629#EUR1Y.LIBOR#LTP")</f>
        <v>-0.35214000000000001</v>
      </c>
      <c r="R37" s="173"/>
    </row>
    <row r="38" spans="1:18" ht="18" customHeight="1" x14ac:dyDescent="0.15">
      <c r="A38" s="117" t="s">
        <v>23</v>
      </c>
      <c r="B38" s="143">
        <f>RTD("tickerplantrtdserver",,"47#5#1#5629#GBPON.LIBOR#LTP")</f>
        <v>5.0880000000000002E-2</v>
      </c>
      <c r="C38" s="143">
        <f>RTD("tickerplantrtdserver",,"47#5#1#5629#GBP1W.LIBOR#LTP")</f>
        <v>5.8749999999999997E-2</v>
      </c>
      <c r="D38" s="143">
        <f>RTD("tickerplantrtdserver",,"47#5#1#5629#GBP1W.LIBOR#LTP")</f>
        <v>5.8749999999999997E-2</v>
      </c>
      <c r="E38" s="144">
        <f>RTD("tickerplantrtdserver",,"47#5#1#5629#GBP1M.LIBOR#LTP")</f>
        <v>5.5500000000000001E-2</v>
      </c>
      <c r="F38" s="144">
        <f>RTD("tickerplantrtdserver",,"47#5#1#5629#GBP2M.LIBOR#LTP")</f>
        <v>7.7630000000000005E-2</v>
      </c>
      <c r="G38" s="144">
        <f>RTD("tickerplantrtdserver",,"47#5#1#5629#GBP3M.LIBOR#LTP")</f>
        <v>7.3380000000000001E-2</v>
      </c>
      <c r="H38" s="144">
        <f>RTD("tickerplantrtdserver",,"47#5#1#5629#GBP4M.LIBOR#LTP")</f>
        <v>0.53</v>
      </c>
      <c r="I38" s="144">
        <f>RTD("tickerplantrtdserver",,"47#5#1#5629#GBP5M.LIBOR#LTP")</f>
        <v>0.56188000000000005</v>
      </c>
      <c r="J38" s="144">
        <f>RTD("tickerplantrtdserver",,"47#5#1#5629#GBP6M.LIBOR#LTP")</f>
        <v>0.13100000000000001</v>
      </c>
      <c r="K38" s="145">
        <f>RTD("tickerplantrtdserver",,"47#5#1#5629#GBP7M.LIBOR#LTP")</f>
        <v>0.63688</v>
      </c>
      <c r="L38" s="145">
        <f>RTD("tickerplantrtdserver",,"47#5#1#5629#GBP8M.LIBOR#LTP")</f>
        <v>0.69438</v>
      </c>
      <c r="M38" s="145">
        <f>RTD("tickerplantrtdserver",,"47#5#1#5629#GBP9M.LIBOR#LTP")</f>
        <v>0.73624999999999996</v>
      </c>
      <c r="N38" s="145">
        <f>RTD("tickerplantrtdserver",,"47#5#1#5629#GBP10M.LIBOR#LTP")</f>
        <v>0.77937999999999996</v>
      </c>
      <c r="O38" s="145">
        <f>RTD("tickerplantrtdserver",,"47#5#1#5629#GBP11M.LIBOR#LTP")</f>
        <v>0.83313000000000004</v>
      </c>
      <c r="P38" s="146">
        <f>RTD("tickerplantrtdserver",,"47#5#1#5629#GBP1Y.LIBOR#LTP")</f>
        <v>0.26550000000000001</v>
      </c>
      <c r="R38" s="173"/>
    </row>
    <row r="39" spans="1:18" ht="18" customHeight="1" thickBot="1" x14ac:dyDescent="0.2">
      <c r="A39" s="122" t="s">
        <v>22</v>
      </c>
      <c r="B39" s="147">
        <f>RTD("tickerplantrtdserver",,"47#5#1#5629#JPYSN.LIBOR#LTP")</f>
        <v>-9.0499999999999997E-2</v>
      </c>
      <c r="C39" s="147">
        <f>RTD("tickerplantrtdserver",,"47#5#1#5629#JPY1W.LIBOR#LTP")</f>
        <v>-8.5999999999999993E-2</v>
      </c>
      <c r="D39" s="147">
        <f>RTD("tickerplantrtdserver",,"47#5#1#5629#JPY2W.LIBOR#LTP")</f>
        <v>0.11071</v>
      </c>
      <c r="E39" s="148">
        <f>RTD("tickerplantrtdserver",,"47#5#1#5629#JPY1M.LIBOR#LTP")</f>
        <v>-0.09</v>
      </c>
      <c r="F39" s="148">
        <f>RTD("tickerplantrtdserver",,"47#5#1#5629#JPY2M.LIBOR#LTP")</f>
        <v>-6.4500000000000002E-2</v>
      </c>
      <c r="G39" s="148">
        <f>RTD("tickerplantrtdserver",,"47#5#1#5629#JPY3M.LIBOR#LTP")</f>
        <v>-5.5169999999999997E-2</v>
      </c>
      <c r="H39" s="148">
        <f>RTD("tickerplantrtdserver",,"47#5#1#5629#JPY2M.LIBOR#LTP")</f>
        <v>-6.4500000000000002E-2</v>
      </c>
      <c r="I39" s="148">
        <f>RTD("tickerplantrtdserver",,"47#5#1#5629#JPY5M.LIBOR#LTP")</f>
        <v>0.21571000000000001</v>
      </c>
      <c r="J39" s="148">
        <f>RTD("tickerplantrtdserver",,"47#5#1#5629#JPY6M.LIBOR#LTP")</f>
        <v>-4.283E-2</v>
      </c>
      <c r="K39" s="149">
        <f>RTD("tickerplantrtdserver",,"47#5#1#5629#JPY7M.LIBOR#LTP")</f>
        <v>0.28571000000000002</v>
      </c>
      <c r="L39" s="149">
        <f>RTD("tickerplantrtdserver",,"47#5#1#5629#JPY8M.LIBOR#LTP")</f>
        <v>0.32571</v>
      </c>
      <c r="M39" s="149">
        <f>RTD("tickerplantrtdserver",,"47#5#1#5629#JPY9M.LIBOR#LTP")</f>
        <v>0.35428999999999999</v>
      </c>
      <c r="N39" s="149">
        <f>RTD("tickerplantrtdserver",,"47#5#1#5629#JPY10M.LIBOR#LTP")</f>
        <v>0.38429000000000002</v>
      </c>
      <c r="O39" s="149">
        <f>RTD("tickerplantrtdserver",,"47#5#1#5629#JPY11M.LIBOR#LTP")</f>
        <v>0.41143000000000002</v>
      </c>
      <c r="P39" s="150">
        <f>RTD("tickerplantrtdserver",,"47#5#1#5629#JPY1Y.LIBOR#LTP")</f>
        <v>0.10883</v>
      </c>
      <c r="R39" s="173"/>
    </row>
  </sheetData>
  <mergeCells count="3">
    <mergeCell ref="G5:G9"/>
    <mergeCell ref="P23:P27"/>
    <mergeCell ref="R35:R3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USDINR</vt:lpstr>
      <vt:lpstr>EURINR</vt:lpstr>
      <vt:lpstr>GBPINR</vt:lpstr>
      <vt:lpstr>JPYINR</vt:lpstr>
      <vt:lpstr>LIBOR</vt:lpstr>
      <vt:lpstr>OHLC</vt:lpstr>
      <vt:lpstr>Currency futures 1 Month</vt:lpstr>
      <vt:lpstr>Currency Futures 2 Month</vt:lpstr>
      <vt:lpstr>Currency Futures 3 Month</vt:lpstr>
      <vt:lpstr>Forward Rates Tab 1USDINR ME</vt:lpstr>
      <vt:lpstr>Forward Rates Tab 2USDINR MW</vt:lpstr>
      <vt:lpstr>Forward Rates Tab 3EURINR ME</vt:lpstr>
      <vt:lpstr>Forward Rates Tab 4GBPINR ME</vt:lpstr>
      <vt:lpstr>Forward Rates Tab 5JPYINR ME</vt:lpstr>
      <vt:lpstr>Forward Rates Tab 6EURUSD MW</vt:lpstr>
      <vt:lpstr>Forward Rates Tab 7GBPUSD MW</vt:lpstr>
      <vt:lpstr>Forward Rates Tab 8USDJPY MW</vt:lpstr>
      <vt:lpstr>Forward Rate Calculator</vt:lpstr>
      <vt:lpstr>Historical Rates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siddhesh.ghare</dc:creator>
  <cp:lastModifiedBy>Windows User</cp:lastModifiedBy>
  <dcterms:created xsi:type="dcterms:W3CDTF">2020-04-23T19:35:55Z</dcterms:created>
  <dcterms:modified xsi:type="dcterms:W3CDTF">2020-08-18T10:59:55Z</dcterms:modified>
</cp:coreProperties>
</file>