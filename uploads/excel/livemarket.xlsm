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165" yWindow="-135" windowWidth="3645" windowHeight="2610" firstSheet="2" activeTab="5"/>
  </bookViews>
  <sheets>
    <sheet name="USDINR" sheetId="4" r:id="rId1"/>
    <sheet name="EURINR" sheetId="5" r:id="rId2"/>
    <sheet name="GBPINR" sheetId="6" r:id="rId3"/>
    <sheet name="JPYINR" sheetId="7" r:id="rId4"/>
    <sheet name="LIBOR" sheetId="8" r:id="rId5"/>
    <sheet name="OHLC" sheetId="10" r:id="rId6"/>
    <sheet name="Currency futures 1 Month" sheetId="11" r:id="rId7"/>
    <sheet name="Currency Futures 2 Month" sheetId="12" r:id="rId8"/>
    <sheet name="Currency Futures 3 Month" sheetId="13" r:id="rId9"/>
    <sheet name="Forward Rates Tab 1USDINR ME" sheetId="14" r:id="rId10"/>
    <sheet name="Forward Rates Tab 2USDINR MW" sheetId="15" r:id="rId11"/>
    <sheet name="Forward Rates Tab 3EURINR ME" sheetId="16" r:id="rId12"/>
    <sheet name="Forward Rates Tab 4GBPINR ME" sheetId="17" r:id="rId13"/>
    <sheet name="Forward Rates Tab 5JPYINR ME" sheetId="18" r:id="rId14"/>
    <sheet name="Forward Rates Tab 6EURUSD MW" sheetId="19" r:id="rId15"/>
    <sheet name="Forward Rates Tab 7GBPUSD MW" sheetId="20" r:id="rId16"/>
    <sheet name="Forward Rates Tab 8USDJPY MW" sheetId="21" r:id="rId17"/>
    <sheet name="Forward Rate Calculator" sheetId="22" r:id="rId18"/>
    <sheet name="Historical Rates" sheetId="23" r:id="rId19"/>
  </sheets>
  <definedNames>
    <definedName name="_xlnm.Print_Area" localSheetId="4">LIBOR!$A$1:$M$16</definedName>
  </definedNames>
  <calcPr calcId="145621"/>
</workbook>
</file>

<file path=xl/calcChain.xml><?xml version="1.0" encoding="utf-8"?>
<calcChain xmlns="http://schemas.openxmlformats.org/spreadsheetml/2006/main">
  <c r="J2" i="21" l="1" a="1"/>
  <c r="K1" i="19" a="1"/>
  <c r="C2" i="19" a="1"/>
  <c r="G1" i="16" a="1"/>
  <c r="K1" i="17" a="1"/>
  <c r="C2" i="20" a="1"/>
  <c r="I2" i="19" a="1"/>
  <c r="L2" i="20" a="1"/>
  <c r="F2" i="20" a="1"/>
  <c r="C1" i="18" a="1"/>
  <c r="I2" i="21" a="1"/>
  <c r="J2" i="16" a="1"/>
  <c r="O1" i="18" a="1"/>
  <c r="M2" i="14" a="1"/>
  <c r="M1" i="20" a="1"/>
  <c r="M2" i="21" a="1"/>
  <c r="N2" i="17" a="1"/>
  <c r="L2" i="19" a="1"/>
  <c r="G1" i="20" a="1"/>
  <c r="K2" i="18" a="1"/>
  <c r="H1" i="17" a="1"/>
  <c r="B20" i="23" a="1"/>
  <c r="D2" i="20" a="1"/>
  <c r="M2" i="16" a="1"/>
  <c r="K1" i="21" a="1"/>
  <c r="O1" i="17" a="1"/>
  <c r="K2" i="16" a="1"/>
  <c r="L2" i="18" a="1"/>
  <c r="M2" i="19" a="1"/>
  <c r="N2" i="18" a="1"/>
  <c r="C1" i="21" a="1"/>
  <c r="E1" i="18" a="1"/>
  <c r="I1" i="21" a="1"/>
  <c r="E2" i="19" a="1"/>
  <c r="I1" i="19" a="1"/>
  <c r="N2" i="21" a="1"/>
  <c r="L1" i="20" a="1"/>
  <c r="H2" i="21" a="1"/>
  <c r="L2" i="21" a="1"/>
  <c r="G2" i="20" a="1"/>
  <c r="K2" i="14" a="1"/>
  <c r="K1" i="20" a="1"/>
  <c r="H1" i="19" a="1"/>
  <c r="D1" i="17" a="1"/>
  <c r="H2" i="19" a="1"/>
  <c r="O2" i="20" a="1"/>
  <c r="N2" i="20" a="1"/>
  <c r="G1" i="17" a="1"/>
  <c r="K2" i="19" a="1"/>
  <c r="J2" i="14" a="1"/>
  <c r="J1" i="17" a="1"/>
  <c r="N1" i="20" a="1"/>
  <c r="M2" i="18" a="1"/>
  <c r="G2" i="19" a="1"/>
  <c r="J2" i="19" a="1"/>
  <c r="E1" i="21" a="1"/>
  <c r="I1" i="20" a="1"/>
  <c r="F1" i="17" a="1"/>
  <c r="O2" i="19" a="1"/>
  <c r="J2" i="20" a="1"/>
  <c r="L2" i="16" a="1"/>
  <c r="N1" i="21" a="1"/>
  <c r="B21" i="23" a="1"/>
  <c r="J1" i="20" a="1"/>
  <c r="I1" i="18" a="1"/>
  <c r="N2" i="19" a="1"/>
  <c r="K1" i="18" a="1"/>
  <c r="C1" i="17" a="1"/>
  <c r="N2" i="16" a="1"/>
  <c r="H1" i="21" a="1"/>
  <c r="I2" i="20" a="1"/>
  <c r="M2" i="20" a="1"/>
  <c r="J2" i="18" a="1"/>
  <c r="L2" i="17" a="1"/>
  <c r="O2" i="16" a="1"/>
  <c r="N1" i="19" a="1"/>
  <c r="K2" i="17" a="1"/>
  <c r="J2" i="17" a="1"/>
  <c r="H1" i="20" a="1"/>
  <c r="G1" i="18" a="1"/>
  <c r="E2" i="20" a="1"/>
  <c r="E1" i="17" a="1"/>
  <c r="O1" i="19" a="1"/>
  <c r="M1" i="18" a="1"/>
  <c r="D1" i="18" a="1"/>
  <c r="M1" i="19" a="1"/>
  <c r="F1" i="21" a="1"/>
  <c r="K2" i="21" a="1"/>
  <c r="L1" i="18" a="1"/>
  <c r="N1" i="17" a="1"/>
  <c r="H1" i="16" a="1"/>
  <c r="F1" i="18" a="1"/>
  <c r="F1" i="16" a="1"/>
  <c r="O1" i="20" a="1"/>
  <c r="E1" i="16" a="1"/>
  <c r="J1" i="19" a="1"/>
  <c r="L2" i="14" a="1"/>
  <c r="O2" i="18" a="1"/>
  <c r="J1" i="18" a="1"/>
  <c r="K2" i="20" a="1"/>
  <c r="D1" i="16" a="1"/>
  <c r="M1" i="21" a="1"/>
  <c r="G1" i="19" a="1"/>
  <c r="O2" i="21" a="1"/>
  <c r="J1" i="21" a="1"/>
  <c r="N1" i="18" a="1"/>
  <c r="H1" i="18" a="1"/>
  <c r="H2" i="20" a="1"/>
  <c r="G2" i="21" a="1"/>
  <c r="C1" i="16" a="1"/>
  <c r="M1" i="17" a="1"/>
  <c r="L1" i="17" a="1"/>
  <c r="L1" i="19" a="1"/>
  <c r="O1" i="21" a="1"/>
  <c r="O2" i="17" a="1"/>
  <c r="D2" i="19" a="1"/>
  <c r="F2" i="19" a="1"/>
  <c r="L1" i="21" a="1"/>
  <c r="G1" i="21" a="1"/>
  <c r="M2" i="17" a="1"/>
  <c r="I1" i="17" a="1"/>
  <c r="N2" i="14" a="1"/>
  <c r="I1" i="16" a="1"/>
  <c r="D1" i="21" a="1"/>
  <c r="G2" i="15" a="1"/>
  <c r="K1" i="15" a="1"/>
  <c r="J2" i="15" a="1"/>
  <c r="L1" i="15" a="1"/>
  <c r="L2" i="15" a="1"/>
  <c r="O2" i="15" a="1"/>
  <c r="K2" i="15" a="1"/>
  <c r="H2" i="15" a="1"/>
  <c r="M2" i="15" a="1"/>
  <c r="N1" i="15" a="1"/>
  <c r="N2" i="15" a="1"/>
  <c r="I1" i="15" a="1"/>
  <c r="G1" i="15" a="1"/>
  <c r="H1" i="15" a="1"/>
  <c r="I2" i="15" a="1"/>
  <c r="J1" i="15" a="1"/>
  <c r="M1" i="15" a="1"/>
  <c r="O1" i="15" a="1"/>
  <c r="M1" i="16" a="1"/>
  <c r="K1" i="16" a="1"/>
  <c r="L1" i="16" a="1"/>
  <c r="J1" i="16" a="1"/>
  <c r="N1" i="16" a="1"/>
  <c r="O1" i="16" a="1"/>
  <c r="D2" i="16" a="1"/>
  <c r="E2" i="16" a="1"/>
  <c r="I2" i="16" a="1"/>
  <c r="H2" i="16" a="1"/>
  <c r="F2" i="16" a="1"/>
  <c r="G2" i="16" a="1"/>
  <c r="C2" i="16" a="1"/>
  <c r="I2" i="14" a="1"/>
  <c r="G2" i="14" a="1"/>
  <c r="C2" i="17" a="1"/>
  <c r="E2" i="17" a="1"/>
  <c r="D2" i="17" a="1"/>
  <c r="E2" i="14" a="1"/>
  <c r="H2" i="17" a="1"/>
  <c r="G2" i="17" a="1"/>
  <c r="H2" i="14" a="1"/>
  <c r="F2" i="14" a="1"/>
  <c r="F2" i="17" a="1"/>
  <c r="A23" i="23"/>
  <c r="A4" i="23"/>
  <c r="A32" i="23"/>
  <c r="H2" i="17"/>
  <c r="A29" i="23"/>
  <c r="A10" i="23"/>
  <c r="A2" i="23"/>
  <c r="A27" i="23"/>
  <c r="A20" i="23"/>
  <c r="E2" i="17"/>
  <c r="A7" i="23"/>
  <c r="A28" i="23"/>
  <c r="D2" i="17"/>
  <c r="O2" i="14"/>
  <c r="O1" i="14"/>
  <c r="D1" i="14"/>
  <c r="E1" i="14"/>
  <c r="A31" i="23"/>
  <c r="D2" i="14"/>
  <c r="I6" i="10"/>
  <c r="I1" i="14"/>
  <c r="A25" i="23"/>
  <c r="A24" i="23"/>
  <c r="J8" i="10"/>
  <c r="F2" i="17"/>
  <c r="F1" i="14"/>
  <c r="N1" i="14"/>
  <c r="A19" i="23"/>
  <c r="J5" i="10"/>
  <c r="I4" i="10"/>
  <c r="A15" i="23"/>
  <c r="A21" i="23"/>
  <c r="A14" i="23"/>
  <c r="H1" i="14"/>
  <c r="G2" i="17"/>
  <c r="L1" i="14"/>
  <c r="A6" i="23"/>
  <c r="A22" i="23"/>
  <c r="A5" i="23"/>
  <c r="I5" i="10"/>
  <c r="J6" i="10"/>
  <c r="J7" i="10"/>
  <c r="A26" i="23"/>
  <c r="M1" i="14"/>
  <c r="A11" i="23"/>
  <c r="J4" i="10"/>
  <c r="A30" i="23"/>
  <c r="G1" i="14"/>
  <c r="K1" i="14"/>
  <c r="A9" i="23"/>
  <c r="A13" i="23"/>
  <c r="C1" i="14"/>
  <c r="A8" i="23"/>
  <c r="A3" i="23"/>
  <c r="J1" i="14"/>
  <c r="A12" i="23"/>
  <c r="I3" i="10"/>
  <c r="J9" i="10"/>
  <c r="E2" i="18" a="1"/>
  <c r="C2" i="18" a="1"/>
  <c r="H2" i="18" a="1"/>
  <c r="F2" i="18" a="1"/>
  <c r="G2" i="18" a="1"/>
  <c r="D2" i="18" a="1"/>
  <c r="C1" i="19" a="1"/>
  <c r="F1" i="19" a="1"/>
  <c r="E1" i="19" a="1"/>
  <c r="E1" i="19"/>
  <c r="F1" i="19"/>
  <c r="C1" i="19"/>
  <c r="F2" i="21" a="1"/>
  <c r="C2" i="21" a="1"/>
  <c r="E2" i="21" a="1"/>
  <c r="F1" i="20" a="1"/>
  <c r="D1" i="20" a="1"/>
  <c r="E1" i="20" a="1"/>
  <c r="J3" i="10"/>
  <c r="E3" i="5" a="1"/>
  <c r="C11" i="16" a="1"/>
  <c r="C10" i="18" a="1"/>
  <c r="E2" i="5" a="1"/>
  <c r="C3" i="5" a="1"/>
  <c r="C11" i="18" a="1"/>
  <c r="C11" i="17" a="1"/>
  <c r="C5" i="16" a="1"/>
  <c r="C10" i="17" a="1"/>
  <c r="C10" i="16" a="1"/>
  <c r="M8" i="17" a="1"/>
  <c r="M10" i="17" a="1"/>
  <c r="M11" i="17" a="1"/>
  <c r="M7" i="17" a="1"/>
  <c r="O8" i="17" a="1"/>
  <c r="O10" i="17" a="1"/>
  <c r="O11" i="17" a="1"/>
  <c r="O7" i="17" a="1"/>
  <c r="F8" i="17" a="1"/>
  <c r="F11" i="17" a="1"/>
  <c r="F10" i="17" a="1"/>
  <c r="F7" i="17" a="1"/>
  <c r="E3" i="4" a="1"/>
  <c r="C3" i="4" a="1"/>
  <c r="C11" i="14" a="1"/>
  <c r="C10" i="14" a="1"/>
  <c r="E7" i="16" a="1"/>
  <c r="F9" i="22" a="1"/>
  <c r="I5" i="16" a="1"/>
  <c r="I8" i="16" a="1"/>
  <c r="F5" i="22" a="1"/>
  <c r="E5" i="16" a="1"/>
  <c r="I10" i="16" a="1"/>
  <c r="I11" i="16" a="1"/>
  <c r="E9" i="22" a="1"/>
  <c r="I7" i="16" a="1"/>
  <c r="E8" i="16" a="1"/>
  <c r="E11" i="16" a="1"/>
  <c r="I4" i="16" a="1"/>
  <c r="E10" i="16" a="1"/>
  <c r="E5" i="22" a="1"/>
  <c r="G11" i="16" a="1"/>
  <c r="E7" i="22" a="1"/>
  <c r="F7" i="22" a="1"/>
  <c r="G5" i="16" a="1"/>
  <c r="G4" i="16" a="1"/>
  <c r="G10" i="16" a="1"/>
  <c r="G7" i="16" a="1"/>
  <c r="G8" i="16" a="1"/>
  <c r="H11" i="17" a="1"/>
  <c r="H7" i="17" a="1"/>
  <c r="H10" i="17" a="1"/>
  <c r="H8" i="17" a="1"/>
  <c r="K7" i="17" a="1"/>
  <c r="D10" i="17" a="1"/>
  <c r="D11" i="17" a="1"/>
  <c r="D7" i="17" a="1"/>
  <c r="D8" i="17" a="1"/>
  <c r="K11" i="17" a="1"/>
  <c r="K10" i="17" a="1"/>
  <c r="K8" i="17" a="1"/>
  <c r="N11" i="17" a="1"/>
  <c r="N7" i="17" a="1"/>
  <c r="N10" i="17" a="1"/>
  <c r="N8" i="17" a="1"/>
  <c r="O7" i="18" a="1"/>
  <c r="O11" i="18" a="1"/>
  <c r="O8" i="18" a="1"/>
  <c r="O10" i="18" a="1"/>
  <c r="M8" i="16" a="1"/>
  <c r="O5" i="16" a="1"/>
  <c r="N7" i="16" a="1"/>
  <c r="M11" i="16" a="1"/>
  <c r="N11" i="16" a="1"/>
  <c r="O11" i="16" a="1"/>
  <c r="N10" i="16" a="1"/>
  <c r="E14" i="22" a="1"/>
  <c r="F15" i="22" a="1"/>
  <c r="N5" i="16" a="1"/>
  <c r="M10" i="16" a="1"/>
  <c r="N4" i="16" a="1"/>
  <c r="M4" i="16" a="1"/>
  <c r="O4" i="16" a="1"/>
  <c r="F14" i="22" a="1"/>
  <c r="E13" i="22" a="1"/>
  <c r="O7" i="16" a="1"/>
  <c r="O8" i="16" a="1"/>
  <c r="M7" i="16" a="1"/>
  <c r="E15" i="22" a="1"/>
  <c r="F13" i="22" a="1"/>
  <c r="M5" i="16" a="1"/>
  <c r="N8" i="16" a="1"/>
  <c r="O10" i="16" a="1"/>
  <c r="N7" i="18" a="1"/>
  <c r="N11" i="18" a="1"/>
  <c r="N10" i="18" a="1"/>
  <c r="N8" i="18" a="1"/>
  <c r="N5" i="15" a="1"/>
  <c r="O11" i="14" a="1"/>
  <c r="O5" i="14" a="1"/>
  <c r="O11" i="15" a="1"/>
  <c r="N4" i="15" a="1"/>
  <c r="O10" i="15" a="1"/>
  <c r="O10" i="14" a="1"/>
  <c r="C15" i="22" a="1"/>
  <c r="N10" i="15" a="1"/>
  <c r="O4" i="14" a="1"/>
  <c r="O4" i="15" a="1"/>
  <c r="N11" i="15" a="1"/>
  <c r="D15" i="22" a="1"/>
  <c r="C14" i="22" a="1"/>
  <c r="D14" i="22" a="1"/>
  <c r="O5" i="15" a="1"/>
  <c r="M11" i="18" a="1"/>
  <c r="M10" i="18" a="1"/>
  <c r="M8" i="18" a="1"/>
  <c r="M7" i="18" a="1"/>
  <c r="M4" i="15" a="1"/>
  <c r="N5" i="14" a="1"/>
  <c r="N11" i="14" a="1"/>
  <c r="M10" i="15" a="1"/>
  <c r="M5" i="15" a="1"/>
  <c r="N4" i="14" a="1"/>
  <c r="M11" i="15" a="1"/>
  <c r="N10" i="14" a="1"/>
  <c r="C13" i="22" a="1"/>
  <c r="D13" i="22" a="1"/>
  <c r="I10" i="17" a="1"/>
  <c r="I11" i="17" a="1"/>
  <c r="I8" i="17" a="1"/>
  <c r="E8" i="22" a="1"/>
  <c r="H11" i="16" a="1"/>
  <c r="H10" i="16" a="1"/>
  <c r="H7" i="16" a="1"/>
  <c r="H4" i="16" a="1"/>
  <c r="F8" i="22" a="1"/>
  <c r="H8" i="16" a="1"/>
  <c r="H5" i="16" a="1"/>
  <c r="L11" i="17" a="1"/>
  <c r="L7" i="17" a="1"/>
  <c r="L10" i="17" a="1"/>
  <c r="L8" i="17" a="1"/>
  <c r="L7" i="18" a="1"/>
  <c r="L11" i="18" a="1"/>
  <c r="L8" i="18" a="1"/>
  <c r="L5" i="16" a="1"/>
  <c r="E12" i="22" a="1"/>
  <c r="L10" i="18" a="1"/>
  <c r="L11" i="16" a="1"/>
  <c r="L8" i="16" a="1"/>
  <c r="F12" i="22" a="1"/>
  <c r="L4" i="16" a="1"/>
  <c r="L10" i="16" a="1"/>
  <c r="M10" i="14" a="1"/>
  <c r="C12" i="22" a="1"/>
  <c r="L10" i="15" a="1"/>
  <c r="L11" i="15" a="1"/>
  <c r="J10" i="18" a="1"/>
  <c r="L4" i="15" a="1"/>
  <c r="J7" i="18" a="1"/>
  <c r="M4" i="14" a="1"/>
  <c r="L5" i="15" a="1"/>
  <c r="J11" i="18" a="1"/>
  <c r="J8" i="18" a="1"/>
  <c r="M11" i="14" a="1"/>
  <c r="D12" i="22" a="1"/>
  <c r="G8" i="17" a="1"/>
  <c r="K7" i="16" a="1"/>
  <c r="J11" i="17" a="1"/>
  <c r="J8" i="17" a="1"/>
  <c r="K10" i="16" a="1"/>
  <c r="K11" i="16" a="1"/>
  <c r="G10" i="17" a="1"/>
  <c r="G11" i="17" a="1"/>
  <c r="K4" i="16" a="1"/>
  <c r="G7" i="17" a="1"/>
  <c r="J10" i="17" a="1"/>
  <c r="K5" i="16" a="1"/>
  <c r="K8" i="16" a="1"/>
  <c r="J7" i="17" a="1"/>
  <c r="F11" i="22" a="1"/>
  <c r="E11" i="22" a="1"/>
  <c r="K7" i="18" a="1"/>
  <c r="J7" i="16" a="1"/>
  <c r="L11" i="14" a="1"/>
  <c r="K4" i="15" a="1"/>
  <c r="L10" i="14" a="1"/>
  <c r="L5" i="14" a="1"/>
  <c r="K11" i="15" a="1"/>
  <c r="K10" i="18" a="1"/>
  <c r="E10" i="22" a="1"/>
  <c r="L4" i="14" a="1"/>
  <c r="K8" i="18" a="1"/>
  <c r="J5" i="16" a="1"/>
  <c r="F10" i="22" a="1"/>
  <c r="J10" i="16" a="1"/>
  <c r="D11" i="22" a="1"/>
  <c r="J4" i="16" a="1"/>
  <c r="K5" i="15" a="1"/>
  <c r="K10" i="15" a="1"/>
  <c r="C11" i="22" a="1"/>
  <c r="K11" i="18" a="1"/>
  <c r="J8" i="16" a="1"/>
  <c r="J11" i="16" a="1"/>
  <c r="J11" i="15" a="1"/>
  <c r="J5" i="15" a="1"/>
  <c r="K11" i="14" a="1"/>
  <c r="K4" i="14" a="1"/>
  <c r="C10" i="22" a="1"/>
  <c r="K5" i="14" a="1"/>
  <c r="J4" i="15" a="1"/>
  <c r="D10" i="22" a="1"/>
  <c r="K10" i="14" a="1"/>
  <c r="J10" i="15" a="1"/>
  <c r="F5" i="16" a="1"/>
  <c r="F8" i="16" a="1"/>
  <c r="F4" i="16" a="1"/>
  <c r="F10" i="16" a="1"/>
  <c r="F6" i="22" a="1"/>
  <c r="F11" i="16" a="1"/>
  <c r="I10" i="18" a="1"/>
  <c r="I7" i="18" a="1"/>
  <c r="I11" i="18" a="1"/>
  <c r="I8" i="18" a="1"/>
  <c r="C9" i="22" a="1"/>
  <c r="D9" i="22" a="1"/>
  <c r="J11" i="14" a="1"/>
  <c r="I11" i="15" a="1"/>
  <c r="J10" i="14" a="1"/>
  <c r="J5" i="14" a="1"/>
  <c r="I10" i="15" a="1"/>
  <c r="I4" i="15" a="1"/>
  <c r="J4" i="14" a="1"/>
  <c r="I5" i="15" a="1"/>
  <c r="H11" i="18" a="1"/>
  <c r="H10" i="18" a="1"/>
  <c r="H7" i="18" a="1"/>
  <c r="H8" i="18" a="1"/>
  <c r="D8" i="22" a="1"/>
  <c r="H11" i="15" a="1"/>
  <c r="I4" i="14" a="1"/>
  <c r="H4" i="15" a="1"/>
  <c r="I11" i="14" a="1"/>
  <c r="G10" i="18" a="1"/>
  <c r="F7" i="18" a="1"/>
  <c r="G11" i="18" a="1"/>
  <c r="F8" i="18" a="1"/>
  <c r="H5" i="15" a="1"/>
  <c r="F10" i="18" a="1"/>
  <c r="I5" i="14" a="1"/>
  <c r="I10" i="14" a="1"/>
  <c r="G7" i="18" a="1"/>
  <c r="H10" i="15" a="1"/>
  <c r="C8" i="22" a="1"/>
  <c r="F11" i="18" a="1"/>
  <c r="G8" i="18" a="1"/>
  <c r="G11" i="15" a="1"/>
  <c r="H11" i="14" a="1"/>
  <c r="G10" i="15" a="1"/>
  <c r="H5" i="14" a="1"/>
  <c r="D7" i="22" a="1"/>
  <c r="H10" i="14" a="1"/>
  <c r="H4" i="14" a="1"/>
  <c r="C7" i="22" a="1"/>
  <c r="G5" i="15" a="1"/>
  <c r="F11" i="15" a="1"/>
  <c r="D6" i="22" a="1"/>
  <c r="G10" i="14" a="1"/>
  <c r="E7" i="17" a="1"/>
  <c r="C6" i="22" a="1"/>
  <c r="G4" i="14" a="1"/>
  <c r="E8" i="17" a="1"/>
  <c r="F10" i="15" a="1"/>
  <c r="G11" i="14" a="1"/>
  <c r="F5" i="15" a="1"/>
  <c r="G5" i="14" a="1"/>
  <c r="E10" i="17" a="1"/>
  <c r="F4" i="15" a="1"/>
  <c r="E11" i="17" a="1"/>
  <c r="D10" i="18" a="1"/>
  <c r="D11" i="18" a="1"/>
  <c r="D7" i="18" a="1"/>
  <c r="D8" i="18" a="1"/>
  <c r="F11" i="14" a="1"/>
  <c r="E11" i="15" a="1"/>
  <c r="E5" i="15" a="1"/>
  <c r="E10" i="15" a="1"/>
  <c r="E11" i="18" a="1"/>
  <c r="F10" i="14" a="1"/>
  <c r="D5" i="22" a="1"/>
  <c r="C5" i="22" a="1"/>
  <c r="E8" i="18" a="1"/>
  <c r="D10" i="16" a="1"/>
  <c r="F5" i="14" a="1"/>
  <c r="F4" i="14" a="1"/>
  <c r="E4" i="15" a="1"/>
  <c r="E10" i="18" a="1"/>
  <c r="E7" i="18" a="1"/>
  <c r="D4" i="16" a="1"/>
  <c r="D11" i="16" a="1"/>
  <c r="D8" i="16" a="1"/>
  <c r="D5" i="16" a="1"/>
  <c r="E11" i="14" a="1"/>
  <c r="E4" i="14" a="1"/>
  <c r="E5" i="14" a="1"/>
  <c r="D11" i="15" a="1"/>
  <c r="E10" i="14" a="1"/>
  <c r="C4" i="22" a="1"/>
  <c r="D5" i="15" a="1"/>
  <c r="D4" i="22" a="1"/>
  <c r="D10" i="15" a="1"/>
  <c r="D10" i="14" a="1"/>
  <c r="D11" i="14" a="1"/>
  <c r="C5" i="19" a="1"/>
  <c r="C11" i="19" a="1"/>
  <c r="C7" i="19" a="1"/>
  <c r="C8" i="19" a="1"/>
  <c r="C4" i="19" a="1"/>
  <c r="E10" i="20" a="1"/>
  <c r="E4" i="20" a="1"/>
  <c r="E8" i="20" a="1"/>
  <c r="E5" i="20" a="1"/>
  <c r="N5" i="22" a="1"/>
  <c r="M5" i="22" a="1"/>
  <c r="E7" i="20" a="1"/>
  <c r="E11" i="20" a="1"/>
  <c r="N4" i="22" a="1"/>
  <c r="D5" i="20" a="1"/>
  <c r="D11" i="20" a="1"/>
  <c r="M4" i="22" a="1"/>
  <c r="D7" i="20" a="1"/>
  <c r="D8" i="20" a="1"/>
  <c r="D10" i="20" a="1"/>
  <c r="D4" i="20" a="1"/>
  <c r="N13" i="22" a="1"/>
  <c r="M7" i="20" a="1"/>
  <c r="M11" i="20" a="1"/>
  <c r="M5" i="20" a="1"/>
  <c r="M4" i="20" a="1"/>
  <c r="M10" i="20" a="1"/>
  <c r="M13" i="22" a="1"/>
  <c r="M8" i="20" a="1"/>
  <c r="N8" i="20" a="1"/>
  <c r="K10" i="20" a="1"/>
  <c r="K4" i="20" a="1"/>
  <c r="N14" i="22" a="1"/>
  <c r="N5" i="20" a="1"/>
  <c r="N7" i="20" a="1"/>
  <c r="K11" i="20" a="1"/>
  <c r="N4" i="20" a="1"/>
  <c r="N11" i="20" a="1"/>
  <c r="N11" i="22" a="1"/>
  <c r="M14" i="22" a="1"/>
  <c r="N10" i="20" a="1"/>
  <c r="M11" i="22" a="1"/>
  <c r="K8" i="20" a="1"/>
  <c r="K5" i="20" a="1"/>
  <c r="K7" i="20" a="1"/>
  <c r="C7" i="20" a="1"/>
  <c r="C10" i="20" a="1"/>
  <c r="J10" i="20" a="1"/>
  <c r="J7" i="20" a="1"/>
  <c r="N10" i="22" a="1"/>
  <c r="F10" i="20" a="1"/>
  <c r="F8" i="20" a="1"/>
  <c r="C4" i="20" a="1"/>
  <c r="F7" i="20" a="1"/>
  <c r="M10" i="22" a="1"/>
  <c r="J8" i="20" a="1"/>
  <c r="N6" i="22" a="1"/>
  <c r="C5" i="20" a="1"/>
  <c r="C11" i="20" a="1"/>
  <c r="C8" i="20" a="1"/>
  <c r="F4" i="20" a="1"/>
  <c r="J11" i="20" a="1"/>
  <c r="F11" i="20" a="1"/>
  <c r="J5" i="20" a="1"/>
  <c r="M6" i="22" a="1"/>
  <c r="J4" i="20" a="1"/>
  <c r="F5" i="20" a="1"/>
  <c r="H5" i="20" a="1"/>
  <c r="H7" i="20" a="1"/>
  <c r="K9" i="22" a="1"/>
  <c r="I8" i="19" a="1"/>
  <c r="N8" i="22" a="1"/>
  <c r="M8" i="22" a="1"/>
  <c r="I11" i="19" a="1"/>
  <c r="I4" i="19" a="1"/>
  <c r="H10" i="20" a="1"/>
  <c r="H8" i="20" a="1"/>
  <c r="L9" i="22" a="1"/>
  <c r="I10" i="19" a="1"/>
  <c r="H11" i="20" a="1"/>
  <c r="I7" i="19" a="1"/>
  <c r="H4" i="20" a="1"/>
  <c r="I5" i="19" a="1"/>
  <c r="G11" i="20" a="1"/>
  <c r="G5" i="20" a="1"/>
  <c r="G7" i="20" a="1"/>
  <c r="G4" i="20" a="1"/>
  <c r="G10" i="20" a="1"/>
  <c r="M7" i="22" a="1"/>
  <c r="N7" i="22" a="1"/>
  <c r="L5" i="22" a="1"/>
  <c r="E10" i="19" a="1"/>
  <c r="E5" i="19" a="1"/>
  <c r="K5" i="22" a="1"/>
  <c r="E8" i="19" a="1"/>
  <c r="E4" i="19" a="1"/>
  <c r="G8" i="20" a="1"/>
  <c r="E11" i="19" a="1"/>
  <c r="E7" i="19" a="1"/>
  <c r="O15" i="22" a="1"/>
  <c r="O5" i="21" a="1"/>
  <c r="G5" i="19" a="1"/>
  <c r="F4" i="19" a="1"/>
  <c r="C5" i="21" a="1"/>
  <c r="M5" i="19" a="1"/>
  <c r="K13" i="22" a="1"/>
  <c r="L12" i="22" a="1"/>
  <c r="K14" i="22" a="1"/>
  <c r="I4" i="20" a="1"/>
  <c r="K10" i="22" a="1"/>
  <c r="I8" i="20" a="1"/>
  <c r="J7" i="19" a="1"/>
  <c r="O4" i="21" a="1"/>
  <c r="D8" i="21" a="1"/>
  <c r="G11" i="19" a="1"/>
  <c r="K6" i="22" a="1"/>
  <c r="K11" i="21" a="1"/>
  <c r="J10" i="21" a="1"/>
  <c r="K4" i="19" a="1"/>
  <c r="I10" i="20" a="1"/>
  <c r="H10" i="19" a="1"/>
  <c r="L14" i="22" a="1"/>
  <c r="D7" i="19" a="1"/>
  <c r="M15" i="22" a="1"/>
  <c r="I5" i="20" a="1"/>
  <c r="N11" i="21" a="1"/>
  <c r="L4" i="22" a="1"/>
  <c r="K12" i="22" a="1"/>
  <c r="M10" i="19" a="1"/>
  <c r="D11" i="19" a="1"/>
  <c r="O11" i="21" a="1"/>
  <c r="G10" i="19" a="1"/>
  <c r="G4" i="19" a="1"/>
  <c r="F8" i="19" a="1"/>
  <c r="K10" i="21" a="1"/>
  <c r="C7" i="21" a="1"/>
  <c r="K11" i="22" a="1"/>
  <c r="J11" i="21" a="1"/>
  <c r="N9" i="22" a="1"/>
  <c r="K8" i="22" a="1"/>
  <c r="I11" i="21" a="1"/>
  <c r="L11" i="20" a="1"/>
  <c r="O11" i="20" a="1"/>
  <c r="E7" i="21" a="1"/>
  <c r="N5" i="19" a="1"/>
  <c r="D10" i="19" a="1"/>
  <c r="M8" i="19" a="1"/>
  <c r="N4" i="19" a="1"/>
  <c r="L13" i="22" a="1"/>
  <c r="O4" i="19" a="1"/>
  <c r="I11" i="20" a="1"/>
  <c r="L8" i="22" a="1"/>
  <c r="D8" i="19" a="1"/>
  <c r="L15" i="22" a="1"/>
  <c r="J4" i="19" a="1"/>
  <c r="L11" i="19" a="1"/>
  <c r="O7" i="20" a="1"/>
  <c r="F8" i="21" a="1"/>
  <c r="H7" i="19" a="1"/>
  <c r="K11" i="19" a="1"/>
  <c r="M11" i="21" a="1"/>
  <c r="G7" i="19" a="1"/>
  <c r="L10" i="22" a="1"/>
  <c r="N10" i="21" a="1"/>
  <c r="N10" i="19" a="1"/>
  <c r="H10" i="21" a="1"/>
  <c r="N8" i="19" a="1"/>
  <c r="L10" i="20" a="1"/>
  <c r="M4" i="19" a="1"/>
  <c r="G11" i="21" a="1"/>
  <c r="G8" i="19" a="1"/>
  <c r="K7" i="19" a="1"/>
  <c r="N11" i="19" a="1"/>
  <c r="H4" i="19" a="1"/>
  <c r="J5" i="19" a="1"/>
  <c r="K8" i="19" a="1"/>
  <c r="P15" i="22" a="1"/>
  <c r="O10" i="21" a="1"/>
  <c r="L7" i="22" a="1"/>
  <c r="K7" i="22" a="1"/>
  <c r="F7" i="19" a="1"/>
  <c r="K5" i="19" a="1"/>
  <c r="C4" i="21" a="1"/>
  <c r="C8" i="21" a="1"/>
  <c r="N15" i="22" a="1"/>
  <c r="L11" i="21" a="1"/>
  <c r="D5" i="19" a="1"/>
  <c r="K15" i="22" a="1"/>
  <c r="O5" i="20" a="1"/>
  <c r="H11" i="21" a="1"/>
  <c r="D4" i="19" a="1"/>
  <c r="O11" i="19" a="1"/>
  <c r="M9" i="22" a="1"/>
  <c r="K4" i="22" a="1"/>
  <c r="M7" i="19" a="1"/>
  <c r="N7" i="19" a="1"/>
  <c r="L10" i="21" a="1"/>
  <c r="I10" i="21" a="1"/>
  <c r="L4" i="19" a="1"/>
  <c r="M10" i="21" a="1"/>
  <c r="O8" i="20" a="1"/>
  <c r="J8" i="19" a="1"/>
  <c r="K10" i="19" a="1"/>
  <c r="I7" i="20" a="1"/>
  <c r="G10" i="21" a="1"/>
  <c r="J10" i="19" a="1"/>
  <c r="L10" i="19" a="1"/>
  <c r="L11" i="22" a="1"/>
  <c r="E8" i="21" a="1"/>
  <c r="M11" i="19" a="1"/>
  <c r="O4" i="20" a="1"/>
  <c r="H5" i="19" a="1"/>
  <c r="O5" i="19" a="1"/>
  <c r="O10" i="20" a="1"/>
  <c r="O8" i="19" a="1"/>
  <c r="J11" i="19" a="1"/>
  <c r="H8" i="19" a="1"/>
  <c r="H11" i="19" a="1"/>
  <c r="L5" i="19" a="1"/>
  <c r="O10" i="19" a="1"/>
  <c r="O7" i="19" a="1"/>
  <c r="E1" i="15" a="1"/>
  <c r="E2" i="15" a="1"/>
  <c r="J7" i="21" a="1"/>
  <c r="P11" i="22" a="1"/>
  <c r="O10" i="22" a="1"/>
  <c r="J5" i="21" a="1"/>
  <c r="K7" i="21" a="1"/>
  <c r="O8" i="22" a="1"/>
  <c r="O9" i="22" a="1"/>
  <c r="N5" i="21" a="1"/>
  <c r="E5" i="21" a="1"/>
  <c r="P14" i="22" a="1"/>
  <c r="L5" i="21" a="1"/>
  <c r="F4" i="21" a="1"/>
  <c r="I2" i="18" a="1"/>
  <c r="O7" i="22" a="1"/>
  <c r="A16" i="23"/>
  <c r="M5" i="14" a="1"/>
  <c r="F3" i="22" a="1"/>
  <c r="F10" i="21" a="1"/>
  <c r="I7" i="21" a="1"/>
  <c r="L3" i="22" a="1"/>
  <c r="G8" i="21" a="1"/>
  <c r="L8" i="20" a="1"/>
  <c r="O6" i="22" a="1"/>
  <c r="O3" i="22" a="1"/>
  <c r="P3" i="22" a="1"/>
  <c r="H3" i="22" a="1"/>
  <c r="D1" i="19" a="1"/>
  <c r="F2" i="15" a="1"/>
  <c r="F1" i="15" a="1"/>
  <c r="O8" i="21" a="1"/>
  <c r="C10" i="21" a="1"/>
  <c r="J8" i="21" a="1"/>
  <c r="E4" i="21" a="1"/>
  <c r="P9" i="22" a="1"/>
  <c r="N12" i="22" a="1"/>
  <c r="O5" i="22" a="1"/>
  <c r="L4" i="20" a="1"/>
  <c r="M12" i="22" a="1"/>
  <c r="E11" i="21" a="1"/>
  <c r="E10" i="21" a="1"/>
  <c r="O14" i="22" a="1"/>
  <c r="I5" i="21" a="1"/>
  <c r="P12" i="22" a="1"/>
  <c r="M5" i="21" a="1"/>
  <c r="G7" i="21" a="1"/>
  <c r="F11" i="19" a="1"/>
  <c r="I3" i="22" a="1"/>
  <c r="D10" i="21" a="1"/>
  <c r="P13" i="22" a="1"/>
  <c r="L7" i="21" a="1"/>
  <c r="L8" i="19" a="1"/>
  <c r="G4" i="21" a="1"/>
  <c r="L7" i="20" a="1"/>
  <c r="D2" i="21" a="1"/>
  <c r="P4" i="22" a="1"/>
  <c r="B3" i="4" a="1"/>
  <c r="F5" i="21" a="1"/>
  <c r="I8" i="10"/>
  <c r="D1" i="15" a="1"/>
  <c r="C2" i="15" a="1"/>
  <c r="O7" i="21" a="1"/>
  <c r="D7" i="21" a="1"/>
  <c r="K5" i="21" a="1"/>
  <c r="K4" i="21" a="1"/>
  <c r="K8" i="21" a="1"/>
  <c r="H8" i="21" a="1"/>
  <c r="I4" i="21" a="1"/>
  <c r="H5" i="21" a="1"/>
  <c r="L4" i="21" a="1"/>
  <c r="P5" i="22" a="1"/>
  <c r="P8" i="22" a="1"/>
  <c r="D2" i="15" a="1"/>
  <c r="D4" i="21" a="1"/>
  <c r="M7" i="21" a="1"/>
  <c r="F5" i="19" a="1"/>
  <c r="N3" i="22" a="1"/>
  <c r="P7" i="22" a="1"/>
  <c r="L7" i="16" a="1"/>
  <c r="M3" i="22" a="1"/>
  <c r="D5" i="21" a="1"/>
  <c r="B19" i="23" a="1"/>
  <c r="M4" i="21" a="1"/>
  <c r="G3" i="22" a="1"/>
  <c r="C1" i="20" a="1"/>
  <c r="K3" i="22" a="1"/>
  <c r="C1" i="15" a="1"/>
  <c r="C11" i="21" a="1"/>
  <c r="O11" i="22" a="1"/>
  <c r="P10" i="22" a="1"/>
  <c r="J4" i="21" a="1"/>
  <c r="N8" i="21" a="1"/>
  <c r="H7" i="21" a="1"/>
  <c r="H4" i="21" a="1"/>
  <c r="N7" i="21" a="1"/>
  <c r="L8" i="21" a="1"/>
  <c r="I8" i="21" a="1"/>
  <c r="L5" i="20" a="1"/>
  <c r="N4" i="21" a="1"/>
  <c r="O12" i="22" a="1"/>
  <c r="O4" i="22" a="1"/>
  <c r="M8" i="21" a="1"/>
  <c r="A33" i="23"/>
  <c r="I7" i="10"/>
  <c r="F7" i="21" a="1"/>
  <c r="O13" i="22" a="1"/>
  <c r="F10" i="19" a="1"/>
  <c r="L7" i="19" a="1"/>
  <c r="J3" i="22" a="1"/>
  <c r="F11" i="21" a="1"/>
  <c r="L6" i="22" a="1"/>
  <c r="G5" i="21" a="1"/>
  <c r="E6" i="22" a="1"/>
  <c r="P6" i="22" a="1"/>
  <c r="I2" i="17" a="1"/>
  <c r="D11" i="21" a="1"/>
  <c r="H9" i="10"/>
  <c r="C5" i="13"/>
  <c r="C4" i="12"/>
  <c r="B13" i="23"/>
  <c r="B2" i="11"/>
  <c r="C2" i="12"/>
  <c r="B2" i="13"/>
  <c r="B4" i="12"/>
  <c r="B4" i="13"/>
  <c r="B4" i="11"/>
  <c r="B3" i="10"/>
  <c r="C3" i="13"/>
  <c r="C4" i="11"/>
  <c r="E2" i="15"/>
  <c r="B5" i="12"/>
  <c r="C3" i="10"/>
  <c r="B3" i="11"/>
  <c r="C3" i="11"/>
  <c r="B5" i="13"/>
  <c r="B5" i="11"/>
  <c r="C2" i="13"/>
  <c r="B3" i="13"/>
  <c r="E2" i="21"/>
  <c r="H8" i="10"/>
  <c r="H7" i="10"/>
  <c r="E2" i="23"/>
  <c r="C5" i="11"/>
  <c r="B3" i="12"/>
  <c r="C3" i="12"/>
  <c r="C2" i="11"/>
  <c r="B2" i="12"/>
  <c r="C4" i="13"/>
  <c r="D3" i="10"/>
  <c r="C5" i="12"/>
  <c r="D1" i="21" l="1"/>
  <c r="E1" i="21"/>
  <c r="L1" i="18"/>
  <c r="D2" i="16"/>
  <c r="I1" i="17"/>
  <c r="J1" i="15"/>
  <c r="J1" i="18"/>
  <c r="O1" i="20"/>
  <c r="J2" i="14"/>
  <c r="L1" i="20"/>
  <c r="N1" i="15"/>
  <c r="G2" i="16"/>
  <c r="L2" i="16"/>
  <c r="G1" i="17"/>
  <c r="M1" i="21"/>
  <c r="O1" i="21"/>
  <c r="O1" i="19"/>
  <c r="N2" i="14"/>
  <c r="C1" i="18"/>
  <c r="F1" i="18"/>
  <c r="F2" i="16"/>
  <c r="G1" i="16"/>
  <c r="I1" i="19"/>
  <c r="O1" i="15"/>
  <c r="N2" i="18"/>
  <c r="F2" i="14"/>
  <c r="K1" i="18"/>
  <c r="C1" i="21"/>
  <c r="N1" i="20"/>
  <c r="M1" i="18"/>
  <c r="K2" i="16"/>
  <c r="D2" i="18"/>
  <c r="J1" i="16"/>
  <c r="H1" i="16"/>
  <c r="F1" i="21"/>
  <c r="N2" i="17"/>
  <c r="C1" i="16"/>
  <c r="O2" i="16"/>
  <c r="H1" i="20"/>
  <c r="K1" i="16"/>
  <c r="M1" i="17"/>
  <c r="K2" i="17"/>
  <c r="H2" i="16"/>
  <c r="K1" i="21"/>
  <c r="J1" i="21"/>
  <c r="J2" i="16"/>
  <c r="J2" i="18"/>
  <c r="I2" i="16"/>
  <c r="O2" i="18"/>
  <c r="G1" i="15"/>
  <c r="G2" i="14"/>
  <c r="K1" i="19"/>
  <c r="O1" i="18"/>
  <c r="E1" i="18"/>
  <c r="O1" i="17"/>
  <c r="J1" i="20"/>
  <c r="N1" i="17"/>
  <c r="C1" i="17"/>
  <c r="G1" i="21"/>
  <c r="N1" i="19"/>
  <c r="N1" i="16"/>
  <c r="I1" i="16"/>
  <c r="G2" i="18"/>
  <c r="M1" i="16"/>
  <c r="I1" i="15"/>
  <c r="E2" i="14"/>
  <c r="M1" i="20"/>
  <c r="F1" i="17"/>
  <c r="D1" i="16"/>
  <c r="G1" i="18"/>
  <c r="K1" i="15"/>
  <c r="I1" i="18"/>
  <c r="N2" i="16"/>
  <c r="H1" i="18"/>
  <c r="N1" i="21"/>
  <c r="H1" i="19"/>
  <c r="O2" i="17"/>
  <c r="H2" i="14"/>
  <c r="K2" i="14"/>
  <c r="E2" i="16"/>
  <c r="N1" i="18"/>
  <c r="M2" i="18"/>
  <c r="L1" i="17"/>
  <c r="M2" i="16"/>
  <c r="J2" i="17"/>
  <c r="I1" i="20"/>
  <c r="L2" i="14"/>
  <c r="G1" i="20"/>
  <c r="E2" i="18"/>
  <c r="O1" i="16"/>
  <c r="H1" i="17"/>
  <c r="L2" i="18"/>
  <c r="L1" i="16"/>
  <c r="F1" i="16"/>
  <c r="D1" i="18"/>
  <c r="F2" i="18"/>
  <c r="K1" i="17"/>
  <c r="K1" i="20"/>
  <c r="L2" i="17"/>
  <c r="L1" i="21"/>
  <c r="H2" i="18"/>
  <c r="E1" i="17"/>
  <c r="M1" i="19"/>
  <c r="D1" i="17"/>
  <c r="L1" i="15"/>
  <c r="M2" i="14"/>
  <c r="I1" i="21"/>
  <c r="J1" i="19"/>
  <c r="I2" i="14"/>
  <c r="I9" i="10"/>
  <c r="K2" i="18"/>
  <c r="L1" i="19"/>
  <c r="E1" i="16"/>
  <c r="M2" i="17"/>
  <c r="H1" i="21"/>
  <c r="G1" i="19"/>
  <c r="J1" i="17"/>
  <c r="M1" i="15"/>
  <c r="H1" i="15"/>
  <c r="I2" i="17"/>
  <c r="F1" i="20"/>
  <c r="G2" i="21"/>
  <c r="L2" i="21"/>
  <c r="D2" i="21"/>
  <c r="I2" i="21"/>
  <c r="O2" i="21"/>
  <c r="D1" i="15"/>
  <c r="C2" i="17"/>
  <c r="K2" i="21"/>
  <c r="E4" i="23"/>
  <c r="C2" i="21"/>
  <c r="E3" i="23"/>
  <c r="F2" i="21"/>
  <c r="F1" i="15"/>
  <c r="C1" i="15"/>
  <c r="M2" i="21"/>
  <c r="H2" i="15"/>
  <c r="N2" i="21"/>
  <c r="J2" i="21"/>
  <c r="H2" i="21"/>
  <c r="E1" i="15"/>
  <c r="E5" i="23"/>
  <c r="I2" i="18" l="1"/>
  <c r="D1" i="19"/>
  <c r="K2" i="15"/>
  <c r="L8" i="20"/>
  <c r="L8" i="19"/>
  <c r="K2" i="20"/>
  <c r="K2" i="19"/>
  <c r="E2" i="19"/>
  <c r="L4" i="22"/>
  <c r="F2" i="15"/>
  <c r="E2" i="20"/>
  <c r="H2" i="20"/>
  <c r="D5" i="19"/>
  <c r="F8" i="19"/>
  <c r="H2" i="19"/>
  <c r="D2" i="20" l="1"/>
  <c r="L2" i="19"/>
  <c r="L2" i="20"/>
  <c r="D2" i="19"/>
  <c r="L2" i="15"/>
  <c r="O2" i="19"/>
  <c r="C1" i="20"/>
  <c r="I2" i="19"/>
  <c r="I2" i="15"/>
  <c r="O2" i="20"/>
  <c r="I2" i="20"/>
  <c r="O2" i="15"/>
  <c r="D1" i="20"/>
  <c r="E1" i="20"/>
  <c r="J2" i="19" l="1"/>
  <c r="M2" i="15"/>
  <c r="G2" i="15"/>
  <c r="B19" i="23"/>
  <c r="D11" i="20"/>
  <c r="J5" i="14"/>
  <c r="E3" i="10"/>
  <c r="K4" i="15"/>
  <c r="I8" i="20"/>
  <c r="E4" i="14"/>
  <c r="G5" i="16"/>
  <c r="C5" i="22"/>
  <c r="D12" i="22"/>
  <c r="E2" i="5"/>
  <c r="H3" i="10"/>
  <c r="C4" i="19"/>
  <c r="D7" i="22"/>
  <c r="F4" i="15"/>
  <c r="E10" i="20"/>
  <c r="H8" i="20"/>
  <c r="E6" i="10"/>
  <c r="E5" i="14"/>
  <c r="D5" i="20"/>
  <c r="H11" i="20"/>
  <c r="D14" i="22"/>
  <c r="C13" i="22"/>
  <c r="D9" i="22"/>
  <c r="G5" i="14"/>
  <c r="C5" i="19"/>
  <c r="N2" i="20"/>
  <c r="F5" i="14"/>
  <c r="L7" i="19"/>
  <c r="H5" i="15"/>
  <c r="C14" i="22"/>
  <c r="D6" i="22"/>
  <c r="K5" i="22"/>
  <c r="D8" i="22"/>
  <c r="B8" i="23"/>
  <c r="O5" i="14"/>
  <c r="L7" i="20"/>
  <c r="N4" i="14"/>
  <c r="J4" i="15"/>
  <c r="G7" i="19"/>
  <c r="H5" i="20"/>
  <c r="L5" i="15"/>
  <c r="C12" i="22"/>
  <c r="M8" i="22"/>
  <c r="M4" i="15"/>
  <c r="E4" i="19"/>
  <c r="E2" i="6"/>
  <c r="C5" i="17"/>
  <c r="D4" i="15"/>
  <c r="C4" i="15"/>
  <c r="K4" i="17"/>
  <c r="H4" i="17"/>
  <c r="M4" i="17"/>
  <c r="D4" i="17"/>
  <c r="E4" i="17"/>
  <c r="C3" i="23"/>
  <c r="F6" i="10"/>
  <c r="C19" i="23"/>
  <c r="F8" i="10"/>
  <c r="C14" i="23"/>
  <c r="C10" i="23"/>
  <c r="G5" i="10"/>
  <c r="C2" i="23"/>
  <c r="C15" i="23"/>
  <c r="I4" i="17"/>
  <c r="D16" i="23"/>
  <c r="G3" i="10"/>
  <c r="J19" i="23"/>
  <c r="O5" i="17"/>
  <c r="H5" i="19"/>
  <c r="K25" i="23"/>
  <c r="K10" i="14"/>
  <c r="M26" i="23"/>
  <c r="E10" i="23"/>
  <c r="G7" i="22"/>
  <c r="B24" i="23"/>
  <c r="M6" i="22"/>
  <c r="H5" i="8"/>
  <c r="H10" i="22"/>
  <c r="D3" i="23"/>
  <c r="L11" i="21"/>
  <c r="C5" i="21"/>
  <c r="E4" i="8"/>
  <c r="K8" i="20"/>
  <c r="D14" i="23"/>
  <c r="F4" i="8"/>
  <c r="G10" i="22"/>
  <c r="M33" i="23"/>
  <c r="I11" i="19"/>
  <c r="K7" i="17"/>
  <c r="B29" i="23"/>
  <c r="J7" i="20"/>
  <c r="G11" i="21"/>
  <c r="J13" i="22"/>
  <c r="O10" i="14"/>
  <c r="C22" i="23"/>
  <c r="I7" i="16"/>
  <c r="D39" i="23"/>
  <c r="G7" i="17"/>
  <c r="K10" i="16"/>
  <c r="M22" i="23"/>
  <c r="G33" i="23"/>
  <c r="O11" i="18"/>
  <c r="B2" i="7"/>
  <c r="O12" i="22"/>
  <c r="L8" i="21"/>
  <c r="B2" i="6"/>
  <c r="D8" i="10"/>
  <c r="B4" i="10"/>
  <c r="C8" i="16"/>
  <c r="N11" i="19"/>
  <c r="K23" i="23"/>
  <c r="C10" i="15"/>
  <c r="N10" i="22"/>
  <c r="C10" i="14"/>
  <c r="C23" i="23"/>
  <c r="C4" i="8"/>
  <c r="G24" i="23"/>
  <c r="J29" i="23"/>
  <c r="F10" i="15"/>
  <c r="M11" i="15"/>
  <c r="I5" i="22"/>
  <c r="C20" i="23"/>
  <c r="E28" i="23"/>
  <c r="G2" i="19"/>
  <c r="M2" i="19"/>
  <c r="D2" i="15"/>
  <c r="C2" i="15"/>
  <c r="K11" i="20"/>
  <c r="E4" i="10"/>
  <c r="C3" i="4"/>
  <c r="C7" i="22"/>
  <c r="F7" i="19"/>
  <c r="E8" i="20"/>
  <c r="C6" i="22"/>
  <c r="E3" i="5"/>
  <c r="K4" i="14"/>
  <c r="M8" i="20"/>
  <c r="C4" i="20"/>
  <c r="N4" i="22"/>
  <c r="N2" i="19"/>
  <c r="E8" i="10"/>
  <c r="D7" i="19"/>
  <c r="L4" i="14"/>
  <c r="H6" i="10"/>
  <c r="C10" i="22"/>
  <c r="C2" i="20"/>
  <c r="C5" i="20"/>
  <c r="J5" i="15"/>
  <c r="D15" i="22"/>
  <c r="I4" i="15"/>
  <c r="M5" i="22"/>
  <c r="C4" i="22"/>
  <c r="H5" i="10"/>
  <c r="H4" i="14"/>
  <c r="M13" i="22"/>
  <c r="B15" i="23"/>
  <c r="N2" i="15"/>
  <c r="F5" i="15"/>
  <c r="M11" i="20"/>
  <c r="L6" i="22"/>
  <c r="O4" i="15"/>
  <c r="K10" i="20"/>
  <c r="C2" i="16"/>
  <c r="H4" i="20"/>
  <c r="E5" i="19"/>
  <c r="N4" i="15"/>
  <c r="N11" i="22"/>
  <c r="I7" i="19"/>
  <c r="D5" i="15"/>
  <c r="K4" i="20"/>
  <c r="N4" i="19"/>
  <c r="O8" i="20"/>
  <c r="C4" i="17"/>
  <c r="E3" i="6"/>
  <c r="D4" i="14"/>
  <c r="C4" i="14"/>
  <c r="D5" i="17"/>
  <c r="H11" i="22"/>
  <c r="G11" i="22"/>
  <c r="G13" i="22"/>
  <c r="C6" i="23"/>
  <c r="C4" i="23"/>
  <c r="F5" i="10"/>
  <c r="F9" i="10"/>
  <c r="D19" i="23"/>
  <c r="L4" i="17"/>
  <c r="H19" i="23"/>
  <c r="I19" i="23"/>
  <c r="L5" i="17"/>
  <c r="F3" i="10"/>
  <c r="D10" i="23"/>
  <c r="F7" i="10"/>
  <c r="D7" i="10"/>
  <c r="K19" i="23"/>
  <c r="I5" i="17"/>
  <c r="N10" i="14"/>
  <c r="O11" i="22"/>
  <c r="O37" i="23"/>
  <c r="N4" i="18"/>
  <c r="L26" i="23"/>
  <c r="J10" i="14"/>
  <c r="H25" i="23"/>
  <c r="N8" i="20"/>
  <c r="M10" i="16"/>
  <c r="B8" i="10"/>
  <c r="C32" i="23"/>
  <c r="I28" i="23"/>
  <c r="B3" i="7"/>
  <c r="E16" i="23"/>
  <c r="H15" i="22"/>
  <c r="G25" i="23"/>
  <c r="E7" i="19"/>
  <c r="D13" i="23"/>
  <c r="H10" i="19"/>
  <c r="I5" i="16"/>
  <c r="I10" i="22"/>
  <c r="G5" i="19"/>
  <c r="D23" i="23"/>
  <c r="D5" i="18"/>
  <c r="O4" i="16"/>
  <c r="G30" i="23"/>
  <c r="G8" i="19"/>
  <c r="J22" i="23"/>
  <c r="G5" i="8"/>
  <c r="F8" i="17"/>
  <c r="E13" i="22"/>
  <c r="N7" i="18"/>
  <c r="N4" i="16"/>
  <c r="J8" i="20"/>
  <c r="F10" i="21"/>
  <c r="L20" i="23"/>
  <c r="H33" i="23"/>
  <c r="J32" i="23"/>
  <c r="E8" i="23"/>
  <c r="K3" i="22"/>
  <c r="B2" i="5"/>
  <c r="D4" i="10"/>
  <c r="M8" i="18"/>
  <c r="M37" i="23"/>
  <c r="G8" i="21"/>
  <c r="I10" i="19"/>
  <c r="F36" i="23"/>
  <c r="D5" i="21"/>
  <c r="F7" i="17"/>
  <c r="N8" i="21"/>
  <c r="B36" i="23"/>
  <c r="M5" i="19"/>
  <c r="E10" i="17"/>
  <c r="K20" i="23"/>
  <c r="C21" i="23"/>
  <c r="M2" i="20"/>
  <c r="G2" i="20"/>
  <c r="B3" i="4"/>
  <c r="F2" i="19"/>
  <c r="O4" i="14"/>
  <c r="D4" i="20"/>
  <c r="B9" i="23"/>
  <c r="H10" i="20"/>
  <c r="C15" i="22"/>
  <c r="E3" i="4"/>
  <c r="E5" i="10"/>
  <c r="D13" i="22"/>
  <c r="G5" i="15"/>
  <c r="H5" i="14"/>
  <c r="C2" i="14"/>
  <c r="C11" i="22"/>
  <c r="B5" i="23"/>
  <c r="I4" i="14"/>
  <c r="C2" i="18"/>
  <c r="C11" i="20"/>
  <c r="F4" i="14"/>
  <c r="B7" i="23"/>
  <c r="D10" i="20"/>
  <c r="B11" i="23"/>
  <c r="I5" i="14"/>
  <c r="D10" i="22"/>
  <c r="C8" i="20"/>
  <c r="C8" i="22"/>
  <c r="E9" i="10"/>
  <c r="B2" i="23"/>
  <c r="C2" i="19"/>
  <c r="B12" i="23"/>
  <c r="H4" i="15"/>
  <c r="F4" i="16"/>
  <c r="F7" i="20"/>
  <c r="N5" i="14"/>
  <c r="E5" i="15"/>
  <c r="K5" i="14"/>
  <c r="L14" i="22"/>
  <c r="G4" i="16"/>
  <c r="C9" i="22"/>
  <c r="M10" i="20"/>
  <c r="N13" i="22"/>
  <c r="L5" i="14"/>
  <c r="O3" i="22"/>
  <c r="J4" i="14"/>
  <c r="C8" i="19"/>
  <c r="C3" i="6"/>
  <c r="G4" i="15"/>
  <c r="C5" i="15"/>
  <c r="C5" i="14"/>
  <c r="H13" i="22"/>
  <c r="E4" i="16"/>
  <c r="H5" i="17"/>
  <c r="M5" i="17"/>
  <c r="C8" i="23"/>
  <c r="C7" i="23"/>
  <c r="C9" i="23"/>
  <c r="C13" i="23"/>
  <c r="D2" i="23"/>
  <c r="M19" i="23"/>
  <c r="C16" i="23"/>
  <c r="D11" i="23"/>
  <c r="D4" i="23"/>
  <c r="E19" i="23"/>
  <c r="L19" i="23"/>
  <c r="O4" i="17"/>
  <c r="C11" i="23"/>
  <c r="B2" i="4"/>
  <c r="B9" i="10"/>
  <c r="N20" i="23"/>
  <c r="D4" i="21"/>
  <c r="G4" i="10"/>
  <c r="N5" i="20"/>
  <c r="F5" i="17"/>
  <c r="M9" i="22"/>
  <c r="E3" i="7"/>
  <c r="L5" i="19"/>
  <c r="C4" i="21"/>
  <c r="H7" i="17"/>
  <c r="O39" i="23"/>
  <c r="H5" i="16"/>
  <c r="L23" i="23"/>
  <c r="D15" i="23"/>
  <c r="H23" i="23"/>
  <c r="O7" i="20"/>
  <c r="J4" i="20"/>
  <c r="I7" i="22"/>
  <c r="G11" i="19"/>
  <c r="G4" i="8"/>
  <c r="I7" i="20"/>
  <c r="H28" i="23"/>
  <c r="D32" i="23"/>
  <c r="O8" i="16"/>
  <c r="D8" i="18"/>
  <c r="F2" i="8"/>
  <c r="D26" i="23"/>
  <c r="K11" i="18"/>
  <c r="C7" i="17"/>
  <c r="O5" i="19"/>
  <c r="D10" i="15"/>
  <c r="L11" i="19"/>
  <c r="G4" i="19"/>
  <c r="J26" i="23"/>
  <c r="P11" i="22"/>
  <c r="H8" i="21"/>
  <c r="E2" i="7"/>
  <c r="G23" i="23"/>
  <c r="K4" i="16"/>
  <c r="L28" i="23"/>
  <c r="N10" i="19"/>
  <c r="K11" i="15"/>
  <c r="J7" i="17"/>
  <c r="I22" i="23"/>
  <c r="C2" i="5"/>
  <c r="G14" i="22"/>
  <c r="K5" i="18"/>
  <c r="K26" i="23"/>
  <c r="J4" i="18"/>
  <c r="B23" i="23"/>
  <c r="K13" i="22"/>
  <c r="D10" i="14"/>
  <c r="L33" i="23"/>
  <c r="E15" i="23"/>
  <c r="N11" i="17"/>
  <c r="L8" i="17"/>
  <c r="J2" i="15"/>
  <c r="D4" i="22"/>
  <c r="E5" i="16"/>
  <c r="E4" i="15"/>
  <c r="M4" i="20"/>
  <c r="N5" i="22"/>
  <c r="B6" i="23"/>
  <c r="E7" i="10"/>
  <c r="K7" i="20"/>
  <c r="F5" i="19"/>
  <c r="I5" i="15"/>
  <c r="D5" i="14"/>
  <c r="H8" i="22"/>
  <c r="F4" i="10"/>
  <c r="F19" i="23"/>
  <c r="G9" i="10"/>
  <c r="N19" i="23"/>
  <c r="G3" i="22"/>
  <c r="L11" i="16"/>
  <c r="G11" i="16"/>
  <c r="L24" i="23"/>
  <c r="H7" i="20"/>
  <c r="E10" i="18"/>
  <c r="E7" i="22"/>
  <c r="H4" i="21"/>
  <c r="M25" i="23"/>
  <c r="O4" i="18"/>
  <c r="J25" i="23"/>
  <c r="D8" i="21"/>
  <c r="D11" i="16"/>
  <c r="J5" i="18"/>
  <c r="E7" i="20"/>
  <c r="J37" i="23"/>
  <c r="E3" i="22"/>
  <c r="O13" i="22"/>
  <c r="G12" i="22"/>
  <c r="M10" i="19"/>
  <c r="E27" i="23"/>
  <c r="L5" i="16"/>
  <c r="I10" i="15"/>
  <c r="B32" i="23"/>
  <c r="K5" i="21"/>
  <c r="N8" i="16"/>
  <c r="I24" i="23"/>
  <c r="O8" i="22"/>
  <c r="B3" i="5"/>
  <c r="D6" i="10"/>
  <c r="J5" i="20"/>
  <c r="K9" i="22"/>
  <c r="G10" i="16"/>
  <c r="C37" i="23"/>
  <c r="L4" i="18"/>
  <c r="F6" i="22"/>
  <c r="G7" i="16"/>
  <c r="J8" i="19"/>
  <c r="F13" i="22"/>
  <c r="G32" i="23"/>
  <c r="I4" i="21"/>
  <c r="J8" i="22"/>
  <c r="E11" i="16"/>
  <c r="P37" i="23"/>
  <c r="J10" i="17"/>
  <c r="H11" i="18"/>
  <c r="M7" i="22"/>
  <c r="M10" i="22"/>
  <c r="J4" i="22"/>
  <c r="J10" i="20"/>
  <c r="D38" i="23"/>
  <c r="C5" i="18"/>
  <c r="K8" i="16"/>
  <c r="F21" i="23"/>
  <c r="C3" i="8"/>
  <c r="O8" i="17"/>
  <c r="K11" i="19"/>
  <c r="L32" i="23"/>
  <c r="N32" i="23"/>
  <c r="N21" i="23"/>
  <c r="C11" i="21"/>
  <c r="O5" i="21"/>
  <c r="N8" i="17"/>
  <c r="I7" i="18"/>
  <c r="M38" i="23"/>
  <c r="O14" i="22"/>
  <c r="F11" i="18"/>
  <c r="J11" i="22"/>
  <c r="M11" i="17"/>
  <c r="K39" i="23"/>
  <c r="D5" i="8"/>
  <c r="P9" i="22"/>
  <c r="H39" i="23"/>
  <c r="G39" i="23"/>
  <c r="K12" i="22"/>
  <c r="F4" i="22"/>
  <c r="G4" i="17"/>
  <c r="L7" i="16"/>
  <c r="N8" i="18"/>
  <c r="I11" i="18"/>
  <c r="E11" i="22"/>
  <c r="N36" i="23"/>
  <c r="P12" i="22"/>
  <c r="K32" i="23"/>
  <c r="C2" i="8"/>
  <c r="H27" i="23"/>
  <c r="J30" i="23"/>
  <c r="M10" i="14"/>
  <c r="E6" i="22"/>
  <c r="M5" i="16"/>
  <c r="K15" i="22"/>
  <c r="L7" i="21"/>
  <c r="G5" i="20"/>
  <c r="D11" i="15"/>
  <c r="I10" i="17"/>
  <c r="H11" i="14"/>
  <c r="O7" i="18"/>
  <c r="K10" i="17"/>
  <c r="D29" i="23"/>
  <c r="H7" i="22"/>
  <c r="L5" i="20"/>
  <c r="P6" i="22"/>
  <c r="G10" i="17"/>
  <c r="D11" i="17"/>
  <c r="G28" i="23"/>
  <c r="J2" i="20"/>
  <c r="F2" i="20"/>
  <c r="F5" i="16"/>
  <c r="M4" i="22"/>
  <c r="D8" i="19"/>
  <c r="E5" i="20"/>
  <c r="E4" i="20"/>
  <c r="H4" i="10"/>
  <c r="K5" i="20"/>
  <c r="N5" i="19"/>
  <c r="N8" i="22"/>
  <c r="L4" i="15"/>
  <c r="E2" i="4"/>
  <c r="G8" i="22"/>
  <c r="C3" i="22"/>
  <c r="E12" i="23"/>
  <c r="D3" i="22"/>
  <c r="C2" i="7"/>
  <c r="K11" i="21"/>
  <c r="N4" i="21"/>
  <c r="K7" i="22"/>
  <c r="H8" i="18"/>
  <c r="F10" i="19"/>
  <c r="I4" i="19"/>
  <c r="I5" i="21"/>
  <c r="M23" i="23"/>
  <c r="D30" i="23"/>
  <c r="M7" i="19"/>
  <c r="F9" i="22"/>
  <c r="P4" i="22"/>
  <c r="N25" i="23"/>
  <c r="L8" i="22"/>
  <c r="K7" i="21"/>
  <c r="H22" i="23"/>
  <c r="O7" i="22"/>
  <c r="J11" i="14"/>
  <c r="B21" i="23"/>
  <c r="N11" i="20"/>
  <c r="J7" i="22"/>
  <c r="K24" i="23"/>
  <c r="F5" i="18"/>
  <c r="I26" i="23"/>
  <c r="L4" i="16"/>
  <c r="G22" i="23"/>
  <c r="D5" i="10"/>
  <c r="F20" i="23"/>
  <c r="H8" i="19"/>
  <c r="F10" i="20"/>
  <c r="L5" i="18"/>
  <c r="C5" i="16"/>
  <c r="E6" i="23"/>
  <c r="P38" i="23"/>
  <c r="K11" i="17"/>
  <c r="L37" i="23"/>
  <c r="N7" i="21"/>
  <c r="K5" i="19"/>
  <c r="J11" i="21"/>
  <c r="G27" i="23"/>
  <c r="O8" i="18"/>
  <c r="N12" i="22"/>
  <c r="F4" i="19"/>
  <c r="D36" i="23"/>
  <c r="O5" i="20"/>
  <c r="M11" i="21"/>
  <c r="M4" i="18"/>
  <c r="N4" i="17"/>
  <c r="D8" i="23"/>
  <c r="I3" i="22"/>
  <c r="F10" i="14"/>
  <c r="F11" i="16"/>
  <c r="F30" i="23"/>
  <c r="N26" i="23"/>
  <c r="K11" i="16"/>
  <c r="O11" i="14"/>
  <c r="N14" i="22"/>
  <c r="F8" i="16"/>
  <c r="H3" i="8"/>
  <c r="D10" i="17"/>
  <c r="N5" i="18"/>
  <c r="D33" i="23"/>
  <c r="M32" i="23"/>
  <c r="J4" i="21"/>
  <c r="C8" i="10"/>
  <c r="B6" i="10"/>
  <c r="H9" i="22"/>
  <c r="E20" i="23"/>
  <c r="H21" i="23"/>
  <c r="E30" i="23"/>
  <c r="B31" i="23"/>
  <c r="C11" i="18"/>
  <c r="N7" i="16"/>
  <c r="C7" i="21"/>
  <c r="D7" i="16"/>
  <c r="I14" i="22"/>
  <c r="H5" i="18"/>
  <c r="I4" i="16"/>
  <c r="H12" i="22"/>
  <c r="C3" i="7"/>
  <c r="L36" i="23"/>
  <c r="N7" i="17"/>
  <c r="E8" i="19"/>
  <c r="I15" i="22"/>
  <c r="O5" i="22"/>
  <c r="H37" i="23"/>
  <c r="O10" i="18"/>
  <c r="F29" i="23"/>
  <c r="I5" i="8"/>
  <c r="J38" i="23"/>
  <c r="G7" i="21"/>
  <c r="K8" i="17"/>
  <c r="G9" i="22"/>
  <c r="I10" i="14"/>
  <c r="I8" i="19"/>
  <c r="E5" i="18"/>
  <c r="E36" i="23"/>
  <c r="I9" i="22"/>
  <c r="K10" i="15"/>
  <c r="I8" i="21"/>
  <c r="N27" i="23"/>
  <c r="K7" i="16"/>
  <c r="L10" i="19"/>
  <c r="L10" i="14"/>
  <c r="H6" i="22"/>
  <c r="B14" i="23"/>
  <c r="B3" i="23"/>
  <c r="N3" i="22"/>
  <c r="B16" i="23"/>
  <c r="O5" i="15"/>
  <c r="D8" i="20"/>
  <c r="B4" i="23"/>
  <c r="D11" i="22"/>
  <c r="B10" i="23"/>
  <c r="L5" i="22"/>
  <c r="M11" i="22"/>
  <c r="K14" i="22"/>
  <c r="D5" i="22"/>
  <c r="C2" i="4"/>
  <c r="E5" i="17"/>
  <c r="G7" i="10"/>
  <c r="D12" i="23"/>
  <c r="D9" i="10"/>
  <c r="D4" i="16"/>
  <c r="N7" i="22"/>
  <c r="I11" i="20"/>
  <c r="C10" i="19"/>
  <c r="E7" i="17"/>
  <c r="M20" i="23"/>
  <c r="M12" i="22"/>
  <c r="G10" i="20"/>
  <c r="F3" i="22"/>
  <c r="O10" i="21"/>
  <c r="D10" i="18"/>
  <c r="N5" i="17"/>
  <c r="G6" i="10"/>
  <c r="F4" i="18"/>
  <c r="L4" i="20"/>
  <c r="B28" i="23"/>
  <c r="G4" i="20"/>
  <c r="G15" i="22"/>
  <c r="O11" i="15"/>
  <c r="G4" i="21"/>
  <c r="I2" i="8"/>
  <c r="M24" i="23"/>
  <c r="H10" i="14"/>
  <c r="K27" i="23"/>
  <c r="J3" i="22"/>
  <c r="J11" i="15"/>
  <c r="G11" i="20"/>
  <c r="N23" i="23"/>
  <c r="I10" i="20"/>
  <c r="I11" i="15"/>
  <c r="J4" i="17"/>
  <c r="D4" i="19"/>
  <c r="J11" i="20"/>
  <c r="E10" i="14"/>
  <c r="G31" i="23"/>
  <c r="L27" i="23"/>
  <c r="L10" i="21"/>
  <c r="E10" i="15"/>
  <c r="F26" i="23"/>
  <c r="J31" i="23"/>
  <c r="F10" i="17"/>
  <c r="K10" i="18"/>
  <c r="I7" i="21"/>
  <c r="D11" i="19"/>
  <c r="N28" i="23"/>
  <c r="E11" i="18"/>
  <c r="E11" i="15"/>
  <c r="B5" i="10"/>
  <c r="O7" i="16"/>
  <c r="G5" i="18"/>
  <c r="C4" i="18"/>
  <c r="D5" i="16"/>
  <c r="N22" i="23"/>
  <c r="F7" i="21"/>
  <c r="J8" i="17"/>
  <c r="D7" i="21"/>
  <c r="J12" i="22"/>
  <c r="I11" i="22"/>
  <c r="M10" i="17"/>
  <c r="P8" i="22"/>
  <c r="L7" i="22"/>
  <c r="H8" i="17"/>
  <c r="H11" i="21"/>
  <c r="O11" i="20"/>
  <c r="M11" i="16"/>
  <c r="G6" i="22"/>
  <c r="G10" i="15"/>
  <c r="C8" i="18"/>
  <c r="N38" i="23"/>
  <c r="D4" i="8"/>
  <c r="H8" i="16"/>
  <c r="D7" i="20"/>
  <c r="H10" i="18"/>
  <c r="F11" i="14"/>
  <c r="I20" i="23"/>
  <c r="F7" i="16"/>
  <c r="P10" i="22"/>
  <c r="N10" i="21"/>
  <c r="I5" i="18"/>
  <c r="D31" i="23"/>
  <c r="B33" i="23"/>
  <c r="I38" i="23"/>
  <c r="K7" i="19"/>
  <c r="I5" i="20"/>
  <c r="L15" i="22"/>
  <c r="F11" i="19"/>
  <c r="L8" i="16"/>
  <c r="I29" i="23"/>
  <c r="F11" i="20"/>
  <c r="D6" i="23"/>
  <c r="D28" i="23"/>
  <c r="M4" i="19"/>
  <c r="C33" i="23"/>
  <c r="H36" i="23"/>
  <c r="B30" i="23"/>
  <c r="D7" i="23"/>
  <c r="C3" i="5"/>
  <c r="I4" i="18"/>
  <c r="N10" i="16"/>
  <c r="H29" i="23"/>
  <c r="I8" i="18"/>
  <c r="E3" i="8"/>
  <c r="E13" i="23"/>
  <c r="K10" i="21"/>
  <c r="M4" i="16"/>
  <c r="B5" i="8"/>
  <c r="B4" i="8"/>
  <c r="B20" i="23"/>
  <c r="L11" i="20"/>
  <c r="M4" i="14"/>
  <c r="C10" i="20"/>
  <c r="C5" i="23"/>
  <c r="J5" i="17"/>
  <c r="L10" i="22"/>
  <c r="L25" i="23"/>
  <c r="K7" i="18"/>
  <c r="F24" i="23"/>
  <c r="M11" i="14"/>
  <c r="M8" i="19"/>
  <c r="G11" i="15"/>
  <c r="H26" i="23"/>
  <c r="N5" i="16"/>
  <c r="F5" i="21"/>
  <c r="E38" i="23"/>
  <c r="G37" i="23"/>
  <c r="I31" i="23"/>
  <c r="E29" i="23"/>
  <c r="I5" i="19"/>
  <c r="F4" i="20"/>
  <c r="F10" i="16"/>
  <c r="J10" i="21"/>
  <c r="L7" i="18"/>
  <c r="B26" i="23"/>
  <c r="N11" i="14"/>
  <c r="J8" i="16"/>
  <c r="F8" i="20"/>
  <c r="K4" i="22"/>
  <c r="L31" i="23"/>
  <c r="C4" i="10"/>
  <c r="O36" i="23"/>
  <c r="E7" i="18"/>
  <c r="H4" i="22"/>
  <c r="K4" i="18"/>
  <c r="E9" i="23"/>
  <c r="L4" i="19"/>
  <c r="H31" i="23"/>
  <c r="M8" i="21"/>
  <c r="B3" i="8"/>
  <c r="L11" i="18"/>
  <c r="I8" i="17"/>
  <c r="N11" i="21"/>
  <c r="M27" i="23"/>
  <c r="H7" i="16"/>
  <c r="J4" i="19"/>
  <c r="E37" i="23"/>
  <c r="H3" i="22"/>
  <c r="N11" i="16"/>
  <c r="E4" i="18"/>
  <c r="D10" i="21"/>
  <c r="J36" i="23"/>
  <c r="G5" i="22"/>
  <c r="J7" i="21"/>
  <c r="E26" i="23"/>
  <c r="N11" i="15"/>
  <c r="N8" i="19"/>
  <c r="C7" i="16"/>
  <c r="J11" i="18"/>
  <c r="D37" i="23"/>
  <c r="M11" i="18"/>
  <c r="E7" i="23"/>
  <c r="F4" i="21"/>
  <c r="P14" i="22"/>
  <c r="L12" i="22"/>
  <c r="J14" i="22"/>
  <c r="G4" i="22"/>
  <c r="M7" i="18"/>
  <c r="G2" i="8"/>
  <c r="I8" i="22"/>
  <c r="C11" i="19"/>
  <c r="D11" i="18"/>
  <c r="J21" i="23"/>
  <c r="M7" i="16"/>
  <c r="P36" i="23"/>
  <c r="H30" i="23"/>
  <c r="J5" i="22"/>
  <c r="F12" i="22"/>
  <c r="D8" i="17"/>
  <c r="L8" i="18"/>
  <c r="M5" i="21"/>
  <c r="K4" i="21"/>
  <c r="I4" i="22"/>
  <c r="G10" i="14"/>
  <c r="M7" i="21"/>
  <c r="J10" i="16"/>
  <c r="C10" i="17"/>
  <c r="M15" i="22"/>
  <c r="J39" i="23"/>
  <c r="K5" i="16"/>
  <c r="H5" i="22"/>
  <c r="C24" i="23"/>
  <c r="J24" i="23"/>
  <c r="G5" i="17"/>
  <c r="E7" i="21"/>
  <c r="C26" i="23"/>
  <c r="B7" i="10"/>
  <c r="J33" i="23"/>
  <c r="B37" i="23"/>
  <c r="E10" i="21"/>
  <c r="G8" i="20"/>
  <c r="F10" i="22"/>
  <c r="O11" i="21"/>
  <c r="I8" i="16"/>
  <c r="M4" i="21"/>
  <c r="K37" i="23"/>
  <c r="H11" i="15"/>
  <c r="F28" i="23"/>
  <c r="E12" i="22"/>
  <c r="L11" i="17"/>
  <c r="F27" i="23"/>
  <c r="O6" i="22"/>
  <c r="E4" i="22"/>
  <c r="J28" i="23"/>
  <c r="G7" i="20"/>
  <c r="N9" i="22"/>
  <c r="F25" i="23"/>
  <c r="C10" i="16"/>
  <c r="K22" i="23"/>
  <c r="G11" i="18"/>
  <c r="K10" i="19"/>
  <c r="O8" i="19"/>
  <c r="J6" i="22"/>
  <c r="J7" i="16"/>
  <c r="K4" i="19"/>
  <c r="J11" i="19"/>
  <c r="D10" i="16"/>
  <c r="E11" i="17"/>
  <c r="K5" i="15"/>
  <c r="M5" i="15"/>
  <c r="M5" i="20"/>
  <c r="C12" i="23"/>
  <c r="C4" i="16"/>
  <c r="F8" i="18"/>
  <c r="J23" i="23"/>
  <c r="C10" i="21"/>
  <c r="N31" i="23"/>
  <c r="D11" i="14"/>
  <c r="K38" i="23"/>
  <c r="M7" i="20"/>
  <c r="O10" i="15"/>
  <c r="L10" i="16"/>
  <c r="N10" i="20"/>
  <c r="E15" i="22"/>
  <c r="I3" i="8"/>
  <c r="J20" i="23"/>
  <c r="F10" i="18"/>
  <c r="F11" i="15"/>
  <c r="E10" i="19"/>
  <c r="I13" i="22"/>
  <c r="I11" i="21"/>
  <c r="H24" i="23"/>
  <c r="B22" i="23"/>
  <c r="N11" i="18"/>
  <c r="I4" i="20"/>
  <c r="C7" i="20"/>
  <c r="F8" i="22"/>
  <c r="E39" i="23"/>
  <c r="M30" i="23"/>
  <c r="I6" i="22"/>
  <c r="N30" i="23"/>
  <c r="J5" i="16"/>
  <c r="L3" i="22"/>
  <c r="L10" i="15"/>
  <c r="F37" i="23"/>
  <c r="O9" i="22"/>
  <c r="D22" i="23"/>
  <c r="I21" i="23"/>
  <c r="P13" i="22"/>
  <c r="J11" i="16"/>
  <c r="I27" i="23"/>
  <c r="E5" i="8"/>
  <c r="N37" i="23"/>
  <c r="N15" i="22"/>
  <c r="J10" i="15"/>
  <c r="H11" i="16"/>
  <c r="H4" i="16"/>
  <c r="I10" i="21"/>
  <c r="F3" i="8"/>
  <c r="E14" i="22"/>
  <c r="M36" i="23"/>
  <c r="E7" i="16"/>
  <c r="G29" i="23"/>
  <c r="M39" i="23"/>
  <c r="N6" i="22"/>
  <c r="F11" i="17"/>
  <c r="K8" i="22"/>
  <c r="O38" i="23"/>
  <c r="L30" i="23"/>
  <c r="J5" i="21"/>
  <c r="O8" i="21"/>
  <c r="M10" i="18"/>
  <c r="C29" i="23"/>
  <c r="M29" i="23"/>
  <c r="L10" i="18"/>
  <c r="O11" i="17"/>
  <c r="D20" i="23"/>
  <c r="K10" i="22"/>
  <c r="O4" i="21"/>
  <c r="H11" i="19"/>
  <c r="M8" i="16"/>
  <c r="F7" i="18"/>
  <c r="D7" i="18"/>
  <c r="M31" i="23"/>
  <c r="J4" i="16"/>
  <c r="D10" i="19"/>
  <c r="E22" i="23"/>
  <c r="O10" i="17"/>
  <c r="M7" i="17"/>
  <c r="G38" i="23"/>
  <c r="L22" i="23"/>
  <c r="G26" i="23"/>
  <c r="P5" i="22"/>
  <c r="I10" i="16"/>
  <c r="B38" i="23"/>
  <c r="O7" i="21"/>
  <c r="I36" i="23"/>
  <c r="P39" i="23"/>
  <c r="I37" i="23"/>
  <c r="L29" i="23"/>
  <c r="P7" i="22"/>
  <c r="E10" i="22"/>
  <c r="E14" i="23"/>
  <c r="L10" i="17"/>
  <c r="K29" i="23"/>
  <c r="L39" i="23"/>
  <c r="I11" i="14"/>
  <c r="L38" i="23"/>
  <c r="D21" i="23"/>
  <c r="I11" i="17"/>
  <c r="E8" i="16"/>
  <c r="G36" i="23"/>
  <c r="F22" i="23"/>
  <c r="O10" i="19"/>
  <c r="H4" i="19"/>
  <c r="F14" i="22"/>
  <c r="M10" i="21"/>
  <c r="N7" i="20"/>
  <c r="K11" i="22"/>
  <c r="K31" i="23"/>
  <c r="C28" i="23"/>
  <c r="D5" i="23"/>
  <c r="K30" i="23"/>
  <c r="E23" i="23"/>
  <c r="D7" i="17"/>
  <c r="M28" i="23"/>
  <c r="E9" i="22"/>
  <c r="F32" i="23"/>
  <c r="G10" i="21"/>
  <c r="N29" i="23"/>
  <c r="G4" i="14"/>
  <c r="H7" i="19"/>
  <c r="C2" i="6"/>
  <c r="G8" i="10"/>
  <c r="G11" i="17"/>
  <c r="C11" i="15"/>
  <c r="D9" i="23"/>
  <c r="I33" i="23"/>
  <c r="M5" i="18"/>
  <c r="J27" i="23"/>
  <c r="I25" i="23"/>
  <c r="D11" i="21"/>
  <c r="E31" i="23"/>
  <c r="L7" i="17"/>
  <c r="C6" i="10"/>
  <c r="F8" i="21"/>
  <c r="J10" i="22"/>
  <c r="I7" i="17"/>
  <c r="I4" i="8"/>
  <c r="L9" i="22"/>
  <c r="B27" i="23"/>
  <c r="G10" i="19"/>
  <c r="C7" i="19"/>
  <c r="F39" i="23"/>
  <c r="J8" i="21"/>
  <c r="E11" i="20"/>
  <c r="B25" i="23"/>
  <c r="H14" i="22"/>
  <c r="H5" i="21"/>
  <c r="K21" i="23"/>
  <c r="B2" i="8"/>
  <c r="O4" i="20"/>
  <c r="M8" i="17"/>
  <c r="G4" i="18"/>
  <c r="O7" i="17"/>
  <c r="E11" i="14"/>
  <c r="I11" i="16"/>
  <c r="L13" i="22"/>
  <c r="F11" i="21"/>
  <c r="E8" i="18"/>
  <c r="C5" i="8"/>
  <c r="O10" i="20"/>
  <c r="L5" i="21"/>
  <c r="F38" i="23"/>
  <c r="H10" i="16"/>
  <c r="E25" i="23"/>
  <c r="E5" i="21"/>
  <c r="I10" i="18"/>
  <c r="H10" i="15"/>
  <c r="K6" i="22"/>
  <c r="L21" i="23"/>
  <c r="M10" i="15"/>
  <c r="G20" i="23"/>
  <c r="N5" i="21"/>
  <c r="P15" i="22"/>
  <c r="M11" i="19"/>
  <c r="F33" i="23"/>
  <c r="E33" i="23"/>
  <c r="F4" i="17"/>
  <c r="N10" i="15"/>
  <c r="D2" i="8"/>
  <c r="O4" i="22"/>
  <c r="G8" i="16"/>
  <c r="J11" i="17"/>
  <c r="F15" i="22"/>
  <c r="O5" i="18"/>
  <c r="K11" i="14"/>
  <c r="O11" i="19"/>
  <c r="N10" i="17"/>
  <c r="C5" i="10"/>
  <c r="L11" i="22"/>
  <c r="F11" i="22"/>
  <c r="H4" i="18"/>
  <c r="F5" i="20"/>
  <c r="F23" i="23"/>
  <c r="H11" i="17"/>
  <c r="O15" i="22"/>
  <c r="C8" i="17"/>
  <c r="N7" i="19"/>
  <c r="H20" i="23"/>
  <c r="N4" i="20"/>
  <c r="L10" i="20"/>
  <c r="I32" i="23"/>
  <c r="L11" i="14"/>
  <c r="F7" i="22"/>
  <c r="J7" i="18"/>
  <c r="E24" i="23"/>
  <c r="H7" i="21"/>
  <c r="J8" i="18"/>
  <c r="C9" i="10"/>
  <c r="C10" i="18"/>
  <c r="M5" i="14"/>
  <c r="E4" i="21"/>
  <c r="J9" i="22"/>
  <c r="K8" i="19"/>
  <c r="K33" i="23"/>
  <c r="N5" i="15"/>
  <c r="K5" i="17"/>
  <c r="G19" i="23"/>
  <c r="C38" i="23"/>
  <c r="D3" i="8"/>
  <c r="F5" i="8"/>
  <c r="L11" i="15"/>
  <c r="E8" i="17"/>
  <c r="K8" i="18"/>
  <c r="N39" i="23"/>
  <c r="C30" i="23"/>
  <c r="D4" i="18"/>
  <c r="H10" i="21"/>
  <c r="E32" i="23"/>
  <c r="G7" i="18"/>
  <c r="G3" i="8"/>
  <c r="B39" i="23"/>
  <c r="E21" i="23"/>
  <c r="E2" i="8"/>
  <c r="F5" i="22"/>
  <c r="G10" i="18"/>
  <c r="K36" i="23"/>
  <c r="E8" i="21"/>
  <c r="J10" i="19"/>
  <c r="F31" i="23"/>
  <c r="O4" i="19"/>
  <c r="N10" i="18"/>
  <c r="G21" i="23"/>
  <c r="K28" i="23"/>
  <c r="H4" i="8"/>
  <c r="G5" i="21"/>
  <c r="H7" i="18"/>
  <c r="J10" i="18"/>
  <c r="E11" i="21"/>
  <c r="C39" i="23"/>
  <c r="O10" i="16"/>
  <c r="C25" i="23"/>
  <c r="G8" i="17"/>
  <c r="C36" i="23"/>
  <c r="C7" i="18"/>
  <c r="E10" i="16"/>
  <c r="G11" i="14"/>
  <c r="C11" i="16"/>
  <c r="E8" i="22"/>
  <c r="N24" i="23"/>
  <c r="J7" i="19"/>
  <c r="I30" i="23"/>
  <c r="H2" i="8"/>
  <c r="J15" i="22"/>
  <c r="D25" i="23"/>
  <c r="L4" i="21"/>
  <c r="H10" i="17"/>
  <c r="O11" i="16"/>
  <c r="M14" i="22"/>
  <c r="B3" i="6"/>
  <c r="J5" i="19"/>
  <c r="I39" i="23"/>
  <c r="C31" i="23"/>
  <c r="H38" i="23"/>
  <c r="C8" i="21"/>
  <c r="O10" i="22"/>
  <c r="D24" i="23"/>
  <c r="H32" i="23"/>
  <c r="N33" i="23"/>
  <c r="E5" i="22"/>
  <c r="E11" i="23"/>
  <c r="M21" i="23"/>
  <c r="C11" i="17"/>
  <c r="O5" i="16"/>
  <c r="G8" i="18"/>
  <c r="I23" i="23"/>
  <c r="C11" i="14"/>
  <c r="C7" i="10"/>
  <c r="D27" i="23"/>
  <c r="I12" i="22"/>
  <c r="M3" i="22"/>
  <c r="P3" i="22"/>
  <c r="C27" i="23"/>
  <c r="K8" i="21"/>
  <c r="E11" i="19"/>
  <c r="D8" i="16"/>
  <c r="O7" i="19"/>
  <c r="D3" i="6" l="1"/>
  <c r="F3" i="6"/>
  <c r="F3" i="5"/>
  <c r="D3" i="5"/>
  <c r="I7" i="14"/>
  <c r="M7" i="15"/>
  <c r="G7" i="14"/>
  <c r="O7" i="14"/>
  <c r="J7" i="15"/>
  <c r="F2" i="4"/>
  <c r="C7" i="15" s="1"/>
  <c r="G7" i="15"/>
  <c r="E7" i="14"/>
  <c r="F7" i="15"/>
  <c r="H7" i="15"/>
  <c r="N7" i="15"/>
  <c r="L7" i="15"/>
  <c r="L7" i="14"/>
  <c r="E7" i="15"/>
  <c r="O7" i="15"/>
  <c r="K7" i="15"/>
  <c r="K7" i="14"/>
  <c r="I7" i="15"/>
  <c r="M7" i="14"/>
  <c r="F7" i="14"/>
  <c r="D7" i="14"/>
  <c r="H7" i="14"/>
  <c r="J7" i="14"/>
  <c r="D7" i="15"/>
  <c r="N7" i="14"/>
  <c r="D2" i="4"/>
  <c r="C7" i="14" s="1"/>
  <c r="N8" i="15"/>
  <c r="K8" i="15"/>
  <c r="M8" i="15"/>
  <c r="H8" i="15"/>
  <c r="I8" i="14"/>
  <c r="F3" i="4"/>
  <c r="C8" i="15" s="1"/>
  <c r="M8" i="14"/>
  <c r="K8" i="14"/>
  <c r="J8" i="14"/>
  <c r="O8" i="15"/>
  <c r="E8" i="14"/>
  <c r="L8" i="14"/>
  <c r="D8" i="15"/>
  <c r="J8" i="15"/>
  <c r="H8" i="14"/>
  <c r="D8" i="14"/>
  <c r="I8" i="15"/>
  <c r="F8" i="15"/>
  <c r="N8" i="14"/>
  <c r="G8" i="14"/>
  <c r="E8" i="15"/>
  <c r="O8" i="14"/>
  <c r="L8" i="15"/>
  <c r="D3" i="4"/>
  <c r="C8" i="14" s="1"/>
  <c r="F8" i="14"/>
  <c r="G8" i="15"/>
  <c r="F2" i="5"/>
  <c r="D2" i="5"/>
  <c r="D3" i="7"/>
  <c r="F3" i="7"/>
  <c r="F2" i="6"/>
  <c r="D2" i="6"/>
  <c r="D2" i="7"/>
  <c r="F2" i="7"/>
</calcChain>
</file>

<file path=xl/sharedStrings.xml><?xml version="1.0" encoding="utf-8"?>
<sst xmlns="http://schemas.openxmlformats.org/spreadsheetml/2006/main" count="247" uniqueCount="62">
  <si>
    <t>ASK</t>
  </si>
  <si>
    <t>BID</t>
  </si>
  <si>
    <t>Annualised Premium %</t>
  </si>
  <si>
    <t>Outright Rate</t>
  </si>
  <si>
    <t>Forward Premium</t>
  </si>
  <si>
    <t>End Date</t>
  </si>
  <si>
    <t>Description</t>
  </si>
  <si>
    <t>USDJPY</t>
  </si>
  <si>
    <t>GBPUSD</t>
  </si>
  <si>
    <t>EURUSD</t>
  </si>
  <si>
    <t>JPYINR</t>
  </si>
  <si>
    <t>GBPINR</t>
  </si>
  <si>
    <t>EURINR</t>
  </si>
  <si>
    <t>USDINR</t>
  </si>
  <si>
    <t>Currency</t>
  </si>
  <si>
    <t>52 Week Low</t>
  </si>
  <si>
    <t>52 Week High</t>
  </si>
  <si>
    <t>Prv. Close</t>
  </si>
  <si>
    <t>Low</t>
  </si>
  <si>
    <t>High</t>
  </si>
  <si>
    <t>Open</t>
  </si>
  <si>
    <t>% Change</t>
  </si>
  <si>
    <t>JPY</t>
  </si>
  <si>
    <t>GBP</t>
  </si>
  <si>
    <t>Ask</t>
  </si>
  <si>
    <t>EUR</t>
  </si>
  <si>
    <t>Bid</t>
  </si>
  <si>
    <t>USD</t>
  </si>
  <si>
    <t>Tom Rate</t>
  </si>
  <si>
    <t>Tom</t>
  </si>
  <si>
    <t>Cash Rate</t>
  </si>
  <si>
    <t>Cash</t>
  </si>
  <si>
    <t>Spot</t>
  </si>
  <si>
    <t>12M</t>
  </si>
  <si>
    <t>6M</t>
  </si>
  <si>
    <t>3M</t>
  </si>
  <si>
    <t>1M</t>
  </si>
  <si>
    <t>2M</t>
  </si>
  <si>
    <t>4M</t>
  </si>
  <si>
    <t>5M</t>
  </si>
  <si>
    <t>9M</t>
  </si>
  <si>
    <t>Currency Pair</t>
  </si>
  <si>
    <t>SPOT</t>
  </si>
  <si>
    <t>7M</t>
  </si>
  <si>
    <t>8M</t>
  </si>
  <si>
    <t>10M</t>
  </si>
  <si>
    <t>11M</t>
  </si>
  <si>
    <t>BID (Export)</t>
  </si>
  <si>
    <t>ASK (Import)</t>
  </si>
  <si>
    <t>BID
(Export)</t>
  </si>
  <si>
    <t>ASK
(Import)</t>
  </si>
  <si>
    <t>Bid (Export)</t>
  </si>
  <si>
    <t>Ask (Import)</t>
  </si>
  <si>
    <t>Days</t>
  </si>
  <si>
    <t>Close</t>
  </si>
  <si>
    <t>Spot Rate</t>
  </si>
  <si>
    <t>O/N</t>
  </si>
  <si>
    <t>1W</t>
  </si>
  <si>
    <t>2W</t>
  </si>
  <si>
    <t>TABLE FOR HISTORICAL SPOT</t>
  </si>
  <si>
    <t>TABLE FOR HISTORICAL FORWARD</t>
  </si>
  <si>
    <t>TABLE FOR HISTORICAL 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</si>
</sst>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dd\-mmm\-yyyy"/>
    <numFmt numFmtId="167" formatCode="mmm\-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Calibri"/>
      <family val="2"/>
    </font>
    <font>
      <sz val="8"/>
      <color indexed="8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indexed="8"/>
      <name val="Calibri"/>
      <family val="2"/>
    </font>
    <font>
      <b/>
      <sz val="8"/>
      <color rgb="FF00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7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/>
    </xf>
    <xf numFmtId="164" fontId="0" fillId="0" borderId="0" xfId="0" applyNumberFormat="1" applyBorder="1"/>
    <xf numFmtId="164" fontId="0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Border="1" applyAlignment="1">
      <alignment horizontal="right" vertical="center"/>
    </xf>
    <xf numFmtId="2" fontId="0" fillId="0" borderId="0" xfId="0" applyNumberFormat="1" applyBorder="1" applyAlignment="1">
      <alignment horizontal="right" vertical="center"/>
    </xf>
    <xf numFmtId="165" fontId="0" fillId="0" borderId="0" xfId="0" applyNumberFormat="1" applyBorder="1" applyAlignment="1">
      <alignment horizontal="right" vertical="center"/>
    </xf>
    <xf numFmtId="165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164" fontId="0" fillId="0" borderId="9" xfId="0" applyNumberFormat="1" applyFon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/>
    <xf numFmtId="0" fontId="1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2" fillId="0" borderId="7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2" fontId="8" fillId="0" borderId="0" xfId="0" applyNumberFormat="1" applyFont="1" applyFill="1" applyBorder="1" applyAlignment="1" applyProtection="1">
      <alignment horizontal="center" vertical="center"/>
    </xf>
    <xf numFmtId="2" fontId="7" fillId="0" borderId="4" xfId="0" applyNumberFormat="1" applyFont="1" applyFill="1" applyBorder="1" applyAlignment="1" applyProtection="1">
      <alignment horizontal="center" vertical="center"/>
    </xf>
    <xf numFmtId="164" fontId="7" fillId="0" borderId="4" xfId="0" applyNumberFormat="1" applyFont="1" applyFill="1" applyBorder="1" applyAlignment="1" applyProtection="1">
      <alignment horizontal="center"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0" borderId="1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7" fillId="0" borderId="6" xfId="0" applyNumberFormat="1" applyFont="1" applyFill="1" applyBorder="1" applyAlignment="1" applyProtection="1">
      <alignment horizontal="center" vertical="center"/>
    </xf>
    <xf numFmtId="166" fontId="7" fillId="0" borderId="4" xfId="0" applyNumberFormat="1" applyFont="1" applyFill="1" applyBorder="1" applyAlignment="1" applyProtection="1">
      <alignment horizontal="center" vertical="center"/>
    </xf>
    <xf numFmtId="167" fontId="7" fillId="0" borderId="7" xfId="0" applyNumberFormat="1" applyFont="1" applyFill="1" applyBorder="1" applyAlignment="1" applyProtection="1">
      <alignment horizontal="center" vertical="center"/>
    </xf>
    <xf numFmtId="167" fontId="7" fillId="0" borderId="6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1" fillId="0" borderId="26" xfId="1" applyFont="1" applyBorder="1" applyAlignment="1">
      <alignment horizontal="center" vertical="center"/>
    </xf>
    <xf numFmtId="0" fontId="0" fillId="0" borderId="0" xfId="0"/>
    <xf numFmtId="2" fontId="7" fillId="0" borderId="27" xfId="0" applyNumberFormat="1" applyFont="1" applyFill="1" applyBorder="1" applyAlignment="1" applyProtection="1">
      <alignment horizontal="center" vertical="center"/>
    </xf>
    <xf numFmtId="0" fontId="1" fillId="0" borderId="28" xfId="1" applyFont="1" applyBorder="1" applyAlignment="1">
      <alignment horizontal="center" vertical="center"/>
    </xf>
    <xf numFmtId="2" fontId="7" fillId="0" borderId="29" xfId="0" applyNumberFormat="1" applyFont="1" applyFill="1" applyBorder="1" applyAlignment="1" applyProtection="1">
      <alignment horizontal="center" vertical="center"/>
    </xf>
    <xf numFmtId="2" fontId="7" fillId="0" borderId="30" xfId="0" applyNumberFormat="1" applyFont="1" applyFill="1" applyBorder="1" applyAlignment="1" applyProtection="1">
      <alignment horizontal="center" vertical="center"/>
    </xf>
    <xf numFmtId="0" fontId="1" fillId="0" borderId="31" xfId="1" applyFont="1" applyBorder="1" applyAlignment="1">
      <alignment horizontal="center" vertical="center"/>
    </xf>
    <xf numFmtId="164" fontId="7" fillId="0" borderId="17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164" fontId="7" fillId="0" borderId="32" xfId="0" applyNumberFormat="1" applyFont="1" applyFill="1" applyBorder="1" applyAlignment="1" applyProtection="1">
      <alignment horizontal="center" vertical="center"/>
    </xf>
    <xf numFmtId="2" fontId="7" fillId="0" borderId="3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34" xfId="0" applyNumberFormat="1" applyFont="1" applyFill="1" applyBorder="1" applyAlignment="1" applyProtection="1">
      <alignment horizontal="center" vertical="center"/>
    </xf>
    <xf numFmtId="2" fontId="7" fillId="0" borderId="14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11" xfId="0" applyNumberFormat="1" applyFont="1" applyFill="1" applyBorder="1" applyAlignment="1" applyProtection="1">
      <alignment horizontal="center" vertical="center"/>
    </xf>
    <xf numFmtId="2" fontId="7" fillId="0" borderId="35" xfId="0" applyNumberFormat="1" applyFont="1" applyFill="1" applyBorder="1" applyAlignment="1" applyProtection="1">
      <alignment horizontal="center" vertical="center"/>
    </xf>
    <xf numFmtId="2" fontId="7" fillId="0" borderId="36" xfId="0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164" fontId="10" fillId="0" borderId="40" xfId="0" applyNumberFormat="1" applyFont="1" applyFill="1" applyBorder="1" applyAlignment="1" applyProtection="1">
      <alignment horizontal="center" vertical="center"/>
    </xf>
    <xf numFmtId="2" fontId="10" fillId="0" borderId="40" xfId="0" applyNumberFormat="1" applyFont="1" applyFill="1" applyBorder="1" applyAlignment="1" applyProtection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2" fillId="0" borderId="0" xfId="0" applyFont="1"/>
    <xf numFmtId="0" fontId="13" fillId="0" borderId="25" xfId="0" applyFont="1" applyBorder="1" applyAlignment="1">
      <alignment horizontal="center" vertical="center"/>
    </xf>
    <xf numFmtId="164" fontId="12" fillId="0" borderId="29" xfId="0" applyNumberFormat="1" applyFont="1" applyBorder="1" applyAlignment="1">
      <alignment horizontal="center" vertical="center"/>
    </xf>
    <xf numFmtId="164" fontId="12" fillId="0" borderId="41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12" fillId="0" borderId="40" xfId="0" applyNumberFormat="1" applyFont="1" applyBorder="1" applyAlignment="1">
      <alignment horizontal="center" vertical="center"/>
    </xf>
    <xf numFmtId="164" fontId="12" fillId="0" borderId="34" xfId="0" applyNumberFormat="1" applyFont="1" applyBorder="1" applyAlignment="1">
      <alignment horizontal="center" vertical="center"/>
    </xf>
    <xf numFmtId="2" fontId="12" fillId="0" borderId="40" xfId="0" applyNumberFormat="1" applyFont="1" applyBorder="1" applyAlignment="1">
      <alignment horizontal="center" vertical="center"/>
    </xf>
    <xf numFmtId="2" fontId="12" fillId="0" borderId="34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4" fillId="2" borderId="29" xfId="0" applyNumberFormat="1" applyFont="1" applyFill="1" applyBorder="1" applyAlignment="1" applyProtection="1">
      <alignment horizontal="center" vertical="center"/>
    </xf>
    <xf numFmtId="0" fontId="14" fillId="2" borderId="29" xfId="0" applyNumberFormat="1" applyFont="1" applyFill="1" applyBorder="1" applyAlignment="1" applyProtection="1">
      <alignment horizontal="center" vertical="center"/>
    </xf>
    <xf numFmtId="164" fontId="15" fillId="2" borderId="29" xfId="0" applyNumberFormat="1" applyFont="1" applyFill="1" applyBorder="1" applyAlignment="1">
      <alignment horizontal="center" vertical="center"/>
    </xf>
    <xf numFmtId="164" fontId="15" fillId="2" borderId="41" xfId="0" applyNumberFormat="1" applyFont="1" applyFill="1" applyBorder="1" applyAlignment="1">
      <alignment horizontal="center" vertical="center"/>
    </xf>
    <xf numFmtId="0" fontId="14" fillId="2" borderId="40" xfId="0" applyNumberFormat="1" applyFont="1" applyFill="1" applyBorder="1" applyAlignment="1" applyProtection="1">
      <alignment horizontal="center" vertical="center"/>
    </xf>
    <xf numFmtId="164" fontId="14" fillId="2" borderId="40" xfId="0" applyNumberFormat="1" applyFont="1" applyFill="1" applyBorder="1" applyAlignment="1" applyProtection="1">
      <alignment horizontal="center" vertical="center"/>
    </xf>
    <xf numFmtId="164" fontId="14" fillId="2" borderId="34" xfId="0" applyNumberFormat="1" applyFont="1" applyFill="1" applyBorder="1" applyAlignment="1" applyProtection="1">
      <alignment horizontal="center" vertical="center"/>
    </xf>
    <xf numFmtId="2" fontId="14" fillId="2" borderId="40" xfId="0" applyNumberFormat="1" applyFont="1" applyFill="1" applyBorder="1" applyAlignment="1" applyProtection="1">
      <alignment horizontal="center" vertical="center"/>
    </xf>
    <xf numFmtId="2" fontId="14" fillId="2" borderId="34" xfId="0" applyNumberFormat="1" applyFont="1" applyFill="1" applyBorder="1" applyAlignment="1" applyProtection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5" fontId="12" fillId="0" borderId="43" xfId="0" applyNumberFormat="1" applyFont="1" applyBorder="1" applyAlignment="1">
      <alignment horizontal="center" vertical="center"/>
    </xf>
    <xf numFmtId="165" fontId="12" fillId="0" borderId="29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1" xfId="0" applyNumberFormat="1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0" xfId="0" applyNumberFormat="1" applyFont="1" applyBorder="1" applyAlignment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35" xfId="0" applyNumberFormat="1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36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49" fontId="3" fillId="0" borderId="47" xfId="0" applyNumberFormat="1" applyFont="1" applyBorder="1" applyAlignment="1">
      <alignment horizontal="center" vertical="center"/>
    </xf>
    <xf numFmtId="49" fontId="3" fillId="0" borderId="48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1" fillId="0" borderId="19" xfId="1" applyFont="1" applyBorder="1" applyAlignment="1">
      <alignment horizontal="center" vertical="center" wrapText="1"/>
    </xf>
    <xf numFmtId="0" fontId="1" fillId="0" borderId="18" xfId="1" applyFont="1" applyBorder="1" applyAlignment="1">
      <alignment horizontal="center" vertical="center" wrapText="1"/>
    </xf>
    <xf numFmtId="0" fontId="1" fillId="0" borderId="20" xfId="1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</cellXfs>
  <cellStyles count="2">
    <cellStyle name="Normal" xfId="0" builtinId="0"/>
    <cellStyle name="Normal 4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ickerplantrtdserver">
      <tp t="s">
        <v>TN</v>
        <stp/>
        <stp>FWRC1#GBPUSD#Month Wise Rates#0#S#Desc.2</stp>
        <tr r="C1" s="20"/>
      </tp>
      <tp t="s">
        <v>1M</v>
        <stp/>
        <stp>FWRC1#GBPUSD#Month Wise Rates#0#S#Desc.7</stp>
        <tr r="D1" s="20"/>
      </tp>
      <tp t="s">
        <v>2M</v>
        <stp/>
        <stp>FWRC1#GBPUSD#Month Wise Rates#0#S#Desc.8</stp>
        <tr r="E1" s="20"/>
      </tp>
      <tp t="s">
        <v>3M</v>
        <stp/>
        <stp>FWRC1#GBPUSD#Month Wise Rates#0#S#Desc.9</stp>
        <tr r="F1" s="20"/>
      </tp>
      <tp t="s">
        <v>1M</v>
        <stp/>
        <stp>FWRC1#EURUSD#Month Wise Rates#0#S#Desc.7</stp>
        <tr r="D1" s="19"/>
      </tp>
      <tp t="s">
        <v>TN</v>
        <stp/>
        <stp>FWRC1#EURUSD#Month Wise Rates#0#S#Desc.2</stp>
        <tr r="C1" s="19"/>
      </tp>
      <tp t="s">
        <v>3M</v>
        <stp/>
        <stp>FWRC1#EURUSD#Month Wise Rates#0#S#Desc.9</stp>
        <tr r="F1" s="19"/>
      </tp>
      <tp t="s">
        <v>2M</v>
        <stp/>
        <stp>FWRC1#EURUSD#Month Wise Rates#0#S#Desc.8</stp>
        <tr r="E1" s="19"/>
      </tp>
      <tp>
        <v>0.71</v>
        <stp/>
        <stp>12#2#1#6069#SUSDJPY#%Chg</stp>
        <tr r="D9" s="10"/>
      </tp>
      <tp>
        <v>137.333</v>
        <stp/>
        <stp>12#2#1#6069#SUSDJPY#LTP</stp>
        <tr r="E12" s="23"/>
      </tp>
      <tp>
        <v>136.26499999999999</v>
        <stp/>
        <stp>12#2#1#6069#SUSDJPY#Low</stp>
        <tr r="D12" s="23"/>
        <tr r="G9" s="10"/>
      </tp>
      <tp t="s">
        <v>USDJPY</v>
        <stp/>
        <stp>12#2#1#6069#SUSDJPY#S#Descr.</stp>
        <tr r="A29" s="23"/>
        <tr r="A12" s="23"/>
      </tp>
      <tp>
        <v>137.333</v>
        <stp/>
        <stp>12#2#1#6069#SUSDJPY#Bid</stp>
        <tr r="B9" s="10"/>
      </tp>
      <tp>
        <v>1.26799</v>
        <stp/>
        <stp>12#2#1#6031#SGBPUSD#52WkHigh</stp>
        <tr r="I8" s="10"/>
      </tp>
      <tp t="s">
        <v>20-Jun-2023</v>
        <stp/>
        <stp>FWRC1#USDJPY#Month Wise Rates#0#S#PillarDate7</stp>
        <tr r="D2" s="21"/>
      </tp>
      <tp t="s">
        <v>19-May-2023</v>
        <stp/>
        <stp>FWRC1#USDJPY#Month Wise Rates#0#S#PillarDate2</stp>
        <tr r="C2" s="21"/>
      </tp>
      <tp t="s">
        <v>19-Jul-2023</v>
        <stp/>
        <stp>FWRC1#USDJPY#Month Wise Rates#0#S#PillarDate8</stp>
        <tr r="E2" s="21"/>
      </tp>
      <tp t="s">
        <v>21-Aug-2023</v>
        <stp/>
        <stp>FWRC1#USDJPY#Month Wise Rates#0#S#PillarDate9</stp>
        <tr r="F2" s="21"/>
      </tp>
      <tp>
        <v>137.345</v>
        <stp/>
        <stp>12#2#1#6069#SUSDJPY#Ask</stp>
        <tr r="C9" s="10"/>
      </tp>
      <tp t="s">
        <v>31-Oct-2023</v>
        <stp/>
        <stp>FWRC1#JPYINR#Month End Rates#0#S#PillarDate9</stp>
        <tr r="I2" s="18"/>
      </tp>
      <tp t="s">
        <v>29-Sep-2023</v>
        <stp/>
        <stp>FWRC1#JPYINR#Month End Rates#0#S#PillarDate8</stp>
        <tr r="H2" s="18"/>
      </tp>
      <tp t="s">
        <v>19-May-2023</v>
        <stp/>
        <stp>FWRC1#JPYINR#Month End Rates#0#S#PillarDate2</stp>
        <tr r="C2" s="18"/>
      </tp>
      <tp t="s">
        <v>31-Aug-2023</v>
        <stp/>
        <stp>FWRC1#JPYINR#Month End Rates#0#S#PillarDate7</stp>
        <tr r="G2" s="18"/>
      </tp>
      <tp t="s">
        <v>31-Jul-2023</v>
        <stp/>
        <stp>FWRC1#JPYINR#Month End Rates#0#S#PillarDate6</stp>
        <tr r="F2" s="18"/>
      </tp>
      <tp t="s">
        <v>30-Jun-2023</v>
        <stp/>
        <stp>FWRC1#JPYINR#Month End Rates#0#S#PillarDate5</stp>
        <tr r="E2" s="18"/>
      </tp>
      <tp t="s">
        <v>31-May-2023</v>
        <stp/>
        <stp>FWRC1#JPYINR#Month End Rates#0#S#PillarDate4</stp>
        <tr r="D2" s="18"/>
      </tp>
      <tp t="s">
        <v>31-Oct-2023</v>
        <stp/>
        <stp>FWRC1#GBPINR#Month End Rates#0#S#PillarDate9</stp>
        <tr r="I2" s="17"/>
      </tp>
      <tp t="s">
        <v>29-Sep-2023</v>
        <stp/>
        <stp>FWRC1#GBPINR#Month End Rates#0#S#PillarDate8</stp>
        <tr r="H2" s="17"/>
      </tp>
      <tp t="s">
        <v>19-May-2023</v>
        <stp/>
        <stp>FWRC1#GBPINR#Month End Rates#0#S#PillarDate2</stp>
        <tr r="C2" s="17"/>
      </tp>
      <tp t="s">
        <v>30-Jun-2023</v>
        <stp/>
        <stp>FWRC1#GBPINR#Month End Rates#0#S#PillarDate5</stp>
        <tr r="E2" s="17"/>
      </tp>
      <tp t="s">
        <v>31-May-2023</v>
        <stp/>
        <stp>FWRC1#GBPINR#Month End Rates#0#S#PillarDate4</stp>
        <tr r="D2" s="17"/>
      </tp>
      <tp t="s">
        <v>31-Aug-2023</v>
        <stp/>
        <stp>FWRC1#GBPINR#Month End Rates#0#S#PillarDate7</stp>
        <tr r="G2" s="17"/>
      </tp>
      <tp t="s">
        <v>31-Jul-2023</v>
        <stp/>
        <stp>FWRC1#GBPINR#Month End Rates#0#S#PillarDate6</stp>
        <tr r="F2" s="17"/>
      </tp>
      <tp>
        <v>1.10955</v>
        <stp/>
        <stp>12#2#1#5949#SEURUSD#52WkHigh</stp>
        <tr r="I7" s="10"/>
      </tp>
      <tp>
        <v>1.3495900000000001</v>
        <stp/>
        <stp>12#2#1#6069#SUSDCAD#LTP</stp>
        <tr r="E14" s="23"/>
      </tp>
      <tp>
        <v>0.89973999999999998</v>
        <stp/>
        <stp>12#2#1#6069#SUSDCHF#LTP</stp>
        <tr r="E13" s="23"/>
      </tp>
      <tp>
        <v>0.89427000000000001</v>
        <stp/>
        <stp>12#2#1#6069#SUSDCHF#Low</stp>
        <tr r="D13" s="23"/>
      </tp>
      <tp>
        <v>1.3438000000000001</v>
        <stp/>
        <stp>12#2#1#6069#SUSDCAD#Low</stp>
        <tr r="D14" s="23"/>
      </tp>
      <tp>
        <v>0.66490000000000005</v>
        <stp/>
        <stp>12#2#1#5903#SAUDUSD#LTP</stp>
        <tr r="E15" s="23"/>
      </tp>
      <tp>
        <v>1.08226</v>
        <stp/>
        <stp>12#2#1#5949#SEURUSD#LTP</stp>
        <tr r="E10" s="23"/>
      </tp>
      <tp>
        <v>0.66241000000000005</v>
        <stp/>
        <stp>12#2#1#5903#SAUDUSD#Low</stp>
        <tr r="D15" s="23"/>
      </tp>
      <tp>
        <v>1.08083</v>
        <stp/>
        <stp>12#2#1#5949#SEURUSD#Low</stp>
        <tr r="G7" s="10"/>
        <tr r="D10" s="23"/>
      </tp>
      <tp>
        <v>-0.16</v>
        <stp/>
        <stp>12#2#1#6031#SGBPUSD#%Chg</stp>
        <tr r="D8" s="10"/>
      </tp>
      <tp>
        <v>102.485</v>
        <stp/>
        <stp>17#3#1#6031#GBPINRCOMP#LTP</stp>
        <tr r="E4" s="23"/>
      </tp>
      <tp>
        <v>91.594999999999999</v>
        <stp/>
        <stp>17#3#1#6056#CHFINRCOMP#LTP</stp>
        <tr r="E6" s="23"/>
      </tp>
      <tp>
        <v>61.34</v>
        <stp/>
        <stp>17#3#1#6041#SGDINRCOMP#LTP</stp>
        <tr r="E9" s="23"/>
      </tp>
      <tp>
        <v>61.274999999999999</v>
        <stp/>
        <stp>17#3#1#6041#SGDINRCOMP#Low</stp>
        <tr r="D9" s="23"/>
      </tp>
      <tp t="s">
        <v>USDSGD</v>
        <stp/>
        <stp>12#2#1#6069#SUSDSGD#S#Descr.</stp>
        <tr r="A33" s="23"/>
        <tr r="A16" s="23"/>
      </tp>
      <tp>
        <v>102.3575</v>
        <stp/>
        <stp>17#3#1#6031#GBPINRCOMP#Low</stp>
        <tr r="D4" s="23"/>
        <tr r="G5" s="10"/>
      </tp>
      <tp>
        <v>91.457499999999996</v>
        <stp/>
        <stp>17#3#1#6056#CHFINRCOMP#Low</stp>
        <tr r="D6" s="23"/>
      </tp>
      <tp>
        <v>60.1875</v>
        <stp/>
        <stp>17#3#1#5978#JPYINRCOMP#LTP</stp>
        <tr r="E5" s="23"/>
      </tp>
      <tp>
        <v>89.197500000000005</v>
        <stp/>
        <stp>17#3#1#5949#EURINRCOMP#LTP</stp>
        <tr r="E3" s="23"/>
      </tp>
      <tp>
        <v>54.782499999999999</v>
        <stp/>
        <stp>17#3#1#5903#AUDINRCOMP#LTP</stp>
        <tr r="E8" s="23"/>
      </tp>
      <tp>
        <v>61.042499999999997</v>
        <stp/>
        <stp>17#3#1#5921#CADINRCOMP#LTP</stp>
        <tr r="E7" s="23"/>
      </tp>
      <tp>
        <v>89.174999999999997</v>
        <stp/>
        <stp>17#3#1#5949#EURINRCOMP#Low</stp>
        <tr r="G4" s="10"/>
        <tr r="D3" s="23"/>
      </tp>
      <tp>
        <v>60.865000000000002</v>
        <stp/>
        <stp>17#3#1#5921#CADINRCOMP#Low</stp>
        <tr r="D7" s="23"/>
      </tp>
      <tp>
        <v>54.6</v>
        <stp/>
        <stp>17#3#1#5903#AUDINRCOMP#Low</stp>
        <tr r="D8" s="23"/>
      </tp>
      <tp t="s">
        <v>GBPUSD</v>
        <stp/>
        <stp>12#2#1#6031#SGBPUSD#S#Descr.</stp>
        <tr r="A28" s="23"/>
        <tr r="A11" s="23"/>
      </tp>
      <tp>
        <v>60.082500000000003</v>
        <stp/>
        <stp>17#3#1#5978#JPYINRCOMP#Low</stp>
        <tr r="D5" s="23"/>
        <tr r="G6" s="10"/>
      </tp>
      <tp>
        <v>82.385000000000005</v>
        <stp/>
        <stp>17#1#1#6069#USDINRCOMP#LTP</stp>
        <tr r="E2" s="23"/>
      </tp>
      <tp>
        <v>82.29</v>
        <stp/>
        <stp>17#1#1#6069#USDINRCOMP#Low</stp>
        <tr r="D2" s="23"/>
        <tr r="G3" s="10"/>
      </tp>
      <tp>
        <v>1.2466999999999999</v>
        <stp/>
        <stp>12#2#1#6031#SGBPUSD#Ask</stp>
        <tr r="C8" s="10"/>
      </tp>
      <tp t="s">
        <v>20-Jun-2023</v>
        <stp/>
        <stp>FWRC1#USDINR#Month Wise Rates#0#S#PillarDate7</stp>
        <tr r="D2" s="15"/>
      </tp>
      <tp t="s">
        <v>19-May-2023</v>
        <stp/>
        <stp>FWRC1#USDINR#Month Wise Rates#0#S#PillarDate2</stp>
        <tr r="C2" s="15"/>
      </tp>
      <tp t="s">
        <v>19-Jul-2023</v>
        <stp/>
        <stp>FWRC1#USDINR#Month Wise Rates#0#S#PillarDate8</stp>
        <tr r="E2" s="15"/>
      </tp>
      <tp t="s">
        <v>21-Aug-2023</v>
        <stp/>
        <stp>FWRC1#USDINR#Month Wise Rates#0#S#PillarDate9</stp>
        <tr r="F2" s="15"/>
      </tp>
      <tp>
        <v>-0.36</v>
        <stp/>
        <stp>12#2#1#5949#SEURUSD#%Chg</stp>
        <tr r="D7" s="10"/>
      </tp>
      <tp>
        <v>1.2462</v>
        <stp/>
        <stp>12#2#1#6031#SGBPUSD#Bid</stp>
        <tr r="B8" s="10"/>
      </tp>
      <tp t="s">
        <v>AUDUSD</v>
        <stp/>
        <stp>12#2#1#5903#SAUDUSD#S#Descr.</stp>
        <tr r="A32" s="23"/>
        <tr r="A15" s="23"/>
      </tp>
      <tp t="s">
        <v>EURUSD</v>
        <stp/>
        <stp>12#2#1#5949#SEURUSD#S#Descr.</stp>
        <tr r="A10" s="23"/>
        <tr r="A27" s="23"/>
      </tp>
      <tp t="s">
        <v>USDCAD</v>
        <stp/>
        <stp>12#2#1#6069#SUSDCAD#S#Descr.</stp>
        <tr r="A31" s="23"/>
        <tr r="A14" s="23"/>
      </tp>
      <tp>
        <v>1.2462</v>
        <stp/>
        <stp>12#2#1#6031#SGBPUSD#LTP</stp>
        <tr r="E11" s="23"/>
      </tp>
      <tp t="s">
        <v>19-May-2023</v>
        <stp/>
        <stp>FWRC1#EURUSD#Month Wise Rates#0#S#PillarDate2</stp>
        <tr r="C2" s="19"/>
      </tp>
      <tp t="s">
        <v>20-Jun-2023</v>
        <stp/>
        <stp>FWRC1#EURUSD#Month Wise Rates#0#S#PillarDate7</stp>
        <tr r="D2" s="19"/>
      </tp>
      <tp t="s">
        <v>19-Jul-2023</v>
        <stp/>
        <stp>FWRC1#EURUSD#Month Wise Rates#0#S#PillarDate8</stp>
        <tr r="E2" s="19"/>
      </tp>
      <tp t="s">
        <v>21-Aug-2023</v>
        <stp/>
        <stp>FWRC1#EURUSD#Month Wise Rates#0#S#PillarDate9</stp>
        <tr r="F2" s="19"/>
      </tp>
      <tp>
        <v>1.2418199999999999</v>
        <stp/>
        <stp>12#2#1#6031#SGBPUSD#Low</stp>
        <tr r="G8" s="10"/>
        <tr r="D11" s="23"/>
      </tp>
      <tp t="s">
        <v>19-May-2023</v>
        <stp/>
        <stp>FWRC1#GBPUSD#Month Wise Rates#0#S#PillarDate2</stp>
        <tr r="C2" s="20"/>
      </tp>
      <tp t="s">
        <v>20-Jun-2023</v>
        <stp/>
        <stp>FWRC1#GBPUSD#Month Wise Rates#0#S#PillarDate7</stp>
        <tr r="D2" s="20"/>
      </tp>
      <tp t="s">
        <v>19-Jul-2023</v>
        <stp/>
        <stp>FWRC1#GBPUSD#Month Wise Rates#0#S#PillarDate8</stp>
        <tr r="E2" s="20"/>
      </tp>
      <tp t="s">
        <v>21-Aug-2023</v>
        <stp/>
        <stp>FWRC1#GBPUSD#Month Wise Rates#0#S#PillarDate9</stp>
        <tr r="F2" s="20"/>
      </tp>
      <tp t="s">
        <v>2M</v>
        <stp/>
        <stp>FWRC1#USDJPY#Month Wise Rates#0#S#Desc.8</stp>
        <tr r="E1" s="21"/>
      </tp>
      <tp t="s">
        <v>3M</v>
        <stp/>
        <stp>FWRC1#USDJPY#Month Wise Rates#0#S#Desc.9</stp>
        <tr r="F1" s="21"/>
      </tp>
      <tp t="s">
        <v>1M</v>
        <stp/>
        <stp>FWRC1#USDJPY#Month Wise Rates#0#S#Desc.7</stp>
        <tr r="D1" s="21"/>
      </tp>
      <tp t="s">
        <v>TN</v>
        <stp/>
        <stp>FWRC1#USDJPY#Month Wise Rates#0#S#Desc.2</stp>
        <tr r="C1" s="21"/>
      </tp>
      <tp>
        <v>102.50749999999999</v>
        <stp/>
        <stp>17#3#1#6031#GBPINRCOMP#Ask</stp>
        <tr r="C5" s="10"/>
      </tp>
      <tp>
        <v>89.197500000000005</v>
        <stp/>
        <stp>17#3#1#5949#EURINRCOMP#Bid</stp>
        <tr r="B4" s="10"/>
      </tp>
      <tp>
        <v>60.1875</v>
        <stp/>
        <stp>17#3#1#5978#JPYINRCOMP#Bid</stp>
        <tr r="B6" s="10"/>
      </tp>
      <tp>
        <v>1.08233</v>
        <stp/>
        <stp>12#2#1#5949#SEURUSD#Ask</stp>
        <tr r="C7" s="10"/>
      </tp>
      <tp>
        <v>82.385000000000005</v>
        <stp/>
        <stp>17#1#1#6069#USDINRCOMP#Bid</stp>
        <tr r="B3" s="10"/>
      </tp>
      <tp>
        <v>151.94499999999999</v>
        <stp/>
        <stp>12#2#1#6069#SUSDJPY#52WkHigh</stp>
        <tr r="I9" s="10"/>
      </tp>
      <tp>
        <v>1.08226</v>
        <stp/>
        <stp>12#2#1#5949#SEURUSD#Bid</stp>
        <tr r="B7" s="10"/>
      </tp>
      <tp t="s">
        <v>USDCHF</v>
        <stp/>
        <stp>12#2#1#6069#SUSDCHF#S#Descr.</stp>
        <tr r="A30" s="23"/>
        <tr r="A13" s="23"/>
      </tp>
      <tp>
        <v>82.394999999999996</v>
        <stp/>
        <stp>17#1#1#6069#USDINRCOMP#Ask</stp>
        <tr r="C3" s="10"/>
      </tp>
      <tp>
        <v>1.3428</v>
        <stp/>
        <stp>12#2#1#6069#SUSDSGD#LTP</stp>
        <tr r="N33" s="23"/>
        <tr r="K33" s="23"/>
        <tr r="E33" s="23"/>
        <tr r="F33" s="23"/>
        <tr r="I33" s="23"/>
        <tr r="J33" s="23"/>
        <tr r="C33" s="23"/>
        <tr r="B33" s="23"/>
        <tr r="D33" s="23"/>
        <tr r="L33" s="23"/>
        <tr r="H33" s="23"/>
        <tr r="E16" s="23"/>
        <tr r="G33" s="23"/>
        <tr r="M33" s="23"/>
      </tp>
      <tp t="s">
        <v>1M</v>
        <stp/>
        <stp>FWRC1#USDINR#Month Wise Rates#0#S#Desc.7</stp>
        <tr r="D1" s="15"/>
      </tp>
      <tp t="s">
        <v>TN</v>
        <stp/>
        <stp>FWRC1#USDINR#Month Wise Rates#0#S#Desc.2</stp>
        <tr r="C1" s="15"/>
      </tp>
      <tp t="s">
        <v>3M</v>
        <stp/>
        <stp>FWRC1#USDINR#Month Wise Rates#0#S#Desc.9</stp>
        <tr r="F1" s="15"/>
      </tp>
      <tp t="s">
        <v>2M</v>
        <stp/>
        <stp>FWRC1#USDINR#Month Wise Rates#0#S#Desc.8</stp>
        <tr r="E1" s="15"/>
      </tp>
      <tp>
        <v>1.3387</v>
        <stp/>
        <stp>12#2#1#6069#SUSDSGD#Low</stp>
        <tr r="D16" s="23"/>
      </tp>
      <tp>
        <v>60.202500000000001</v>
        <stp/>
        <stp>17#3#1#5978#JPYINRCOMP#Ask</stp>
        <tr r="C6" s="10"/>
      </tp>
      <tp>
        <v>89.215000000000003</v>
        <stp/>
        <stp>17#3#1#5949#EURINRCOMP#Ask</stp>
        <tr r="C4" s="10"/>
      </tp>
      <tp>
        <v>102.485</v>
        <stp/>
        <stp>17#3#1#6031#GBPINRCOMP#Bid</stp>
        <tr r="B5" s="10"/>
      </tp>
      <tp>
        <v>91.682400000000001</v>
        <stp/>
        <stp>FWRC1#EURINR#Month End Rates#0#FwdOutrightBid12</stp>
        <tr r="L7" s="16"/>
      </tp>
      <tp>
        <v>91.917299999999997</v>
        <stp/>
        <stp>FWRC1#EURINR#Month End Rates#0#FwdOutrightBid13</stp>
        <tr r="M7" s="16"/>
      </tp>
      <tp>
        <v>91.102099999999993</v>
        <stp/>
        <stp>FWRC1#EURINR#Month End Rates#0#FwdOutrightBid10</stp>
        <tr r="J7" s="16"/>
      </tp>
      <tp>
        <v>91.411699999999996</v>
        <stp/>
        <stp>FWRC1#EURINR#Month End Rates#0#FwdOutrightBid11</stp>
        <tr r="K7" s="16"/>
      </tp>
      <tp>
        <v>92.211399999999998</v>
        <stp/>
        <stp>FWRC1#EURINR#Month End Rates#0#FwdOutrightBid14</stp>
        <tr r="N7" s="16"/>
      </tp>
      <tp>
        <v>92.536000000000001</v>
        <stp/>
        <stp>FWRC1#EURINR#Month End Rates#0#FwdOutrightBid15</stp>
        <tr r="O7" s="16"/>
      </tp>
      <tp>
        <v>90.624300000000005</v>
        <stp/>
        <stp>FWRC1#EURINR#Month End Rates#0#FwdOutrightAsk8</stp>
        <tr r="H8" s="16"/>
      </tp>
      <tp>
        <v>90.895200000000003</v>
        <stp/>
        <stp>FWRC1#EURINR#Month End Rates#0#FwdOutrightAsk9</stp>
        <tr r="I8" s="16"/>
      </tp>
      <tp>
        <v>89.567300000000003</v>
        <stp/>
        <stp>FWRC1#EURINR#Month End Rates#0#FwdOutrightAsk4</stp>
        <tr r="D8" s="16"/>
      </tp>
      <tp>
        <v>89.835899999999995</v>
        <stp/>
        <stp>FWRC1#EURINR#Month End Rates#0#FwdOutrightAsk5</stp>
        <tr r="E8" s="16"/>
      </tp>
      <tp>
        <v>90.101900000000001</v>
        <stp/>
        <stp>FWRC1#EURINR#Month End Rates#0#FwdOutrightAsk6</stp>
        <tr r="F8" s="16"/>
      </tp>
      <tp>
        <v>90.369</v>
        <stp/>
        <stp>FWRC1#EURINR#Month End Rates#0#FwdOutrightAsk7</stp>
        <tr r="G8" s="16"/>
      </tp>
      <tp>
        <v>89.462500000000006</v>
        <stp/>
        <stp>FWRC1#EURINR#Month End Rates#0#FwdOutrightAsk2</stp>
        <tr r="C8" s="16"/>
      </tp>
      <tp>
        <v>0</v>
        <stp/>
        <stp>17#3#1#6031#GBPINRCOMP#52WkLow</stp>
        <tr r="J5" s="10"/>
      </tp>
      <tp t="s">
        <v>31-Oct-2023</v>
        <stp/>
        <stp>FWRC1#EURINR#Month End Rates#0#S#MonthEndDate9</stp>
        <tr r="I2" s="16"/>
      </tp>
      <tp t="s">
        <v>29-Sep-2023</v>
        <stp/>
        <stp>FWRC1#EURINR#Month End Rates#0#S#MonthEndDate8</stp>
        <tr r="H2" s="16"/>
      </tp>
      <tp t="s">
        <v>31-Aug-2023</v>
        <stp/>
        <stp>FWRC1#EURINR#Month End Rates#0#S#MonthEndDate7</stp>
        <tr r="G2" s="16"/>
      </tp>
      <tp t="s">
        <v>31-Jul-2023</v>
        <stp/>
        <stp>FWRC1#EURINR#Month End Rates#0#S#MonthEndDate6</stp>
        <tr r="F2" s="16"/>
      </tp>
      <tp t="s">
        <v>30-Jun-2023</v>
        <stp/>
        <stp>FWRC1#EURINR#Month End Rates#0#S#MonthEndDate5</stp>
        <tr r="E2" s="16"/>
      </tp>
      <tp t="s">
        <v>31-May-2023</v>
        <stp/>
        <stp>FWRC1#EURINR#Month End Rates#0#S#MonthEndDate4</stp>
        <tr r="D2" s="16"/>
      </tp>
      <tp t="s">
        <v>19-May-2023</v>
        <stp/>
        <stp>FWRC1#EURINR#Month End Rates#0#S#MonthEndDate2</stp>
        <tr r="C2" s="16"/>
      </tp>
      <tp t="s">
        <v>20-Nov-2023</v>
        <stp/>
        <stp>FWRC1#USDJPY#Month Wise Rates#0#S#PillarDate12</stp>
        <tr r="I2" s="21"/>
      </tp>
      <tp t="s">
        <v>19-Dec-2023</v>
        <stp/>
        <stp>FWRC1#USDJPY#Month Wise Rates#0#S#PillarDate13</stp>
        <tr r="J2" s="21"/>
      </tp>
      <tp t="s">
        <v>19-Sep-2023</v>
        <stp/>
        <stp>FWRC1#USDJPY#Month Wise Rates#0#S#PillarDate10</stp>
        <tr r="G2" s="21"/>
      </tp>
      <tp t="s">
        <v>19-Oct-2023</v>
        <stp/>
        <stp>FWRC1#USDJPY#Month Wise Rates#0#S#PillarDate11</stp>
        <tr r="H2" s="21"/>
      </tp>
      <tp t="s">
        <v>19-Mar-2024</v>
        <stp/>
        <stp>FWRC1#USDJPY#Month Wise Rates#0#S#PillarDate16</stp>
        <tr r="M2" s="21"/>
      </tp>
      <tp t="s">
        <v>19-Apr-2024</v>
        <stp/>
        <stp>FWRC1#USDJPY#Month Wise Rates#0#S#PillarDate17</stp>
        <tr r="N2" s="21"/>
      </tp>
      <tp t="s">
        <v>19-Jan-2024</v>
        <stp/>
        <stp>FWRC1#USDJPY#Month Wise Rates#0#S#PillarDate14</stp>
        <tr r="K2" s="21"/>
      </tp>
      <tp t="s">
        <v>20-Feb-2024</v>
        <stp/>
        <stp>FWRC1#USDJPY#Month Wise Rates#0#S#PillarDate15</stp>
        <tr r="L2" s="21"/>
      </tp>
      <tp t="s">
        <v>20-May-2024</v>
        <stp/>
        <stp>FWRC1#USDJPY#Month Wise Rates#0#S#PillarDate18</stp>
        <tr r="O2" s="21"/>
      </tp>
      <tp>
        <v>1.34</v>
        <stp/>
        <stp>12#2#1#6069#SUSDSGD#Open</stp>
        <tr r="B16" s="23"/>
      </tp>
      <tp>
        <v>2.1865999999999999</v>
        <stp/>
        <stp>FWRC1#GBPINR#Month End Rates#0#Bid%14</stp>
        <tr r="N10" s="17"/>
      </tp>
      <tp>
        <v>2.2286999999999999</v>
        <stp/>
        <stp>FWRC1#GBPINR#Month End Rates#0#Bid%15</stp>
        <tr r="O10" s="17"/>
      </tp>
      <tp>
        <v>2.1318000000000001</v>
        <stp/>
        <stp>FWRC1#GBPINR#Month End Rates#0#Bid%10</stp>
        <tr r="J10" s="17"/>
      </tp>
      <tp>
        <v>2.181</v>
        <stp/>
        <stp>FWRC1#GBPINR#Month End Rates#0#Bid%11</stp>
        <tr r="K10" s="17"/>
      </tp>
      <tp>
        <v>2.1434000000000002</v>
        <stp/>
        <stp>FWRC1#GBPINR#Month End Rates#0#Bid%12</stp>
        <tr r="L10" s="17"/>
      </tp>
      <tp>
        <v>2.1284999999999998</v>
        <stp/>
        <stp>FWRC1#GBPINR#Month End Rates#0#Bid%13</stp>
        <tr r="M10" s="17"/>
      </tp>
      <tp>
        <v>2.2244000000000002</v>
        <stp/>
        <stp>FWRC1#GBPINR#Month End Rates#0#Ask%14</stp>
        <tr r="N11" s="17"/>
      </tp>
      <tp>
        <v>2.2700999999999998</v>
        <stp/>
        <stp>FWRC1#GBPINR#Month End Rates#0#Ask%15</stp>
        <tr r="O11" s="17"/>
      </tp>
      <tp>
        <v>2.1999</v>
        <stp/>
        <stp>FWRC1#GBPINR#Month End Rates#0#Ask%12</stp>
        <tr r="L11" s="17"/>
      </tp>
      <tp>
        <v>2.1817000000000002</v>
        <stp/>
        <stp>FWRC1#GBPINR#Month End Rates#0#Ask%13</stp>
        <tr r="M11" s="17"/>
      </tp>
      <tp>
        <v>2.2042000000000002</v>
        <stp/>
        <stp>FWRC1#GBPINR#Month End Rates#0#Ask%10</stp>
        <tr r="J11" s="17"/>
      </tp>
      <tp>
        <v>2.2250000000000001</v>
        <stp/>
        <stp>FWRC1#GBPINR#Month End Rates#0#Ask%11</stp>
        <tr r="K11" s="17"/>
      </tp>
      <tp>
        <v>103.9301</v>
        <stp/>
        <stp>FWRC1#GBPINR#Month End Rates#0#FwdOutrightBid10</stp>
        <tr r="J7" s="17"/>
      </tp>
      <tp>
        <v>104.1414</v>
        <stp/>
        <stp>FWRC1#GBPINR#Month End Rates#0#FwdOutrightBid11</stp>
        <tr r="K7" s="17"/>
      </tp>
      <tp>
        <v>104.3169</v>
        <stp/>
        <stp>FWRC1#GBPINR#Month End Rates#0#FwdOutrightBid12</stp>
        <tr r="L7" s="17"/>
      </tp>
      <tp>
        <v>104.48</v>
        <stp/>
        <stp>FWRC1#GBPINR#Month End Rates#0#FwdOutrightBid13</stp>
        <tr r="M7" s="17"/>
      </tp>
      <tp>
        <v>104.69929999999999</v>
        <stp/>
        <stp>FWRC1#GBPINR#Month End Rates#0#FwdOutrightBid14</stp>
        <tr r="N7" s="17"/>
      </tp>
      <tp>
        <v>104.9438</v>
        <stp/>
        <stp>FWRC1#GBPINR#Month End Rates#0#FwdOutrightBid15</stp>
        <tr r="O7" s="17"/>
      </tp>
      <tp>
        <v>1.24814</v>
        <stp/>
        <stp>12#2#1#6031#SGBPUSD#Open</stp>
        <tr r="B11" s="23"/>
        <tr r="E8" s="10"/>
      </tp>
      <tp>
        <v>77.432500000000005</v>
        <stp/>
        <stp>17#1#1#6069#USDINRCOMP#52WkLow</stp>
        <tr r="J3" s="10"/>
      </tp>
      <tp>
        <v>119</v>
        <stp/>
        <stp>FWRC1#USDINR#Month End Rates#0#AskPrice13</stp>
        <tr r="M5" s="14"/>
      </tp>
      <tp>
        <v>105</v>
        <stp/>
        <stp>FWRC1#USDINR#Month End Rates#0#AskPrice12</stp>
        <tr r="L5" s="14"/>
      </tp>
      <tp>
        <v>89</v>
        <stp/>
        <stp>FWRC1#USDINR#Month End Rates#0#AskPrice11</stp>
        <tr r="K5" s="14"/>
      </tp>
      <tp>
        <v>76</v>
        <stp/>
        <stp>FWRC1#USDINR#Month End Rates#0#AskPrice10</stp>
        <tr r="J5" s="14"/>
      </tp>
      <tp>
        <v>158</v>
        <stp/>
        <stp>FWRC1#USDINR#Month End Rates#0#AskPrice15</stp>
        <tr r="O5" s="14"/>
      </tp>
      <tp>
        <v>134</v>
        <stp/>
        <stp>FWRC1#USDINR#Month End Rates#0#AskPrice14</stp>
        <tr r="N5" s="14"/>
      </tp>
      <tp>
        <v>87</v>
        <stp/>
        <stp>FWRC1#USDINR#Month End Rates#0#BidPrice11</stp>
        <tr r="K4" s="14"/>
      </tp>
      <tp>
        <v>74</v>
        <stp/>
        <stp>FWRC1#USDINR#Month End Rates#0#BidPrice10</stp>
        <tr r="J4" s="14"/>
      </tp>
      <tp>
        <v>117</v>
        <stp/>
        <stp>FWRC1#USDINR#Month End Rates#0#BidPrice13</stp>
        <tr r="M4" s="14"/>
      </tp>
      <tp>
        <v>103</v>
        <stp/>
        <stp>FWRC1#USDINR#Month End Rates#0#BidPrice12</stp>
        <tr r="L4" s="14"/>
      </tp>
      <tp>
        <v>156</v>
        <stp/>
        <stp>FWRC1#USDINR#Month End Rates#0#BidPrice15</stp>
        <tr r="O4" s="14"/>
      </tp>
      <tp>
        <v>132</v>
        <stp/>
        <stp>FWRC1#USDINR#Month End Rates#0#BidPrice14</stp>
        <tr r="N4" s="14"/>
      </tp>
      <tp>
        <v>0</v>
        <stp/>
        <stp>17#3#1#5978#JPYINRCOMP#52WkLow</stp>
        <tr r="J6" s="10"/>
      </tp>
      <tp>
        <v>3.6717</v>
        <stp/>
        <stp>FWRC1#EURINR#Month End Rates#0#Ask%14</stp>
        <tr r="N11" s="16"/>
      </tp>
      <tp>
        <v>3.6806999999999999</v>
        <stp/>
        <stp>FWRC1#EURINR#Month End Rates#0#Ask%15</stp>
        <tr r="O11" s="16"/>
      </tp>
      <tp>
        <v>3.5547</v>
        <stp/>
        <stp>FWRC1#EURINR#Month End Rates#0#Ask%10</stp>
        <tr r="J11" s="16"/>
      </tp>
      <tp>
        <v>3.6408</v>
        <stp/>
        <stp>FWRC1#EURINR#Month End Rates#0#Ask%11</stp>
        <tr r="K11" s="16"/>
      </tp>
      <tp>
        <v>3.6078999999999999</v>
        <stp/>
        <stp>FWRC1#EURINR#Month End Rates#0#Ask%12</stp>
        <tr r="L11" s="16"/>
      </tp>
      <tp>
        <v>3.6057000000000001</v>
        <stp/>
        <stp>FWRC1#EURINR#Month End Rates#0#Ask%13</stp>
        <tr r="M11" s="16"/>
      </tp>
      <tp>
        <v>3.5878999999999999</v>
        <stp/>
        <stp>FWRC1#EURINR#Month End Rates#0#Bid%14</stp>
        <tr r="N10" s="16"/>
      </tp>
      <tp>
        <v>3.6284000000000001</v>
        <stp/>
        <stp>FWRC1#EURINR#Month End Rates#0#Bid%15</stp>
        <tr r="O10" s="16"/>
      </tp>
      <tp>
        <v>3.544</v>
        <stp/>
        <stp>FWRC1#EURINR#Month End Rates#0#Bid%12</stp>
        <tr r="L10" s="16"/>
      </tp>
      <tp>
        <v>3.5196000000000001</v>
        <stp/>
        <stp>FWRC1#EURINR#Month End Rates#0#Bid%13</stp>
        <tr r="M10" s="16"/>
      </tp>
      <tp>
        <v>3.4567000000000001</v>
        <stp/>
        <stp>FWRC1#EURINR#Month End Rates#0#Bid%10</stp>
        <tr r="J10" s="16"/>
      </tp>
      <tp>
        <v>3.573</v>
        <stp/>
        <stp>FWRC1#EURINR#Month End Rates#0#Bid%11</stp>
        <tr r="K10" s="16"/>
      </tp>
      <tp>
        <v>64.275499999999994</v>
        <stp/>
        <stp>FWRC1#JPYINR#Month End Rates#0#FwdOutrightAsk14</stp>
        <tr r="N8" s="18"/>
      </tp>
      <tp>
        <v>64.708699999999993</v>
        <stp/>
        <stp>FWRC1#JPYINR#Month End Rates#0#FwdOutrightAsk15</stp>
        <tr r="O8" s="18"/>
      </tp>
      <tp>
        <v>63.529299999999999</v>
        <stp/>
        <stp>FWRC1#JPYINR#Month End Rates#0#FwdOutrightAsk12</stp>
        <tr r="L8" s="18"/>
      </tp>
      <tp>
        <v>63.8889</v>
        <stp/>
        <stp>FWRC1#JPYINR#Month End Rates#0#FwdOutrightAsk13</stp>
        <tr r="M8" s="18"/>
      </tp>
      <tp>
        <v>62.704700000000003</v>
        <stp/>
        <stp>FWRC1#JPYINR#Month End Rates#0#FwdOutrightAsk10</stp>
        <tr r="J8" s="18"/>
      </tp>
      <tp>
        <v>63.1267</v>
        <stp/>
        <stp>FWRC1#JPYINR#Month End Rates#0#FwdOutrightAsk11</stp>
        <tr r="K8" s="18"/>
      </tp>
      <tp t="s">
        <v>APR-2024</v>
        <stp/>
        <stp>FWRC1#USDINR#Month End Rates#0#S#Desc.15</stp>
        <tr r="O1" s="14"/>
      </tp>
      <tp t="s">
        <v>MAR-2024</v>
        <stp/>
        <stp>FWRC1#USDINR#Month End Rates#0#S#Desc.14</stp>
        <tr r="N1" s="14"/>
      </tp>
      <tp t="s">
        <v>FEB-2024</v>
        <stp/>
        <stp>FWRC1#USDINR#Month End Rates#0#S#Desc.13</stp>
        <tr r="M1" s="14"/>
      </tp>
      <tp t="s">
        <v>JAN-2024</v>
        <stp/>
        <stp>FWRC1#USDINR#Month End Rates#0#S#Desc.12</stp>
        <tr r="L1" s="14"/>
      </tp>
      <tp t="s">
        <v>DEC-2023</v>
        <stp/>
        <stp>FWRC1#USDINR#Month End Rates#0#S#Desc.11</stp>
        <tr r="K1" s="14"/>
      </tp>
      <tp t="s">
        <v>NOV-2023</v>
        <stp/>
        <stp>FWRC1#USDINR#Month End Rates#0#S#Desc.10</stp>
        <tr r="J1" s="14"/>
      </tp>
      <tp t="s">
        <v>MAR-2024</v>
        <stp/>
        <stp>FWRC1#GBPINR#Month End Rates#0#S#Desc.14</stp>
        <tr r="N1" s="17"/>
      </tp>
      <tp t="s">
        <v>APR-2024</v>
        <stp/>
        <stp>FWRC1#GBPINR#Month End Rates#0#S#Desc.15</stp>
        <tr r="O1" s="17"/>
      </tp>
      <tp t="s">
        <v>JAN-2024</v>
        <stp/>
        <stp>FWRC1#GBPINR#Month End Rates#0#S#Desc.12</stp>
        <tr r="L1" s="17"/>
      </tp>
      <tp t="s">
        <v>FEB-2024</v>
        <stp/>
        <stp>FWRC1#GBPINR#Month End Rates#0#S#Desc.13</stp>
        <tr r="M1" s="17"/>
      </tp>
      <tp t="s">
        <v>NOV-2023</v>
        <stp/>
        <stp>FWRC1#GBPINR#Month End Rates#0#S#Desc.10</stp>
        <tr r="J1" s="17"/>
      </tp>
      <tp t="s">
        <v>DEC-2023</v>
        <stp/>
        <stp>FWRC1#GBPINR#Month End Rates#0#S#Desc.11</stp>
        <tr r="K1" s="17"/>
      </tp>
      <tp t="s">
        <v>DEC-2023</v>
        <stp/>
        <stp>FWRC1#EURINR#Month End Rates#0#S#Desc.11</stp>
        <tr r="K1" s="16"/>
      </tp>
      <tp t="s">
        <v>NOV-2023</v>
        <stp/>
        <stp>FWRC1#EURINR#Month End Rates#0#S#Desc.10</stp>
        <tr r="J1" s="16"/>
      </tp>
      <tp t="s">
        <v>FEB-2024</v>
        <stp/>
        <stp>FWRC1#EURINR#Month End Rates#0#S#Desc.13</stp>
        <tr r="M1" s="16"/>
      </tp>
      <tp t="s">
        <v>JAN-2024</v>
        <stp/>
        <stp>FWRC1#EURINR#Month End Rates#0#S#Desc.12</stp>
        <tr r="L1" s="16"/>
      </tp>
      <tp t="s">
        <v>APR-2024</v>
        <stp/>
        <stp>FWRC1#EURINR#Month End Rates#0#S#Desc.15</stp>
        <tr r="O1" s="16"/>
      </tp>
      <tp t="s">
        <v>MAR-2024</v>
        <stp/>
        <stp>FWRC1#EURINR#Month End Rates#0#S#Desc.14</stp>
        <tr r="N1" s="16"/>
      </tp>
      <tp t="s">
        <v>MAR-2024</v>
        <stp/>
        <stp>FWRC1#JPYINR#Month End Rates#0#S#Desc.14</stp>
        <tr r="N1" s="18"/>
      </tp>
      <tp t="s">
        <v>APR-2024</v>
        <stp/>
        <stp>FWRC1#JPYINR#Month End Rates#0#S#Desc.15</stp>
        <tr r="O1" s="18"/>
      </tp>
      <tp t="s">
        <v>NOV-2023</v>
        <stp/>
        <stp>FWRC1#JPYINR#Month End Rates#0#S#Desc.10</stp>
        <tr r="J1" s="18"/>
      </tp>
      <tp t="s">
        <v>DEC-2023</v>
        <stp/>
        <stp>FWRC1#JPYINR#Month End Rates#0#S#Desc.11</stp>
        <tr r="K1" s="18"/>
      </tp>
      <tp t="s">
        <v>JAN-2024</v>
        <stp/>
        <stp>FWRC1#JPYINR#Month End Rates#0#S#Desc.12</stp>
        <tr r="L1" s="18"/>
      </tp>
      <tp t="s">
        <v>FEB-2024</v>
        <stp/>
        <stp>FWRC1#JPYINR#Month End Rates#0#S#Desc.13</stp>
        <tr r="M1" s="18"/>
      </tp>
      <tp>
        <v>-5.5460000000000003</v>
        <stp/>
        <stp>FWRC1#USDJPY#Month Wise Rates#0#Ask%8</stp>
        <tr r="E11" s="21"/>
      </tp>
      <tp>
        <v>-5.5552000000000001</v>
        <stp/>
        <stp>FWRC1#USDJPY#Month Wise Rates#0#Ask%9</stp>
        <tr r="F11" s="21"/>
      </tp>
      <tp>
        <v>-5.4367000000000001</v>
        <stp/>
        <stp>FWRC1#USDJPY#Month Wise Rates#0#Ask%7</stp>
        <tr r="D11" s="21"/>
      </tp>
      <tp>
        <v>-5.2092000000000001</v>
        <stp/>
        <stp>FWRC1#USDJPY#Month Wise Rates#0#Ask%2</stp>
        <tr r="C11" s="21"/>
      </tp>
      <tp>
        <v>137.333</v>
        <stp/>
        <stp>FWRC1#USDJPY#Month Wise Rates#0#Close0</stp>
        <tr r="N29" s="23"/>
        <tr r="K29" s="23"/>
        <tr r="L29" s="23"/>
        <tr r="M29" s="23"/>
        <tr r="C29" s="23"/>
        <tr r="G29" s="23"/>
        <tr r="E29" s="23"/>
        <tr r="H29" s="23"/>
        <tr r="I29" s="23"/>
        <tr r="F29" s="23"/>
        <tr r="D29" s="23"/>
        <tr r="J29" s="23"/>
        <tr r="B29" s="23"/>
      </tp>
      <tp>
        <v>-65.959999999999994</v>
        <stp/>
        <stp>FWRC1#USDJPY#Month Wise Rates#0#Close7</stp>
        <tr r="C29" s="23"/>
      </tp>
      <tp>
        <v>-127.99</v>
        <stp/>
        <stp>FWRC1#USDJPY#Month Wise Rates#0#Close8</stp>
        <tr r="D29" s="23"/>
      </tp>
      <tp>
        <v>-196.73</v>
        <stp/>
        <stp>FWRC1#USDJPY#Month Wise Rates#0#Close9</stp>
        <tr r="E29" s="23"/>
      </tp>
      <tp>
        <v>0.95320000000000005</v>
        <stp/>
        <stp>12#2#1#5949#SEURUSD#52WkLow</stp>
        <tr r="J7" s="10"/>
      </tp>
      <tp t="s">
        <v>12M</v>
        <stp/>
        <stp>FWRC1#USDJPY#Month Wise Rates#0#S#Desc.18</stp>
        <tr r="O1" s="21"/>
      </tp>
      <tp t="s">
        <v>9M</v>
        <stp/>
        <stp>FWRC1#USDJPY#Month Wise Rates#0#S#Desc.15</stp>
        <tr r="L1" s="21"/>
      </tp>
      <tp t="s">
        <v>8M</v>
        <stp/>
        <stp>FWRC1#USDJPY#Month Wise Rates#0#S#Desc.14</stp>
        <tr r="K1" s="21"/>
      </tp>
      <tp t="s">
        <v>11M</v>
        <stp/>
        <stp>FWRC1#USDJPY#Month Wise Rates#0#S#Desc.17</stp>
        <tr r="N1" s="21"/>
      </tp>
      <tp t="s">
        <v>10M</v>
        <stp/>
        <stp>FWRC1#USDJPY#Month Wise Rates#0#S#Desc.16</stp>
        <tr r="M1" s="21"/>
      </tp>
      <tp t="s">
        <v>5M</v>
        <stp/>
        <stp>FWRC1#USDJPY#Month Wise Rates#0#S#Desc.11</stp>
        <tr r="H1" s="21"/>
      </tp>
      <tp t="s">
        <v>4M</v>
        <stp/>
        <stp>FWRC1#USDJPY#Month Wise Rates#0#S#Desc.10</stp>
        <tr r="G1" s="21"/>
      </tp>
      <tp t="s">
        <v>7M</v>
        <stp/>
        <stp>FWRC1#USDJPY#Month Wise Rates#0#S#Desc.13</stp>
        <tr r="J1" s="21"/>
      </tp>
      <tp t="s">
        <v>6M</v>
        <stp/>
        <stp>FWRC1#USDJPY#Month Wise Rates#0#S#Desc.12</stp>
        <tr r="I1" s="21"/>
      </tp>
      <tp>
        <v>2.2023999999999999</v>
        <stp/>
        <stp>FWRC1#GBPINR#Month End Rates#0#Ask%9</stp>
        <tr r="I11" s="17"/>
      </tp>
      <tp>
        <v>2.2280000000000002</v>
        <stp/>
        <stp>FWRC1#GBPINR#Month End Rates#0#Ask%8</stp>
        <tr r="H11" s="17"/>
      </tp>
      <tp>
        <v>5.1676000000000002</v>
        <stp/>
        <stp>FWRC1#GBPINR#Month End Rates#0#Ask%2</stp>
        <tr r="C11" s="17"/>
      </tp>
      <tp>
        <v>2.2347999999999999</v>
        <stp/>
        <stp>FWRC1#GBPINR#Month End Rates#0#Ask%7</stp>
        <tr r="G11" s="17"/>
      </tp>
      <tp>
        <v>2.2454999999999998</v>
        <stp/>
        <stp>FWRC1#GBPINR#Month End Rates#0#Ask%6</stp>
        <tr r="F11" s="17"/>
      </tp>
      <tp>
        <v>2.2841999999999998</v>
        <stp/>
        <stp>FWRC1#GBPINR#Month End Rates#0#Ask%5</stp>
        <tr r="E11" s="17"/>
      </tp>
      <tp>
        <v>2.2406000000000001</v>
        <stp/>
        <stp>FWRC1#GBPINR#Month End Rates#0#Ask%4</stp>
        <tr r="D11" s="17"/>
      </tp>
      <tp>
        <v>3.5642999999999998</v>
        <stp/>
        <stp>FWRC1#EURINR#Month End Rates#0#Ask%8</stp>
        <tr r="H11" s="16"/>
      </tp>
      <tp>
        <v>3.5430000000000001</v>
        <stp/>
        <stp>FWRC1#EURINR#Month End Rates#0#Ask%9</stp>
        <tr r="I11" s="16"/>
      </tp>
      <tp>
        <v>3.5636000000000001</v>
        <stp/>
        <stp>FWRC1#EURINR#Month End Rates#0#Ask%4</stp>
        <tr r="D11" s="16"/>
      </tp>
      <tp>
        <v>3.6273</v>
        <stp/>
        <stp>FWRC1#EURINR#Month End Rates#0#Ask%5</stp>
        <tr r="E11" s="16"/>
      </tp>
      <tp>
        <v>3.5741999999999998</v>
        <stp/>
        <stp>FWRC1#EURINR#Month End Rates#0#Ask%6</stp>
        <tr r="F11" s="16"/>
      </tp>
      <tp>
        <v>3.5567000000000002</v>
        <stp/>
        <stp>FWRC1#EURINR#Month End Rates#0#Ask%7</stp>
        <tr r="G11" s="16"/>
      </tp>
      <tp>
        <v>6.4265999999999996</v>
        <stp/>
        <stp>FWRC1#EURINR#Month End Rates#0#Ask%2</stp>
        <tr r="C11" s="16"/>
      </tp>
      <tp>
        <v>61.934199999999997</v>
        <stp/>
        <stp>FWRC1#JPYINR#Month End Rates#0#FwdOutrightAsk8</stp>
        <tr r="H8" s="18"/>
      </tp>
      <tp>
        <v>62.334000000000003</v>
        <stp/>
        <stp>FWRC1#JPYINR#Month End Rates#0#FwdOutrightAsk9</stp>
        <tr r="I8" s="18"/>
      </tp>
      <tp>
        <v>60.463000000000001</v>
        <stp/>
        <stp>FWRC1#JPYINR#Month End Rates#0#FwdOutrightAsk4</stp>
        <tr r="D8" s="18"/>
      </tp>
      <tp>
        <v>60.822299999999998</v>
        <stp/>
        <stp>FWRC1#JPYINR#Month End Rates#0#FwdOutrightAsk5</stp>
        <tr r="E8" s="18"/>
      </tp>
      <tp>
        <v>61.192799999999998</v>
        <stp/>
        <stp>FWRC1#JPYINR#Month End Rates#0#FwdOutrightAsk6</stp>
        <tr r="F8" s="18"/>
      </tp>
      <tp>
        <v>61.566800000000001</v>
        <stp/>
        <stp>FWRC1#JPYINR#Month End Rates#0#FwdOutrightAsk7</stp>
        <tr r="G8" s="18"/>
      </tp>
      <tp>
        <v>60.325000000000003</v>
        <stp/>
        <stp>FWRC1#JPYINR#Month End Rates#0#FwdOutrightAsk2</stp>
        <tr r="C8" s="18"/>
      </tp>
      <tp>
        <v>7.3682999999999996</v>
        <stp/>
        <stp>FWRC1#JPYINR#Month End Rates#0#Ask%9</stp>
        <tr r="I11" s="18"/>
      </tp>
      <tp>
        <v>7.3221999999999996</v>
        <stp/>
        <stp>FWRC1#JPYINR#Month End Rates#0#Ask%8</stp>
        <tr r="H11" s="18"/>
      </tp>
      <tp>
        <v>9.7804000000000002</v>
        <stp/>
        <stp>FWRC1#JPYINR#Month End Rates#0#Ask%2</stp>
        <tr r="C11" s="18"/>
      </tp>
      <tp>
        <v>7.1651999999999996</v>
        <stp/>
        <stp>FWRC1#JPYINR#Month End Rates#0#Ask%5</stp>
        <tr r="E11" s="18"/>
      </tp>
      <tp>
        <v>6.9577999999999998</v>
        <stp/>
        <stp>FWRC1#JPYINR#Month End Rates#0#Ask%4</stp>
        <tr r="D11" s="18"/>
      </tp>
      <tp>
        <v>7.2257999999999996</v>
        <stp/>
        <stp>FWRC1#JPYINR#Month End Rates#0#Ask%7</stp>
        <tr r="G11" s="18"/>
      </tp>
      <tp>
        <v>7.1938000000000004</v>
        <stp/>
        <stp>FWRC1#JPYINR#Month End Rates#0#Ask%6</stp>
        <tr r="F11" s="18"/>
      </tp>
      <tp>
        <v>1.6319999999999999</v>
        <stp/>
        <stp>FWRC1#USDINR#Month End Rates#0#Ask%8</stp>
        <tr r="H11" s="14"/>
      </tp>
      <tp>
        <v>1.6645000000000001</v>
        <stp/>
        <stp>FWRC1#USDINR#Month End Rates#0#Ask%9</stp>
        <tr r="I11" s="14"/>
      </tp>
      <tp>
        <v>4.4295999999999998</v>
        <stp/>
        <stp>FWRC1#USDINR#Month End Rates#0#Ask%2</stp>
        <tr r="C11" s="14"/>
      </tp>
      <tp>
        <v>1.5777000000000001</v>
        <stp/>
        <stp>FWRC1#USDINR#Month End Rates#0#Ask%6</stp>
        <tr r="F11" s="14"/>
      </tp>
      <tp>
        <v>1.5759000000000001</v>
        <stp/>
        <stp>FWRC1#USDINR#Month End Rates#0#Ask%7</stp>
        <tr r="G11" s="14"/>
      </tp>
      <tp>
        <v>1.4764999999999999</v>
        <stp/>
        <stp>FWRC1#USDINR#Month End Rates#0#Ask%4</stp>
        <tr r="D11" s="14"/>
      </tp>
      <tp>
        <v>1.4764999999999999</v>
        <stp/>
        <stp>FWRC1#USDINR#Month End Rates#0#Ask%5</stp>
        <tr r="E11" s="14"/>
      </tp>
      <tp t="s">
        <v>31-Oct-2023</v>
        <stp/>
        <stp>FWRC1#USDINR#Month End Rates#0#S#MonthEndDate9</stp>
        <tr r="I2" s="14"/>
      </tp>
      <tp t="s">
        <v>29-Sep-2023</v>
        <stp/>
        <stp>FWRC1#USDINR#Month End Rates#0#S#MonthEndDate8</stp>
        <tr r="H2" s="14"/>
      </tp>
      <tp t="s">
        <v>31-Aug-2023</v>
        <stp/>
        <stp>FWRC1#USDINR#Month End Rates#0#S#MonthEndDate7</stp>
        <tr r="G2" s="14"/>
      </tp>
      <tp t="s">
        <v>31-Jul-2023</v>
        <stp/>
        <stp>FWRC1#USDINR#Month End Rates#0#S#MonthEndDate6</stp>
        <tr r="F2" s="14"/>
      </tp>
      <tp t="s">
        <v>30-Jun-2023</v>
        <stp/>
        <stp>FWRC1#USDINR#Month End Rates#0#S#MonthEndDate5</stp>
        <tr r="E2" s="14"/>
      </tp>
      <tp t="s">
        <v>31-May-2023</v>
        <stp/>
        <stp>FWRC1#USDINR#Month End Rates#0#S#MonthEndDate4</stp>
        <tr r="D2" s="14"/>
      </tp>
      <tp t="s">
        <v>19-May-2023</v>
        <stp/>
        <stp>FWRC1#USDINR#Month End Rates#0#S#MonthEndDate2</stp>
        <tr r="C2" s="14"/>
      </tp>
      <tp>
        <v>0.66559999999999997</v>
        <stp/>
        <stp>12#2#1#5903#SAUDUSD#Open</stp>
        <tr r="B15" s="23"/>
      </tp>
      <tp>
        <v>1.0861400000000001</v>
        <stp/>
        <stp>12#2#1#5949#SEURUSD#Open</stp>
        <tr r="B10" s="23"/>
        <tr r="E7" s="10"/>
      </tp>
      <tp>
        <v>1.3477300000000001</v>
        <stp/>
        <stp>12#2#1#6069#SUSDCAD#Open</stp>
        <tr r="B14" s="23"/>
      </tp>
      <tp>
        <v>21.568999999999999</v>
        <stp/>
        <stp>FWRC1#GBPUSD#Month Wise Rates#0#Close9</stp>
        <tr r="E28" s="23"/>
      </tp>
      <tp>
        <v>15.19</v>
        <stp/>
        <stp>FWRC1#GBPUSD#Month Wise Rates#0#Close8</stp>
        <tr r="D28" s="23"/>
      </tp>
      <tp>
        <v>8.3000000000000007</v>
        <stp/>
        <stp>FWRC1#GBPUSD#Month Wise Rates#0#Close7</stp>
        <tr r="C28" s="23"/>
      </tp>
      <tp>
        <v>1.2462</v>
        <stp/>
        <stp>FWRC1#GBPUSD#Month Wise Rates#0#Close0</stp>
        <tr r="K28" s="23"/>
        <tr r="M28" s="23"/>
        <tr r="C28" s="23"/>
        <tr r="J28" s="23"/>
        <tr r="F28" s="23"/>
        <tr r="D28" s="23"/>
        <tr r="N28" s="23"/>
        <tr r="B28" s="23"/>
        <tr r="G28" s="23"/>
        <tr r="L28" s="23"/>
        <tr r="H28" s="23"/>
        <tr r="I28" s="23"/>
        <tr r="E28" s="23"/>
      </tp>
      <tp>
        <v>196.16749999999999</v>
        <stp/>
        <stp>FWRC1#EURINR#Month End Rates#0#Close11</stp>
        <tr r="J20" s="23"/>
      </tp>
      <tp>
        <v>165.21250000000001</v>
        <stp/>
        <stp>FWRC1#EURINR#Month End Rates#0#Close10</stp>
        <tr r="I20" s="23"/>
      </tp>
      <tp>
        <v>246.72499999999999</v>
        <stp/>
        <stp>FWRC1#EURINR#Month End Rates#0#Close13</stp>
        <tr r="L20" s="23"/>
      </tp>
      <tp>
        <v>223.24</v>
        <stp/>
        <stp>FWRC1#EURINR#Month End Rates#0#Close12</stp>
        <tr r="K20" s="23"/>
      </tp>
      <tp>
        <v>308.59500000000003</v>
        <stp/>
        <stp>FWRC1#EURINR#Month End Rates#0#Close15</stp>
        <tr r="N20" s="23"/>
      </tp>
      <tp>
        <v>276.13499999999999</v>
        <stp/>
        <stp>FWRC1#EURINR#Month End Rates#0#Close14</stp>
        <tr r="M20" s="23"/>
      </tp>
      <tp>
        <v>54.782499999999999</v>
        <stp/>
        <stp>FWRC1#AUDINR#Month Wise Rates#0#Close0</stp>
        <tr r="D25" s="23"/>
        <tr r="C25" s="23"/>
        <tr r="E25" s="23"/>
        <tr r="B25" s="23"/>
        <tr r="I25" s="23"/>
        <tr r="F25" s="23"/>
        <tr r="L25" s="23"/>
        <tr r="N25" s="23"/>
        <tr r="J25" s="23"/>
        <tr r="M25" s="23"/>
        <tr r="G25" s="23"/>
        <tr r="H25" s="23"/>
        <tr r="K25" s="23"/>
      </tp>
      <tp>
        <v>1226.8637000000001</v>
        <stp/>
        <stp>FWRC1#AUDINR#Month Wise Rates#0#Close7</stp>
        <tr r="C25" s="23"/>
      </tp>
      <tp>
        <v>3954.5628000000002</v>
        <stp/>
        <stp>FWRC1#AUDINR#Month Wise Rates#0#Close9</stp>
        <tr r="E25" s="23"/>
      </tp>
      <tp>
        <v>2538.0430999999999</v>
        <stp/>
        <stp>FWRC1#AUDINR#Month Wise Rates#0#Close8</stp>
        <tr r="D25" s="23"/>
      </tp>
      <tp t="s">
        <v>19-Oct-2023</v>
        <stp/>
        <stp>FWRC1#USDINR#Month Wise Rates#0#S#PillarDate11</stp>
        <tr r="H2" s="15"/>
      </tp>
      <tp t="s">
        <v>20-Sep-2023</v>
        <stp/>
        <stp>FWRC1#USDINR#Month Wise Rates#0#S#PillarDate10</stp>
        <tr r="G2" s="15"/>
      </tp>
      <tp t="s">
        <v>19-Dec-2023</v>
        <stp/>
        <stp>FWRC1#USDINR#Month Wise Rates#0#S#PillarDate13</stp>
        <tr r="J2" s="15"/>
      </tp>
      <tp t="s">
        <v>20-Nov-2023</v>
        <stp/>
        <stp>FWRC1#USDINR#Month Wise Rates#0#S#PillarDate12</stp>
        <tr r="I2" s="15"/>
      </tp>
      <tp t="s">
        <v>20-Feb-2024</v>
        <stp/>
        <stp>FWRC1#USDINR#Month Wise Rates#0#S#PillarDate15</stp>
        <tr r="L2" s="15"/>
      </tp>
      <tp t="s">
        <v>19-Jan-2024</v>
        <stp/>
        <stp>FWRC1#USDINR#Month Wise Rates#0#S#PillarDate14</stp>
        <tr r="K2" s="15"/>
      </tp>
      <tp t="s">
        <v>19-Apr-2024</v>
        <stp/>
        <stp>FWRC1#USDINR#Month Wise Rates#0#S#PillarDate17</stp>
        <tr r="N2" s="15"/>
      </tp>
      <tp t="s">
        <v>19-Mar-2024</v>
        <stp/>
        <stp>FWRC1#USDINR#Month Wise Rates#0#S#PillarDate16</stp>
        <tr r="M2" s="15"/>
      </tp>
      <tp t="s">
        <v>20-May-2024</v>
        <stp/>
        <stp>FWRC1#USDINR#Month Wise Rates#0#S#PillarDate18</stp>
        <tr r="O2" s="15"/>
      </tp>
      <tp>
        <v>2.1476999999999999</v>
        <stp/>
        <stp>FWRC1#GBPINR#Month End Rates#0#Bid%8</stp>
        <tr r="H10" s="17"/>
      </tp>
      <tp>
        <v>2.1434000000000002</v>
        <stp/>
        <stp>FWRC1#GBPINR#Month End Rates#0#Bid%9</stp>
        <tr r="I10" s="17"/>
      </tp>
      <tp>
        <v>1.5417000000000001</v>
        <stp/>
        <stp>FWRC1#GBPINR#Month End Rates#0#Bid%2</stp>
        <tr r="C10" s="17"/>
      </tp>
      <tp>
        <v>1.9583999999999999</v>
        <stp/>
        <stp>FWRC1#GBPINR#Month End Rates#0#Bid%4</stp>
        <tr r="D10" s="17"/>
      </tp>
      <tp>
        <v>2.1322999999999999</v>
        <stp/>
        <stp>FWRC1#GBPINR#Month End Rates#0#Bid%5</stp>
        <tr r="E10" s="17"/>
      </tp>
      <tp>
        <v>2.1453000000000002</v>
        <stp/>
        <stp>FWRC1#GBPINR#Month End Rates#0#Bid%6</stp>
        <tr r="F10" s="17"/>
      </tp>
      <tp>
        <v>2.1570999999999998</v>
        <stp/>
        <stp>FWRC1#GBPINR#Month End Rates#0#Bid%7</stp>
        <tr r="G10" s="17"/>
      </tp>
      <tp>
        <v>3.4794</v>
        <stp/>
        <stp>FWRC1#EURINR#Month End Rates#0#Bid%9</stp>
        <tr r="I10" s="16"/>
      </tp>
      <tp>
        <v>3.4841000000000002</v>
        <stp/>
        <stp>FWRC1#EURINR#Month End Rates#0#Bid%8</stp>
        <tr r="H10" s="16"/>
      </tp>
      <tp>
        <v>3.4643000000000002</v>
        <stp/>
        <stp>FWRC1#EURINR#Month End Rates#0#Bid%7</stp>
        <tr r="G10" s="16"/>
      </tp>
      <tp>
        <v>3.4699</v>
        <stp/>
        <stp>FWRC1#EURINR#Month End Rates#0#Bid%6</stp>
        <tr r="F10" s="16"/>
      </tp>
      <tp>
        <v>3.4699</v>
        <stp/>
        <stp>FWRC1#EURINR#Month End Rates#0#Bid%5</stp>
        <tr r="E10" s="16"/>
      </tp>
      <tp>
        <v>3.2648000000000001</v>
        <stp/>
        <stp>FWRC1#EURINR#Month End Rates#0#Bid%4</stp>
        <tr r="D10" s="16"/>
      </tp>
      <tp>
        <v>2.8466</v>
        <stp/>
        <stp>FWRC1#EURINR#Month End Rates#0#Bid%2</stp>
        <tr r="C10" s="16"/>
      </tp>
      <tp>
        <v>7.2390999999999996</v>
        <stp/>
        <stp>FWRC1#JPYINR#Month End Rates#0#Bid%8</stp>
        <tr r="H10" s="18"/>
      </tp>
      <tp>
        <v>7.2892999999999999</v>
        <stp/>
        <stp>FWRC1#JPYINR#Month End Rates#0#Bid%9</stp>
        <tr r="I10" s="18"/>
      </tp>
      <tp>
        <v>5.9667000000000003</v>
        <stp/>
        <stp>FWRC1#JPYINR#Month End Rates#0#Bid%2</stp>
        <tr r="C10" s="18"/>
      </tp>
      <tp>
        <v>7.0890000000000004</v>
        <stp/>
        <stp>FWRC1#JPYINR#Month End Rates#0#Bid%6</stp>
        <tr r="F10" s="18"/>
      </tp>
      <tp>
        <v>7.1086999999999998</v>
        <stp/>
        <stp>FWRC1#JPYINR#Month End Rates#0#Bid%7</stp>
        <tr r="G10" s="18"/>
      </tp>
      <tp>
        <v>6.6367000000000003</v>
        <stp/>
        <stp>FWRC1#JPYINR#Month End Rates#0#Bid%4</stp>
        <tr r="D10" s="18"/>
      </tp>
      <tp>
        <v>6.9771000000000001</v>
        <stp/>
        <stp>FWRC1#JPYINR#Month End Rates#0#Bid%5</stp>
        <tr r="E10" s="18"/>
      </tp>
      <tp>
        <v>1.6107</v>
        <stp/>
        <stp>FWRC1#USDINR#Month End Rates#0#Bid%9</stp>
        <tr r="I10" s="14"/>
      </tp>
      <tp>
        <v>1.5652999999999999</v>
        <stp/>
        <stp>FWRC1#USDINR#Month End Rates#0#Bid%8</stp>
        <tr r="H10" s="14"/>
      </tp>
      <tp>
        <v>0.88590000000000002</v>
        <stp/>
        <stp>FWRC1#USDINR#Month End Rates#0#Bid%2</stp>
        <tr r="C10" s="14"/>
      </tp>
      <tp>
        <v>1.2655000000000001</v>
        <stp/>
        <stp>FWRC1#USDINR#Month End Rates#0#Bid%5</stp>
        <tr r="E10" s="14"/>
      </tp>
      <tp>
        <v>0.73819999999999997</v>
        <stp/>
        <stp>FWRC1#USDINR#Month End Rates#0#Bid%4</stp>
        <tr r="D10" s="14"/>
      </tp>
      <tp>
        <v>1.4905999999999999</v>
        <stp/>
        <stp>FWRC1#USDINR#Month End Rates#0#Bid%7</stp>
        <tr r="G10" s="14"/>
      </tp>
      <tp>
        <v>1.4561999999999999</v>
        <stp/>
        <stp>FWRC1#USDINR#Month End Rates#0#Bid%6</stp>
        <tr r="F10" s="14"/>
      </tp>
      <tp>
        <v>136.36199999999999</v>
        <stp/>
        <stp>12#2#1#6069#SUSDJPY#Close</stp>
        <tr r="H9" s="10"/>
      </tp>
      <tp>
        <v>64.668800000000005</v>
        <stp/>
        <stp>FWRC1#JPYINR#Month End Rates#0#FwdOutrightBid15</stp>
        <tr r="O7" s="18"/>
      </tp>
      <tp>
        <v>64.229699999999994</v>
        <stp/>
        <stp>FWRC1#JPYINR#Month End Rates#0#FwdOutrightBid14</stp>
        <tr r="N7" s="18"/>
      </tp>
      <tp>
        <v>63.090299999999999</v>
        <stp/>
        <stp>FWRC1#JPYINR#Month End Rates#0#FwdOutrightBid11</stp>
        <tr r="K7" s="18"/>
      </tp>
      <tp>
        <v>62.669199999999996</v>
        <stp/>
        <stp>FWRC1#JPYINR#Month End Rates#0#FwdOutrightBid10</stp>
        <tr r="J7" s="18"/>
      </tp>
      <tp>
        <v>63.852899999999998</v>
        <stp/>
        <stp>FWRC1#JPYINR#Month End Rates#0#FwdOutrightBid13</stp>
        <tr r="M7" s="18"/>
      </tp>
      <tp>
        <v>63.494100000000003</v>
        <stp/>
        <stp>FWRC1#JPYINR#Month End Rates#0#FwdOutrightBid12</stp>
        <tr r="L7" s="18"/>
      </tp>
      <tp>
        <v>-5.5621</v>
        <stp/>
        <stp>FWRC1#USDJPY#Month Wise Rates#0#Bid%9</stp>
        <tr r="F10" s="21"/>
      </tp>
      <tp>
        <v>-5.5762</v>
        <stp/>
        <stp>FWRC1#USDJPY#Month Wise Rates#0#Bid%8</stp>
        <tr r="E10" s="21"/>
      </tp>
      <tp>
        <v>-5.4781000000000004</v>
        <stp/>
        <stp>FWRC1#USDJPY#Month Wise Rates#0#Bid%7</stp>
        <tr r="D10" s="21"/>
      </tp>
      <tp>
        <v>-5.4214000000000002</v>
        <stp/>
        <stp>FWRC1#USDJPY#Month Wise Rates#0#Bid%2</stp>
        <tr r="C10" s="21"/>
      </tp>
      <tp>
        <v>1.03488</v>
        <stp/>
        <stp>12#2#1#6031#SGBPUSD#52WkLow</stp>
        <tr r="J8" s="10"/>
      </tp>
      <tp>
        <v>27752.762500000001</v>
        <stp/>
        <stp>FWRC1#JPYINR#Month End Rates#0#Close11</stp>
        <tr r="J22" s="23"/>
      </tp>
      <tp>
        <v>23541.787499999999</v>
        <stp/>
        <stp>FWRC1#JPYINR#Month End Rates#0#Close10</stp>
        <tr r="I22" s="23"/>
      </tp>
      <tp>
        <v>35378.547500000001</v>
        <stp/>
        <stp>FWRC1#JPYINR#Month End Rates#0#Close13</stp>
        <tr r="L22" s="23"/>
      </tp>
      <tp>
        <v>31791.467499999999</v>
        <stp/>
        <stp>FWRC1#JPYINR#Month End Rates#0#Close12</stp>
        <tr r="K22" s="23"/>
      </tp>
      <tp>
        <v>43538.485000000001</v>
        <stp/>
        <stp>FWRC1#JPYINR#Month End Rates#0#Close15</stp>
        <tr r="N22" s="23"/>
      </tp>
      <tp>
        <v>39146.595000000001</v>
        <stp/>
        <stp>FWRC1#JPYINR#Month End Rates#0#Close14</stp>
        <tr r="M22" s="23"/>
      </tp>
      <tp>
        <v>7.6449999999999996</v>
        <stp/>
        <stp>FWRC1#JPYINR#Month End Rates#0#Ask%15</stp>
        <tr r="O11" s="18"/>
      </tp>
      <tp>
        <v>7.6135999999999999</v>
        <stp/>
        <stp>FWRC1#JPYINR#Month End Rates#0#Ask%14</stp>
        <tr r="N11" s="18"/>
      </tp>
      <tp>
        <v>7.5408999999999997</v>
        <stp/>
        <stp>FWRC1#JPYINR#Month End Rates#0#Ask%13</stp>
        <tr r="M11" s="18"/>
      </tp>
      <tp>
        <v>7.5452000000000004</v>
        <stp/>
        <stp>FWRC1#JPYINR#Month End Rates#0#Ask%12</stp>
        <tr r="L11" s="18"/>
      </tp>
      <tp>
        <v>7.569</v>
        <stp/>
        <stp>FWRC1#JPYINR#Month End Rates#0#Ask%11</stp>
        <tr r="K11" s="18"/>
      </tp>
      <tp>
        <v>7.3852000000000002</v>
        <stp/>
        <stp>FWRC1#JPYINR#Month End Rates#0#Ask%10</stp>
        <tr r="J11" s="18"/>
      </tp>
      <tp>
        <v>7.5917000000000003</v>
        <stp/>
        <stp>FWRC1#JPYINR#Month End Rates#0#Bid%15</stp>
        <tr r="O10" s="18"/>
      </tp>
      <tp>
        <v>7.5433000000000003</v>
        <stp/>
        <stp>FWRC1#JPYINR#Month End Rates#0#Bid%14</stp>
        <tr r="N10" s="18"/>
      </tp>
      <tp>
        <v>7.4964000000000004</v>
        <stp/>
        <stp>FWRC1#JPYINR#Month End Rates#0#Bid%11</stp>
        <tr r="K10" s="18"/>
      </tp>
      <tp>
        <v>7.3047000000000004</v>
        <stp/>
        <stp>FWRC1#JPYINR#Month End Rates#0#Bid%10</stp>
        <tr r="J10" s="18"/>
      </tp>
      <tp>
        <v>7.4846000000000004</v>
        <stp/>
        <stp>FWRC1#JPYINR#Month End Rates#0#Bid%13</stp>
        <tr r="M10" s="18"/>
      </tp>
      <tp>
        <v>7.4847000000000001</v>
        <stp/>
        <stp>FWRC1#JPYINR#Month End Rates#0#Bid%12</stp>
        <tr r="L10" s="18"/>
      </tp>
      <tp t="s">
        <v>20-May-2024</v>
        <stp/>
        <stp>FWRC1#GBPUSD#Month Wise Rates#0#S#PillarDate18</stp>
        <tr r="O2" s="20"/>
      </tp>
      <tp t="s">
        <v>20-Feb-2024</v>
        <stp/>
        <stp>FWRC1#GBPUSD#Month Wise Rates#0#S#PillarDate15</stp>
        <tr r="L2" s="20"/>
      </tp>
      <tp t="s">
        <v>19-Jan-2024</v>
        <stp/>
        <stp>FWRC1#GBPUSD#Month Wise Rates#0#S#PillarDate14</stp>
        <tr r="K2" s="20"/>
      </tp>
      <tp t="s">
        <v>19-Apr-2024</v>
        <stp/>
        <stp>FWRC1#GBPUSD#Month Wise Rates#0#S#PillarDate17</stp>
        <tr r="N2" s="20"/>
      </tp>
      <tp t="s">
        <v>19-Mar-2024</v>
        <stp/>
        <stp>FWRC1#GBPUSD#Month Wise Rates#0#S#PillarDate16</stp>
        <tr r="M2" s="20"/>
      </tp>
      <tp t="s">
        <v>19-Oct-2023</v>
        <stp/>
        <stp>FWRC1#GBPUSD#Month Wise Rates#0#S#PillarDate11</stp>
        <tr r="H2" s="20"/>
      </tp>
      <tp t="s">
        <v>19-Sep-2023</v>
        <stp/>
        <stp>FWRC1#GBPUSD#Month Wise Rates#0#S#PillarDate10</stp>
        <tr r="G2" s="20"/>
      </tp>
      <tp t="s">
        <v>19-Dec-2023</v>
        <stp/>
        <stp>FWRC1#GBPUSD#Month Wise Rates#0#S#PillarDate13</stp>
        <tr r="J2" s="20"/>
      </tp>
      <tp t="s">
        <v>20-Nov-2023</v>
        <stp/>
        <stp>FWRC1#GBPUSD#Month Wise Rates#0#S#PillarDate12</stp>
        <tr r="I2" s="20"/>
      </tp>
      <tp>
        <v>104.5868</v>
        <stp/>
        <stp>FWRC1#GBPINR#Month End Rates#0#FwdOutrightAsk13</stp>
        <tr r="M8" s="17"/>
      </tp>
      <tp>
        <v>104.4218</v>
        <stp/>
        <stp>FWRC1#GBPINR#Month End Rates#0#FwdOutrightAsk12</stp>
        <tr r="L8" s="17"/>
      </tp>
      <tp>
        <v>104.2332</v>
        <stp/>
        <stp>FWRC1#GBPINR#Month End Rates#0#FwdOutrightAsk11</stp>
        <tr r="K8" s="17"/>
      </tp>
      <tp>
        <v>104.0339</v>
        <stp/>
        <stp>FWRC1#GBPINR#Month End Rates#0#FwdOutrightAsk10</stp>
        <tr r="J8" s="17"/>
      </tp>
      <tp>
        <v>105.0478</v>
        <stp/>
        <stp>FWRC1#GBPINR#Month End Rates#0#FwdOutrightAsk15</stp>
        <tr r="O8" s="17"/>
      </tp>
      <tp>
        <v>104.79649999999999</v>
        <stp/>
        <stp>FWRC1#GBPINR#Month End Rates#0#FwdOutrightAsk14</stp>
        <tr r="N8" s="17"/>
      </tp>
      <tp>
        <v>103.5698</v>
        <stp/>
        <stp>FWRC1#GBPINR#Month End Rates#0#FwdOutrightBid8</stp>
        <tr r="H7" s="17"/>
      </tp>
      <tp>
        <v>103.76139999999999</v>
        <stp/>
        <stp>FWRC1#GBPINR#Month End Rates#0#FwdOutrightBid9</stp>
        <tr r="I7" s="17"/>
      </tp>
      <tp>
        <v>102.8312</v>
        <stp/>
        <stp>FWRC1#GBPINR#Month End Rates#0#FwdOutrightBid4</stp>
        <tr r="D7" s="17"/>
      </tp>
      <tp>
        <v>103.01730000000001</v>
        <stp/>
        <stp>FWRC1#GBPINR#Month End Rates#0#FwdOutrightBid5</stp>
        <tr r="E7" s="17"/>
      </tp>
      <tp>
        <v>103.2062</v>
        <stp/>
        <stp>FWRC1#GBPINR#Month End Rates#0#FwdOutrightBid6</stp>
        <tr r="F7" s="17"/>
      </tp>
      <tp>
        <v>103.39700000000001</v>
        <stp/>
        <stp>FWRC1#GBPINR#Month End Rates#0#FwdOutrightBid7</stp>
        <tr r="G7" s="17"/>
      </tp>
      <tp>
        <v>102.765</v>
        <stp/>
        <stp>FWRC1#GBPINR#Month End Rates#0#FwdOutrightBid2</stp>
        <tr r="C7" s="17"/>
      </tp>
      <tp>
        <v>0.89629999999999999</v>
        <stp/>
        <stp>12#2#1#6069#SUSDCHF#Open</stp>
        <tr r="B13" s="23"/>
      </tp>
      <tp>
        <v>1.2482</v>
        <stp/>
        <stp>12#2#1#6031#SGBPUSD#Close</stp>
        <tr r="H8" s="10"/>
      </tp>
      <tp>
        <v>91.461100000000002</v>
        <stp/>
        <stp>FWRC1#EURINR#Month End Rates#0#FwdOutrightAsk11</stp>
        <tr r="K8" s="16"/>
      </tp>
      <tp>
        <v>91.161199999999994</v>
        <stp/>
        <stp>FWRC1#EURINR#Month End Rates#0#FwdOutrightAsk10</stp>
        <tr r="J8" s="16"/>
      </tp>
      <tp>
        <v>91.989800000000002</v>
        <stp/>
        <stp>FWRC1#EURINR#Month End Rates#0#FwdOutrightAsk13</stp>
        <tr r="M8" s="16"/>
      </tp>
      <tp>
        <v>91.734800000000007</v>
        <stp/>
        <stp>FWRC1#EURINR#Month End Rates#0#FwdOutrightAsk12</stp>
        <tr r="L8" s="16"/>
      </tp>
      <tp>
        <v>92.592500000000001</v>
        <stp/>
        <stp>FWRC1#EURINR#Month End Rates#0#FwdOutrightAsk15</stp>
        <tr r="O8" s="16"/>
      </tp>
      <tp>
        <v>92.287899999999993</v>
        <stp/>
        <stp>FWRC1#EURINR#Month End Rates#0#FwdOutrightAsk14</stp>
        <tr r="N8" s="16"/>
      </tp>
      <tp>
        <v>137.45500000000001</v>
        <stp/>
        <stp>12#2#1#6069#SUSDJPY#High</stp>
        <tr r="C12" s="23"/>
        <tr r="F9" s="10"/>
      </tp>
      <tp>
        <v>87</v>
        <stp/>
        <stp>FWRC1#USDINR#Month End Rates#0#Close11</stp>
        <tr r="J19" s="23"/>
      </tp>
      <tp>
        <v>74</v>
        <stp/>
        <stp>FWRC1#USDINR#Month End Rates#0#Close10</stp>
        <tr r="I19" s="23"/>
      </tp>
      <tp>
        <v>117</v>
        <stp/>
        <stp>FWRC1#USDINR#Month End Rates#0#Close13</stp>
        <tr r="L19" s="23"/>
      </tp>
      <tp>
        <v>103</v>
        <stp/>
        <stp>FWRC1#USDINR#Month End Rates#0#Close12</stp>
        <tr r="K19" s="23"/>
      </tp>
      <tp>
        <v>156</v>
        <stp/>
        <stp>FWRC1#USDINR#Month End Rates#0#Close15</stp>
        <tr r="N19" s="23"/>
      </tp>
      <tp>
        <v>132</v>
        <stp/>
        <stp>FWRC1#USDINR#Month End Rates#0#Close14</stp>
        <tr r="M19" s="23"/>
      </tp>
      <tp>
        <v>22177.802500000002</v>
        <stp/>
        <stp>FWRC1#GBPINR#Month End Rates#0#AskPrice15</stp>
        <tr r="O5" s="17"/>
      </tp>
      <tp>
        <v>19665.392500000002</v>
        <stp/>
        <stp>FWRC1#GBPINR#Month End Rates#0#AskPrice14</stp>
        <tr r="N5" s="17"/>
      </tp>
      <tp>
        <v>17568.009999999998</v>
        <stp/>
        <stp>FWRC1#GBPINR#Month End Rates#0#AskPrice13</stp>
        <tr r="M5" s="17"/>
      </tp>
      <tp>
        <v>15918.047500000001</v>
        <stp/>
        <stp>FWRC1#GBPINR#Month End Rates#0#AskPrice12</stp>
        <tr r="L5" s="17"/>
      </tp>
      <tp>
        <v>14032.13</v>
        <stp/>
        <stp>FWRC1#GBPINR#Month End Rates#0#AskPrice11</stp>
        <tr r="K5" s="17"/>
      </tp>
      <tp>
        <v>12039.202499999999</v>
        <stp/>
        <stp>FWRC1#GBPINR#Month End Rates#0#AskPrice10</stp>
        <tr r="J5" s="17"/>
      </tp>
      <tp>
        <v>21787.677500000002</v>
        <stp/>
        <stp>FWRC1#GBPINR#Month End Rates#0#BidPrice15</stp>
        <tr r="O4" s="17"/>
      </tp>
      <tp>
        <v>19342.907500000001</v>
        <stp/>
        <stp>FWRC1#GBPINR#Month End Rates#0#BidPrice14</stp>
        <tr r="N4" s="17"/>
      </tp>
      <tp>
        <v>13763.7425</v>
        <stp/>
        <stp>FWRC1#GBPINR#Month End Rates#0#BidPrice11</stp>
        <tr r="K4" s="17"/>
      </tp>
      <tp>
        <v>11651.0525</v>
        <stp/>
        <stp>FWRC1#GBPINR#Month End Rates#0#BidPrice10</stp>
        <tr r="J4" s="17"/>
      </tp>
      <tp>
        <v>17149.764999999999</v>
        <stp/>
        <stp>FWRC1#GBPINR#Month End Rates#0#BidPrice13</stp>
        <tr r="M4" s="17"/>
      </tp>
      <tp>
        <v>15519.334999999999</v>
        <stp/>
        <stp>FWRC1#GBPINR#Month End Rates#0#BidPrice12</stp>
        <tr r="L4" s="17"/>
      </tp>
      <tp>
        <v>1.0861799999999999</v>
        <stp/>
        <stp>12#2#1#5949#SEURUSD#Close</stp>
        <tr r="H7" s="10"/>
      </tp>
      <tp>
        <v>308.59500000000003</v>
        <stp/>
        <stp>FWRC1#EURINR#Month End Rates#0#BidPrice15</stp>
        <tr r="O4" s="16"/>
      </tp>
      <tp>
        <v>276.13499999999999</v>
        <stp/>
        <stp>FWRC1#EURINR#Month End Rates#0#BidPrice14</stp>
        <tr r="N4" s="16"/>
      </tp>
      <tp>
        <v>246.72499999999999</v>
        <stp/>
        <stp>FWRC1#EURINR#Month End Rates#0#BidPrice13</stp>
        <tr r="M4" s="16"/>
      </tp>
      <tp>
        <v>223.24</v>
        <stp/>
        <stp>FWRC1#EURINR#Month End Rates#0#BidPrice12</stp>
        <tr r="L4" s="16"/>
      </tp>
      <tp>
        <v>196.16749999999999</v>
        <stp/>
        <stp>FWRC1#EURINR#Month End Rates#0#BidPrice11</stp>
        <tr r="K4" s="16"/>
      </tp>
      <tp>
        <v>165.21250000000001</v>
        <stp/>
        <stp>FWRC1#EURINR#Month End Rates#0#BidPrice10</stp>
        <tr r="J4" s="16"/>
      </tp>
      <tp>
        <v>313</v>
        <stp/>
        <stp>FWRC1#EURINR#Month End Rates#0#AskPrice15</stp>
        <tr r="O5" s="16"/>
      </tp>
      <tp>
        <v>282.54000000000002</v>
        <stp/>
        <stp>FWRC1#EURINR#Month End Rates#0#AskPrice14</stp>
        <tr r="N5" s="16"/>
      </tp>
      <tp>
        <v>199.86250000000001</v>
        <stp/>
        <stp>FWRC1#EURINR#Month End Rates#0#AskPrice11</stp>
        <tr r="K5" s="16"/>
      </tp>
      <tp>
        <v>169.8725</v>
        <stp/>
        <stp>FWRC1#EURINR#Month End Rates#0#AskPrice10</stp>
        <tr r="J5" s="16"/>
      </tp>
      <tp>
        <v>252.72499999999999</v>
        <stp/>
        <stp>FWRC1#EURINR#Month End Rates#0#AskPrice13</stp>
        <tr r="M5" s="16"/>
      </tp>
      <tp>
        <v>227.23249999999999</v>
        <stp/>
        <stp>FWRC1#EURINR#Month End Rates#0#AskPrice12</stp>
        <tr r="L5" s="16"/>
      </tp>
      <tp>
        <v>126.321</v>
        <stp/>
        <stp>12#2#1#6069#SUSDJPY#52WkLow</stp>
        <tr r="J9" s="10"/>
      </tp>
      <tp>
        <v>1.6809000000000001</v>
        <stp/>
        <stp>FWRC1#USDINR#Month End Rates#0#Bid%10</stp>
        <tr r="J10" s="14"/>
      </tp>
      <tp>
        <v>1.7202999999999999</v>
        <stp/>
        <stp>FWRC1#USDINR#Month End Rates#0#Bid%11</stp>
        <tr r="K10" s="14"/>
      </tp>
      <tp>
        <v>1.7751999999999999</v>
        <stp/>
        <stp>FWRC1#USDINR#Month End Rates#0#Bid%12</stp>
        <tr r="L10" s="14"/>
      </tp>
      <tp>
        <v>1.8120000000000001</v>
        <stp/>
        <stp>FWRC1#USDINR#Month End Rates#0#Bid%13</stp>
        <tr r="M10" s="14"/>
      </tp>
      <tp>
        <v>1.8620000000000001</v>
        <stp/>
        <stp>FWRC1#USDINR#Month End Rates#0#Bid%14</stp>
        <tr r="N10" s="14"/>
      </tp>
      <tp>
        <v>1.9913000000000001</v>
        <stp/>
        <stp>FWRC1#USDINR#Month End Rates#0#Bid%15</stp>
        <tr r="O10" s="14"/>
      </tp>
      <tp>
        <v>1.8098000000000001</v>
        <stp/>
        <stp>FWRC1#USDINR#Month End Rates#0#Ask%12</stp>
        <tr r="L11" s="14"/>
      </tp>
      <tp>
        <v>1.8431</v>
        <stp/>
        <stp>FWRC1#USDINR#Month End Rates#0#Ask%13</stp>
        <tr r="M11" s="14"/>
      </tp>
      <tp>
        <v>1.7263999999999999</v>
        <stp/>
        <stp>FWRC1#USDINR#Month End Rates#0#Ask%10</stp>
        <tr r="J11" s="14"/>
      </tp>
      <tp>
        <v>1.76</v>
        <stp/>
        <stp>FWRC1#USDINR#Month End Rates#0#Ask%11</stp>
        <tr r="K11" s="14"/>
      </tp>
      <tp>
        <v>1.8903000000000001</v>
        <stp/>
        <stp>FWRC1#USDINR#Month End Rates#0#Ask%14</stp>
        <tr r="N11" s="14"/>
      </tp>
      <tp>
        <v>2.0169000000000001</v>
        <stp/>
        <stp>FWRC1#USDINR#Month End Rates#0#Ask%15</stp>
        <tr r="O11" s="14"/>
      </tp>
      <tp t="s">
        <v>12M</v>
        <stp/>
        <stp>FWRC1#GBPUSD#Month Wise Rates#0#S#Desc.18</stp>
        <tr r="O1" s="20"/>
      </tp>
      <tp t="s">
        <v>5M</v>
        <stp/>
        <stp>FWRC1#GBPUSD#Month Wise Rates#0#S#Desc.11</stp>
        <tr r="H1" s="20"/>
      </tp>
      <tp t="s">
        <v>4M</v>
        <stp/>
        <stp>FWRC1#GBPUSD#Month Wise Rates#0#S#Desc.10</stp>
        <tr r="G1" s="20"/>
      </tp>
      <tp t="s">
        <v>7M</v>
        <stp/>
        <stp>FWRC1#GBPUSD#Month Wise Rates#0#S#Desc.13</stp>
        <tr r="J1" s="20"/>
      </tp>
      <tp t="s">
        <v>6M</v>
        <stp/>
        <stp>FWRC1#GBPUSD#Month Wise Rates#0#S#Desc.12</stp>
        <tr r="I1" s="20"/>
      </tp>
      <tp t="s">
        <v>9M</v>
        <stp/>
        <stp>FWRC1#GBPUSD#Month Wise Rates#0#S#Desc.15</stp>
        <tr r="L1" s="20"/>
      </tp>
      <tp t="s">
        <v>8M</v>
        <stp/>
        <stp>FWRC1#GBPUSD#Month Wise Rates#0#S#Desc.14</stp>
        <tr r="K1" s="20"/>
      </tp>
      <tp t="s">
        <v>11M</v>
        <stp/>
        <stp>FWRC1#GBPUSD#Month Wise Rates#0#S#Desc.17</stp>
        <tr r="N1" s="20"/>
      </tp>
      <tp t="s">
        <v>10M</v>
        <stp/>
        <stp>FWRC1#GBPUSD#Month Wise Rates#0#S#Desc.16</stp>
        <tr r="M1" s="20"/>
      </tp>
      <tp>
        <v>91.594999999999999</v>
        <stp/>
        <stp>FWRC1#CHFINR#Month Wise Rates#0#Close0</stp>
        <tr r="I23" s="23"/>
        <tr r="F23" s="23"/>
        <tr r="J23" s="23"/>
        <tr r="N23" s="23"/>
        <tr r="M23" s="23"/>
        <tr r="L23" s="23"/>
        <tr r="D23" s="23"/>
        <tr r="K23" s="23"/>
        <tr r="E23" s="23"/>
        <tr r="B23" s="23"/>
        <tr r="G23" s="23"/>
        <tr r="H23" s="23"/>
        <tr r="C23" s="23"/>
      </tp>
      <tp>
        <v>4127.4315999999999</v>
        <stp/>
        <stp>FWRC1#CHFINR#Month Wise Rates#0#Close7</stp>
        <tr r="C23" s="23"/>
      </tp>
      <tp>
        <v>12809.7219</v>
        <stp/>
        <stp>FWRC1#CHFINR#Month Wise Rates#0#Close9</stp>
        <tr r="E23" s="23"/>
      </tp>
      <tp>
        <v>8647.6790999999994</v>
        <stp/>
        <stp>FWRC1#CHFINR#Month Wise Rates#0#Close8</stp>
        <tr r="D23" s="23"/>
      </tp>
      <tp>
        <v>1.482</v>
        <stp/>
        <stp>FWRC1#USDINR#Month Wise Rates#0#Bid%9</stp>
        <tr r="F10" s="15"/>
      </tp>
      <tp>
        <v>1.4054</v>
        <stp/>
        <stp>FWRC1#USDINR#Month Wise Rates#0#Bid%8</stp>
        <tr r="E10" s="15"/>
      </tp>
      <tp>
        <v>1.1996</v>
        <stp/>
        <stp>FWRC1#USDINR#Month Wise Rates#0#Bid%7</stp>
        <tr r="D10" s="15"/>
      </tp>
      <tp>
        <v>0.73819999999999997</v>
        <stp/>
        <stp>FWRC1#USDINR#Month Wise Rates#0#Bid%3</stp>
        <tr r="C10" s="15"/>
      </tp>
      <tp>
        <v>0.74939999999999996</v>
        <stp/>
        <stp>FWRC1#GBPUSD#Month Wise Rates#0#Ask%8</stp>
        <tr r="E11" s="20"/>
      </tp>
      <tp>
        <v>0.6764</v>
        <stp/>
        <stp>FWRC1#GBPUSD#Month Wise Rates#0#Ask%9</stp>
        <tr r="F11" s="20"/>
      </tp>
      <tp>
        <v>0.76119999999999999</v>
        <stp/>
        <stp>FWRC1#GBPUSD#Month Wise Rates#0#Ask%2</stp>
        <tr r="C11" s="20"/>
      </tp>
      <tp>
        <v>0.78159999999999996</v>
        <stp/>
        <stp>FWRC1#GBPUSD#Month Wise Rates#0#Ask%7</stp>
        <tr r="D11" s="20"/>
      </tp>
      <tp t="s">
        <v>12M</v>
        <stp/>
        <stp>FWRC1#EURUSD#Month Wise Rates#0#S#Desc.18</stp>
        <tr r="O1" s="19"/>
      </tp>
      <tp t="s">
        <v>7M</v>
        <stp/>
        <stp>FWRC1#EURUSD#Month Wise Rates#0#S#Desc.13</stp>
        <tr r="J1" s="19"/>
      </tp>
      <tp t="s">
        <v>6M</v>
        <stp/>
        <stp>FWRC1#EURUSD#Month Wise Rates#0#S#Desc.12</stp>
        <tr r="I1" s="19"/>
      </tp>
      <tp t="s">
        <v>5M</v>
        <stp/>
        <stp>FWRC1#EURUSD#Month Wise Rates#0#S#Desc.11</stp>
        <tr r="H1" s="19"/>
      </tp>
      <tp t="s">
        <v>4M</v>
        <stp/>
        <stp>FWRC1#EURUSD#Month Wise Rates#0#S#Desc.10</stp>
        <tr r="G1" s="19"/>
      </tp>
      <tp t="s">
        <v>11M</v>
        <stp/>
        <stp>FWRC1#EURUSD#Month Wise Rates#0#S#Desc.17</stp>
        <tr r="N1" s="19"/>
      </tp>
      <tp t="s">
        <v>10M</v>
        <stp/>
        <stp>FWRC1#EURUSD#Month Wise Rates#0#S#Desc.16</stp>
        <tr r="M1" s="19"/>
      </tp>
      <tp t="s">
        <v>9M</v>
        <stp/>
        <stp>FWRC1#EURUSD#Month Wise Rates#0#S#Desc.15</stp>
        <tr r="L1" s="19"/>
      </tp>
      <tp t="s">
        <v>8M</v>
        <stp/>
        <stp>FWRC1#EURUSD#Month Wise Rates#0#S#Desc.14</stp>
        <tr r="K1" s="19"/>
      </tp>
      <tp>
        <v>136.36600000000001</v>
        <stp/>
        <stp>12#2#1#6069#SUSDJPY#Open</stp>
        <tr r="B12" s="23"/>
        <tr r="E9" s="10"/>
      </tp>
      <tp>
        <v>103.6643</v>
        <stp/>
        <stp>FWRC1#GBPINR#Month End Rates#0#FwdOutrightAsk8</stp>
        <tr r="H8" s="17"/>
      </tp>
      <tp>
        <v>103.8531</v>
        <stp/>
        <stp>FWRC1#GBPINR#Month End Rates#0#FwdOutrightAsk9</stp>
        <tr r="I8" s="17"/>
      </tp>
      <tp>
        <v>102.9057</v>
        <stp/>
        <stp>FWRC1#GBPINR#Month End Rates#0#FwdOutrightAsk4</stp>
        <tr r="D8" s="17"/>
      </tp>
      <tp>
        <v>103.1001</v>
        <stp/>
        <stp>FWRC1#GBPINR#Month End Rates#0#FwdOutrightAsk5</stp>
        <tr r="E8" s="17"/>
      </tp>
      <tp>
        <v>103.2915</v>
        <stp/>
        <stp>FWRC1#GBPINR#Month End Rates#0#FwdOutrightAsk6</stp>
        <tr r="F8" s="17"/>
      </tp>
      <tp>
        <v>103.48439999999999</v>
        <stp/>
        <stp>FWRC1#GBPINR#Month End Rates#0#FwdOutrightAsk7</stp>
        <tr r="G8" s="17"/>
      </tp>
      <tp>
        <v>102.83</v>
        <stp/>
        <stp>FWRC1#GBPINR#Month End Rates#0#FwdOutrightAsk2</stp>
        <tr r="C8" s="17"/>
      </tp>
      <tp>
        <v>0.90256999999999998</v>
        <stp/>
        <stp>12#2#1#6069#SUSDCHF#High</stp>
        <tr r="C13" s="23"/>
      </tp>
      <tp>
        <v>2.0897999999999999</v>
        <stp/>
        <stp>FWRC1#EURUSD#Month Wise Rates#0#Ask%8</stp>
        <tr r="E11" s="19"/>
      </tp>
      <tp>
        <v>2.0085000000000002</v>
        <stp/>
        <stp>FWRC1#EURUSD#Month Wise Rates#0#Ask%9</stp>
        <tr r="F11" s="19"/>
      </tp>
      <tp>
        <v>2.0268000000000002</v>
        <stp/>
        <stp>FWRC1#EURUSD#Month Wise Rates#0#Ask%2</stp>
        <tr r="C11" s="19"/>
      </tp>
      <tp>
        <v>2.0951</v>
        <stp/>
        <stp>FWRC1#EURUSD#Month Wise Rates#0#Ask%7</stp>
        <tr r="D11" s="19"/>
      </tp>
      <tp>
        <v>1.3443000000000001</v>
        <stp/>
        <stp>12#2#1#6069#SUSDSGD#High</stp>
        <tr r="C16" s="23"/>
      </tp>
      <tp>
        <v>1.9994000000000001</v>
        <stp/>
        <stp>FWRC1#EURUSD#Month Wise Rates#0#Bid%9</stp>
        <tr r="F10" s="19"/>
      </tp>
      <tp>
        <v>2.0737999999999999</v>
        <stp/>
        <stp>FWRC1#EURUSD#Month Wise Rates#0#Bid%8</stp>
        <tr r="E10" s="19"/>
      </tp>
      <tp>
        <v>1.9594</v>
        <stp/>
        <stp>FWRC1#EURUSD#Month Wise Rates#0#Bid%2</stp>
        <tr r="C10" s="19"/>
      </tp>
      <tp>
        <v>2.0739999999999998</v>
        <stp/>
        <stp>FWRC1#EURUSD#Month Wise Rates#0#Bid%7</stp>
        <tr r="D10" s="19"/>
      </tp>
      <tp>
        <v>-25.4</v>
        <stp/>
        <stp>FWRC1#USDCAD#Month Wise Rates#0#Close9</stp>
        <tr r="E31" s="23"/>
      </tp>
      <tp>
        <v>-17.79</v>
        <stp/>
        <stp>FWRC1#USDCAD#Month Wise Rates#0#Close8</stp>
        <tr r="D31" s="23"/>
      </tp>
      <tp>
        <v>1.3495900000000001</v>
        <stp/>
        <stp>FWRC1#USDCAD#Month Wise Rates#0#Close0</stp>
        <tr r="C31" s="23"/>
        <tr r="F31" s="23"/>
        <tr r="E31" s="23"/>
        <tr r="K31" s="23"/>
        <tr r="M31" s="23"/>
        <tr r="N31" s="23"/>
        <tr r="H31" s="23"/>
        <tr r="L31" s="23"/>
        <tr r="I31" s="23"/>
        <tr r="D31" s="23"/>
        <tr r="J31" s="23"/>
        <tr r="G31" s="23"/>
        <tr r="B31" s="23"/>
      </tp>
      <tp>
        <v>-9.19</v>
        <stp/>
        <stp>FWRC1#USDCAD#Month Wise Rates#0#Close7</stp>
        <tr r="C31" s="23"/>
      </tp>
      <tp t="s">
        <v>20-May-2024</v>
        <stp/>
        <stp>FWRC1#EURUSD#Month Wise Rates#0#S#PillarDate18</stp>
        <tr r="O2" s="19"/>
      </tp>
      <tp t="s">
        <v>20-Feb-2024</v>
        <stp/>
        <stp>FWRC1#EURUSD#Month Wise Rates#0#S#PillarDate15</stp>
        <tr r="L2" s="19"/>
      </tp>
      <tp t="s">
        <v>19-Jan-2024</v>
        <stp/>
        <stp>FWRC1#EURUSD#Month Wise Rates#0#S#PillarDate14</stp>
        <tr r="K2" s="19"/>
      </tp>
      <tp t="s">
        <v>19-Apr-2024</v>
        <stp/>
        <stp>FWRC1#EURUSD#Month Wise Rates#0#S#PillarDate17</stp>
        <tr r="N2" s="19"/>
      </tp>
      <tp t="s">
        <v>19-Mar-2024</v>
        <stp/>
        <stp>FWRC1#EURUSD#Month Wise Rates#0#S#PillarDate16</stp>
        <tr r="M2" s="19"/>
      </tp>
      <tp t="s">
        <v>19-Oct-2023</v>
        <stp/>
        <stp>FWRC1#EURUSD#Month Wise Rates#0#S#PillarDate11</stp>
        <tr r="H2" s="19"/>
      </tp>
      <tp t="s">
        <v>19-Sep-2023</v>
        <stp/>
        <stp>FWRC1#EURUSD#Month Wise Rates#0#S#PillarDate10</stp>
        <tr r="G2" s="19"/>
      </tp>
      <tp t="s">
        <v>19-Dec-2023</v>
        <stp/>
        <stp>FWRC1#EURUSD#Month Wise Rates#0#S#PillarDate13</stp>
        <tr r="J2" s="19"/>
      </tp>
      <tp t="s">
        <v>20-Nov-2023</v>
        <stp/>
        <stp>FWRC1#EURUSD#Month Wise Rates#0#S#PillarDate12</stp>
        <tr r="I2" s="19"/>
      </tp>
      <tp>
        <v>90.585800000000006</v>
        <stp/>
        <stp>FWRC1#EURINR#Month End Rates#0#FwdOutrightBid8</stp>
        <tr r="H7" s="16"/>
      </tp>
      <tp>
        <v>90.857200000000006</v>
        <stp/>
        <stp>FWRC1#EURINR#Month End Rates#0#FwdOutrightBid9</stp>
        <tr r="I7" s="16"/>
      </tp>
      <tp>
        <v>89.546000000000006</v>
        <stp/>
        <stp>FWRC1#EURINR#Month End Rates#0#FwdOutrightBid4</stp>
        <tr r="D7" s="16"/>
      </tp>
      <tp>
        <v>89.807199999999995</v>
        <stp/>
        <stp>FWRC1#EURINR#Month End Rates#0#FwdOutrightBid5</stp>
        <tr r="E7" s="16"/>
      </tp>
      <tp>
        <v>90.070899999999995</v>
        <stp/>
        <stp>FWRC1#EURINR#Month End Rates#0#FwdOutrightBid6</stp>
        <tr r="F7" s="16"/>
      </tp>
      <tp>
        <v>90.333100000000002</v>
        <stp/>
        <stp>FWRC1#EURINR#Month End Rates#0#FwdOutrightBid7</stp>
        <tr r="G7" s="16"/>
      </tp>
      <tp>
        <v>89.45</v>
        <stp/>
        <stp>FWRC1#EURINR#Month End Rates#0#FwdOutrightBid2</stp>
        <tr r="C7" s="16"/>
      </tp>
      <tp>
        <v>-81.180000000000007</v>
        <stp/>
        <stp>12#1#1#6069#FUSDSGD\05M#LTP</stp>
        <tr r="G33" s="23"/>
      </tp>
      <tp>
        <v>-64.72</v>
        <stp/>
        <stp>12#1#1#6069#FUSDSGD\04M#LTP</stp>
        <tr r="F33" s="23"/>
      </tp>
      <tp>
        <v>-120.82</v>
        <stp/>
        <stp>12#1#1#6069#FUSDSGD\07M#LTP</stp>
        <tr r="I33" s="23"/>
      </tp>
      <tp>
        <v>-99.84</v>
        <stp/>
        <stp>12#1#1#6069#FUSDSGD\06M#LTP</stp>
        <tr r="H33" s="23"/>
      </tp>
      <tp>
        <v>-15.38</v>
        <stp/>
        <stp>12#1#1#6069#FUSDSGD\01M#LTP</stp>
        <tr r="C33" s="23"/>
      </tp>
      <tp>
        <v>-49.07</v>
        <stp/>
        <stp>12#1#1#6069#FUSDSGD\03M#LTP</stp>
        <tr r="E33" s="23"/>
      </tp>
      <tp>
        <v>-30.52</v>
        <stp/>
        <stp>12#1#1#6069#FUSDSGD\02M#LTP</stp>
        <tr r="D33" s="23"/>
      </tp>
      <tp>
        <v>-143.46</v>
        <stp/>
        <stp>12#1#1#6069#FUSDSGD\09M#LTP</stp>
        <tr r="K33" s="23"/>
      </tp>
      <tp>
        <v>-135.79</v>
        <stp/>
        <stp>12#1#1#6069#FUSDSGD\08M#LTP</stp>
        <tr r="J33" s="23"/>
      </tp>
      <tp>
        <v>1.5507</v>
        <stp/>
        <stp>FWRC1#USDINR#Month Wise Rates#0#Ask%8</stp>
        <tr r="E11" s="15"/>
      </tp>
      <tp>
        <v>1.5764</v>
        <stp/>
        <stp>FWRC1#USDINR#Month Wise Rates#0#Ask%9</stp>
        <tr r="F11" s="15"/>
      </tp>
      <tp>
        <v>1.4764999999999999</v>
        <stp/>
        <stp>FWRC1#USDINR#Month Wise Rates#0#Ask%7</stp>
        <tr r="D11" s="15"/>
      </tp>
      <tp>
        <v>1.4764999999999999</v>
        <stp/>
        <stp>FWRC1#USDINR#Month Wise Rates#0#Ask%3</stp>
        <tr r="C11" s="15"/>
      </tp>
      <tp>
        <v>0.67190000000000005</v>
        <stp/>
        <stp>FWRC1#GBPUSD#Month Wise Rates#0#Bid%9</stp>
        <tr r="F10" s="20"/>
      </tp>
      <tp>
        <v>0.72919999999999996</v>
        <stp/>
        <stp>FWRC1#GBPUSD#Month Wise Rates#0#Bid%8</stp>
        <tr r="E10" s="20"/>
      </tp>
      <tp>
        <v>0.65</v>
        <stp/>
        <stp>FWRC1#GBPUSD#Month Wise Rates#0#Bid%2</stp>
        <tr r="C10" s="20"/>
      </tp>
      <tp>
        <v>0.75960000000000005</v>
        <stp/>
        <stp>FWRC1#GBPUSD#Month Wise Rates#0#Bid%7</stp>
        <tr r="D10" s="20"/>
      </tp>
      <tp t="s">
        <v>12M</v>
        <stp/>
        <stp>FWRC1#USDINR#Month Wise Rates#0#S#Desc.18</stp>
        <tr r="O1" s="15"/>
      </tp>
      <tp t="s">
        <v>9M</v>
        <stp/>
        <stp>FWRC1#USDINR#Month Wise Rates#0#S#Desc.15</stp>
        <tr r="L1" s="15"/>
      </tp>
      <tp t="s">
        <v>8M</v>
        <stp/>
        <stp>FWRC1#USDINR#Month Wise Rates#0#S#Desc.14</stp>
        <tr r="K1" s="15"/>
      </tp>
      <tp t="s">
        <v>11M</v>
        <stp/>
        <stp>FWRC1#USDINR#Month Wise Rates#0#S#Desc.17</stp>
        <tr r="N1" s="15"/>
      </tp>
      <tp t="s">
        <v>10M</v>
        <stp/>
        <stp>FWRC1#USDINR#Month Wise Rates#0#S#Desc.16</stp>
        <tr r="M1" s="15"/>
      </tp>
      <tp t="s">
        <v>5M</v>
        <stp/>
        <stp>FWRC1#USDINR#Month Wise Rates#0#S#Desc.11</stp>
        <tr r="H1" s="15"/>
      </tp>
      <tp t="s">
        <v>4M</v>
        <stp/>
        <stp>FWRC1#USDINR#Month Wise Rates#0#S#Desc.10</stp>
        <tr r="G1" s="15"/>
      </tp>
      <tp t="s">
        <v>7M</v>
        <stp/>
        <stp>FWRC1#USDINR#Month Wise Rates#0#S#Desc.13</stp>
        <tr r="J1" s="15"/>
      </tp>
      <tp t="s">
        <v>6M</v>
        <stp/>
        <stp>FWRC1#USDINR#Month Wise Rates#0#S#Desc.12</stp>
        <tr r="I1" s="15"/>
      </tp>
      <tp>
        <v>1.2493799999999999</v>
        <stp/>
        <stp>12#2#1#6031#SGBPUSD#High</stp>
        <tr r="C11" s="23"/>
        <tr r="F8" s="10"/>
      </tp>
      <tp>
        <v>-173.73</v>
        <stp/>
        <stp>12#1#1#6069#FUSDSGD\11M#LTP</stp>
        <tr r="M33" s="23"/>
      </tp>
      <tp>
        <v>-156.22</v>
        <stp/>
        <stp>12#1#1#6069#FUSDSGD\10M#LTP</stp>
        <tr r="L33" s="23"/>
      </tp>
      <tp>
        <v>-181.88</v>
        <stp/>
        <stp>12#1#1#6069#FUSDSGD\12M#LTP</stp>
        <tr r="N33" s="23"/>
      </tp>
      <tp>
        <v>-91.49</v>
        <stp/>
        <stp>FWRC1#USDCHF#Month Wise Rates#0#Close9</stp>
        <tr r="E30" s="23"/>
      </tp>
      <tp>
        <v>-63.77</v>
        <stp/>
        <stp>FWRC1#USDCHF#Month Wise Rates#0#Close8</stp>
        <tr r="D30" s="23"/>
      </tp>
      <tp>
        <v>61.34</v>
        <stp/>
        <stp>FWRC1#SGDINR#Month Wise Rates#0#Close0</stp>
        <tr r="N26" s="23"/>
        <tr r="G26" s="23"/>
        <tr r="C26" s="23"/>
        <tr r="E26" s="23"/>
        <tr r="B26" s="23"/>
        <tr r="H26" s="23"/>
        <tr r="F26" s="23"/>
        <tr r="I26" s="23"/>
        <tr r="K26" s="23"/>
        <tr r="J26" s="23"/>
        <tr r="D26" s="23"/>
        <tr r="L26" s="23"/>
        <tr r="M26" s="23"/>
      </tp>
      <tp>
        <v>1249.4864</v>
        <stp/>
        <stp>FWRC1#SGDINR#Month Wise Rates#0#Close7</stp>
        <tr r="C26" s="23"/>
      </tp>
      <tp>
        <v>0.89973999999999998</v>
        <stp/>
        <stp>FWRC1#USDCHF#Month Wise Rates#0#Close0</stp>
        <tr r="I30" s="23"/>
        <tr r="C30" s="23"/>
        <tr r="K30" s="23"/>
        <tr r="L30" s="23"/>
        <tr r="N30" s="23"/>
        <tr r="M30" s="23"/>
        <tr r="H30" s="23"/>
        <tr r="B30" s="23"/>
        <tr r="E30" s="23"/>
        <tr r="F30" s="23"/>
        <tr r="D30" s="23"/>
        <tr r="J30" s="23"/>
        <tr r="G30" s="23"/>
      </tp>
      <tp>
        <v>4202.1858000000002</v>
        <stp/>
        <stp>FWRC1#SGDINR#Month Wise Rates#0#Close9</stp>
        <tr r="E26" s="23"/>
      </tp>
      <tp>
        <v>2502.6293999999998</v>
        <stp/>
        <stp>FWRC1#SGDINR#Month Wise Rates#0#Close8</stp>
        <tr r="D26" s="23"/>
      </tp>
      <tp>
        <v>-31.24</v>
        <stp/>
        <stp>FWRC1#USDCHF#Month Wise Rates#0#Close7</stp>
        <tr r="C30" s="23"/>
      </tp>
      <tp>
        <v>39146.595000000001</v>
        <stp/>
        <stp>FWRC1#JPYINR#Month End Rates#0#BidPrice14</stp>
        <tr r="N4" s="18"/>
      </tp>
      <tp>
        <v>43538.485000000001</v>
        <stp/>
        <stp>FWRC1#JPYINR#Month End Rates#0#BidPrice15</stp>
        <tr r="O4" s="18"/>
      </tp>
      <tp>
        <v>23541.787499999999</v>
        <stp/>
        <stp>FWRC1#JPYINR#Month End Rates#0#BidPrice10</stp>
        <tr r="J4" s="18"/>
      </tp>
      <tp>
        <v>27752.762500000001</v>
        <stp/>
        <stp>FWRC1#JPYINR#Month End Rates#0#BidPrice11</stp>
        <tr r="K4" s="18"/>
      </tp>
      <tp>
        <v>31791.467499999999</v>
        <stp/>
        <stp>FWRC1#JPYINR#Month End Rates#0#BidPrice12</stp>
        <tr r="L4" s="18"/>
      </tp>
      <tp>
        <v>35378.547500000001</v>
        <stp/>
        <stp>FWRC1#JPYINR#Month End Rates#0#BidPrice13</stp>
        <tr r="M4" s="18"/>
      </tp>
      <tp>
        <v>39505.2575</v>
        <stp/>
        <stp>FWRC1#JPYINR#Month End Rates#0#AskPrice14</stp>
        <tr r="N5" s="18"/>
      </tp>
      <tp>
        <v>43836.802499999998</v>
        <stp/>
        <stp>FWRC1#JPYINR#Month End Rates#0#AskPrice15</stp>
        <tr r="O5" s="18"/>
      </tp>
      <tp>
        <v>32043.407500000001</v>
        <stp/>
        <stp>FWRC1#JPYINR#Month End Rates#0#AskPrice12</stp>
        <tr r="L5" s="18"/>
      </tp>
      <tp>
        <v>35638.67</v>
        <stp/>
        <stp>FWRC1#JPYINR#Month End Rates#0#AskPrice13</stp>
        <tr r="M5" s="18"/>
      </tp>
      <tp>
        <v>23797.4925</v>
        <stp/>
        <stp>FWRC1#JPYINR#Month End Rates#0#AskPrice10</stp>
        <tr r="J5" s="18"/>
      </tp>
      <tp>
        <v>28016.87</v>
        <stp/>
        <stp>FWRC1#JPYINR#Month End Rates#0#AskPrice11</stp>
        <tr r="K5" s="18"/>
      </tp>
      <tp>
        <v>61.042499999999997</v>
        <stp/>
        <stp>FWRC1#CADINR#Month Wise Rates#0#Close0</stp>
        <tr r="D24" s="23"/>
        <tr r="N24" s="23"/>
        <tr r="E24" s="23"/>
        <tr r="H24" s="23"/>
        <tr r="J24" s="23"/>
        <tr r="C24" s="23"/>
        <tr r="F24" s="23"/>
        <tr r="M24" s="23"/>
        <tr r="K24" s="23"/>
        <tr r="I24" s="23"/>
        <tr r="L24" s="23"/>
        <tr r="G24" s="23"/>
        <tr r="B24" s="23"/>
      </tp>
      <tp>
        <v>1040.0491</v>
        <stp/>
        <stp>FWRC1#CADINR#Month Wise Rates#0#Close7</stp>
        <tr r="C24" s="23"/>
      </tp>
      <tp>
        <v>3452.8894</v>
        <stp/>
        <stp>FWRC1#CADINR#Month Wise Rates#0#Close9</stp>
        <tr r="E24" s="23"/>
      </tp>
      <tp>
        <v>2209.8026</v>
        <stp/>
        <stp>FWRC1#CADINR#Month Wise Rates#0#Close8</stp>
        <tr r="D24" s="23"/>
      </tp>
      <tp>
        <v>0.66710000000000003</v>
        <stp/>
        <stp>12#2#1#5903#SAUDUSD#High</stp>
        <tr r="C15" s="23"/>
      </tp>
      <tp>
        <v>1.0873999999999999</v>
        <stp/>
        <stp>12#2#1#5949#SEURUSD#High</stp>
        <tr r="F7" s="10"/>
        <tr r="C10" s="23"/>
      </tp>
      <tp>
        <v>1.3535900000000001</v>
        <stp/>
        <stp>12#2#1#6069#SUSDCAD#High</stp>
        <tr r="C14" s="23"/>
      </tp>
      <tp>
        <v>13763.7425</v>
        <stp/>
        <stp>FWRC1#GBPINR#Month End Rates#0#Close11</stp>
        <tr r="J21" s="23"/>
      </tp>
      <tp>
        <v>11651.0525</v>
        <stp/>
        <stp>FWRC1#GBPINR#Month End Rates#0#Close10</stp>
        <tr r="I21" s="23"/>
      </tp>
      <tp>
        <v>17149.764999999999</v>
        <stp/>
        <stp>FWRC1#GBPINR#Month End Rates#0#Close13</stp>
        <tr r="L21" s="23"/>
      </tp>
      <tp>
        <v>15519.334999999999</v>
        <stp/>
        <stp>FWRC1#GBPINR#Month End Rates#0#Close12</stp>
        <tr r="K21" s="23"/>
      </tp>
      <tp>
        <v>21787.677500000002</v>
        <stp/>
        <stp>FWRC1#GBPINR#Month End Rates#0#Close15</stp>
        <tr r="N21" s="23"/>
      </tp>
      <tp>
        <v>19342.907500000001</v>
        <stp/>
        <stp>FWRC1#GBPINR#Month End Rates#0#Close14</stp>
        <tr r="M21" s="23"/>
      </tp>
      <tp>
        <v>61.906300000000002</v>
        <stp/>
        <stp>FWRC1#JPYINR#Month End Rates#0#FwdOutrightBid8</stp>
        <tr r="H7" s="18"/>
      </tp>
      <tp>
        <v>62.302799999999998</v>
        <stp/>
        <stp>FWRC1#JPYINR#Month End Rates#0#FwdOutrightBid9</stp>
        <tr r="I7" s="18"/>
      </tp>
      <tp>
        <v>60.446599999999997</v>
        <stp/>
        <stp>FWRC1#JPYINR#Month End Rates#0#FwdOutrightBid4</stp>
        <tr r="D7" s="18"/>
      </tp>
      <tp>
        <v>60.799300000000002</v>
        <stp/>
        <stp>FWRC1#JPYINR#Month End Rates#0#FwdOutrightBid5</stp>
        <tr r="E7" s="18"/>
      </tp>
      <tp>
        <v>61.170299999999997</v>
        <stp/>
        <stp>FWRC1#JPYINR#Month End Rates#0#FwdOutrightBid6</stp>
        <tr r="F7" s="18"/>
      </tp>
      <tp>
        <v>61.536900000000003</v>
        <stp/>
        <stp>FWRC1#JPYINR#Month End Rates#0#FwdOutrightBid7</stp>
        <tr r="G7" s="18"/>
      </tp>
      <tp>
        <v>60.314999999999998</v>
        <stp/>
        <stp>FWRC1#JPYINR#Month End Rates#0#FwdOutrightBid2</stp>
        <tr r="C7" s="18"/>
      </tp>
      <tp>
        <v>55.73</v>
        <stp/>
        <stp>FWRC1#EURUSD#Month Wise Rates#0#Close9</stp>
        <tr r="E27" s="23"/>
      </tp>
      <tp>
        <v>37.51</v>
        <stp/>
        <stp>FWRC1#EURUSD#Month Wise Rates#0#Close8</stp>
        <tr r="D27" s="23"/>
      </tp>
      <tp>
        <v>19.68</v>
        <stp/>
        <stp>FWRC1#EURUSD#Month Wise Rates#0#Close7</stp>
        <tr r="C27" s="23"/>
      </tp>
      <tp>
        <v>1.08226</v>
        <stp/>
        <stp>FWRC1#EURUSD#Month Wise Rates#0#Close0</stp>
        <tr r="C27" s="23"/>
        <tr r="D27" s="23"/>
        <tr r="B27" s="23"/>
        <tr r="J27" s="23"/>
        <tr r="I27" s="23"/>
        <tr r="F27" s="23"/>
        <tr r="M27" s="23"/>
        <tr r="L27" s="23"/>
        <tr r="K27" s="23"/>
        <tr r="N27" s="23"/>
        <tr r="G27" s="23"/>
        <tr r="H27" s="23"/>
        <tr r="E27" s="23"/>
      </tp>
      <tp>
        <v>22.49</v>
        <stp/>
        <stp>FWRC1#AUDUSD#Month Wise Rates#0#Close9</stp>
        <tr r="E32" s="23"/>
      </tp>
      <tp>
        <v>15.09</v>
        <stp/>
        <stp>FWRC1#AUDUSD#Month Wise Rates#0#Close8</stp>
        <tr r="D32" s="23"/>
      </tp>
      <tp>
        <v>7.87</v>
        <stp/>
        <stp>FWRC1#AUDUSD#Month Wise Rates#0#Close7</stp>
        <tr r="C32" s="23"/>
      </tp>
      <tp>
        <v>0.66490000000000005</v>
        <stp/>
        <stp>FWRC1#AUDUSD#Month Wise Rates#0#Close0</stp>
        <tr r="H32" s="23"/>
        <tr r="E32" s="23"/>
        <tr r="I32" s="23"/>
        <tr r="F32" s="23"/>
        <tr r="M32" s="23"/>
        <tr r="K32" s="23"/>
        <tr r="N32" s="23"/>
        <tr r="L32" s="23"/>
        <tr r="G32" s="23"/>
        <tr r="B32" s="23"/>
        <tr r="D32" s="23"/>
        <tr r="J32" s="23"/>
        <tr r="C32" s="23"/>
      </tp>
      <tp t="s">
        <v/>
        <stp/>
        <stp>47#5#1#5629#GBP1Y.LIBOR#LTP</stp>
        <tr r="I4" s="8"/>
        <tr r="P38" s="23"/>
      </tp>
      <tp t="s">
        <v/>
        <stp/>
        <stp>47#5#1#5629#EUR1Y.LIBOR#LTP</stp>
        <tr r="I3" s="8"/>
        <tr r="P37" s="23"/>
      </tp>
      <tp>
        <v>1.2488999999999999</v>
        <stp/>
        <stp>FWRC1#GBPUSD#Month Wise Rates#0#FwdOutrightAsk18</stp>
        <tr r="O8" s="20"/>
      </tp>
      <tp>
        <v>1.2496</v>
        <stp/>
        <stp>FWRC1#GBPUSD#Month Wise Rates#0#FwdOutrightAsk12</stp>
        <tr r="I8" s="20"/>
      </tp>
      <tp>
        <v>1.2499</v>
        <stp/>
        <stp>FWRC1#GBPUSD#Month Wise Rates#0#FwdOutrightAsk13</stp>
        <tr r="J8" s="20"/>
      </tp>
      <tp>
        <v>1.2492000000000001</v>
        <stp/>
        <stp>FWRC1#GBPUSD#Month Wise Rates#0#FwdOutrightAsk10</stp>
        <tr r="G8" s="20"/>
      </tp>
      <tp>
        <v>1.2494000000000001</v>
        <stp/>
        <stp>FWRC1#GBPUSD#Month Wise Rates#0#FwdOutrightAsk11</stp>
        <tr r="H8" s="20"/>
      </tp>
      <tp>
        <v>1.2498</v>
        <stp/>
        <stp>FWRC1#GBPUSD#Month Wise Rates#0#FwdOutrightAsk16</stp>
        <tr r="M8" s="20"/>
      </tp>
      <tp>
        <v>1.2494000000000001</v>
        <stp/>
        <stp>FWRC1#GBPUSD#Month Wise Rates#0#FwdOutrightAsk17</stp>
        <tr r="N8" s="20"/>
      </tp>
      <tp>
        <v>1.2502</v>
        <stp/>
        <stp>FWRC1#GBPUSD#Month Wise Rates#0#FwdOutrightAsk14</stp>
        <tr r="K8" s="20"/>
      </tp>
      <tp>
        <v>1.25</v>
        <stp/>
        <stp>FWRC1#GBPUSD#Month Wise Rates#0#FwdOutrightAsk15</stp>
        <tr r="L8" s="20"/>
      </tp>
      <tp>
        <v>1.0995999999999999</v>
        <stp/>
        <stp>FWRC1#EURUSD#Month Wise Rates#0#FwdOutrightAsk18</stp>
        <tr r="O8" s="19"/>
      </tp>
      <tp>
        <v>1.0968</v>
        <stp/>
        <stp>FWRC1#EURUSD#Month Wise Rates#0#FwdOutrightAsk15</stp>
        <tr r="L8" s="19"/>
      </tp>
      <tp>
        <v>1.0958000000000001</v>
        <stp/>
        <stp>FWRC1#EURUSD#Month Wise Rates#0#FwdOutrightAsk14</stp>
        <tr r="K8" s="19"/>
      </tp>
      <tp>
        <v>1.0992</v>
        <stp/>
        <stp>FWRC1#EURUSD#Month Wise Rates#0#FwdOutrightAsk17</stp>
        <tr r="N8" s="19"/>
      </tp>
      <tp>
        <v>1.0981000000000001</v>
        <stp/>
        <stp>FWRC1#EURUSD#Month Wise Rates#0#FwdOutrightAsk16</stp>
        <tr r="M8" s="19"/>
      </tp>
      <tp>
        <v>1.0911</v>
        <stp/>
        <stp>FWRC1#EURUSD#Month Wise Rates#0#FwdOutrightAsk11</stp>
        <tr r="H8" s="19"/>
      </tp>
      <tp>
        <v>1.0894999999999999</v>
        <stp/>
        <stp>FWRC1#EURUSD#Month Wise Rates#0#FwdOutrightAsk10</stp>
        <tr r="G8" s="19"/>
      </tp>
      <tp>
        <v>1.0939000000000001</v>
        <stp/>
        <stp>FWRC1#EURUSD#Month Wise Rates#0#FwdOutrightAsk13</stp>
        <tr r="J8" s="19"/>
      </tp>
      <tp>
        <v>1.0924</v>
        <stp/>
        <stp>FWRC1#EURUSD#Month Wise Rates#0#FwdOutrightAsk12</stp>
        <tr r="I8" s="19"/>
      </tp>
      <tp t="s">
        <v/>
        <stp/>
        <stp>47#5#1#5629#JPY1W.LIBOR#LTP</stp>
        <tr r="C39" s="23"/>
      </tp>
      <tp t="s">
        <v/>
        <stp/>
        <stp>47#5#1#5629#JPY2W.LIBOR#LTP</stp>
        <tr r="D39" s="23"/>
      </tp>
      <tp t="s">
        <v/>
        <stp/>
        <stp>47#5#1#5629#GBP11M.LIBOR#LTP</stp>
        <tr r="O38" s="23"/>
      </tp>
      <tp t="s">
        <v/>
        <stp/>
        <stp>47#5#1#5629#GBP10M.LIBOR#LTP</stp>
        <tr r="N38" s="23"/>
      </tp>
      <tp t="s">
        <v>SGDINRCOMP</v>
        <stp/>
        <stp>17#3#1#6041#SGDINRCOMP#S#Descr.</stp>
        <tr r="A26" s="23"/>
        <tr r="A9" s="23"/>
      </tp>
      <tp>
        <v>5657.7275</v>
        <stp/>
        <stp>FWRC1#GBPINR#Month Wise Rates#0#BidPrice9</stp>
        <tr r="G6" s="22"/>
      </tp>
      <tp>
        <v>3652.1183999999998</v>
        <stp/>
        <stp>FWRC1#GBPINR#Month Wise Rates#0#BidPrice8</stp>
        <tr r="G5" s="22"/>
      </tp>
      <tp>
        <v>102.485</v>
        <stp/>
        <stp>FWRC1#GBPINR#Month Wise Rates#0#BidPrice0</stp>
        <tr r="B2" s="6"/>
        <tr r="G3" s="22"/>
      </tp>
      <tp>
        <v>1755.9592</v>
        <stp/>
        <stp>FWRC1#GBPINR#Month Wise Rates#0#BidPrice7</stp>
        <tr r="G4" s="22"/>
      </tp>
      <tp t="s">
        <v>USDINRCOMP</v>
        <stp/>
        <stp>17#1#1#6069#USDINRCOMP#S#Descr.</stp>
        <tr r="A2" s="23"/>
        <tr r="A19" s="23"/>
      </tp>
      <tp t="s">
        <v/>
        <stp/>
        <stp>47#5#1#5629#USDON.LIBOR#LTP</stp>
        <tr r="B36" s="23"/>
      </tp>
      <tp>
        <v>4</v>
        <stp/>
        <stp>FWRC1#USDINR#Month End Rates#0#AskPrice4</stp>
        <tr r="D5" s="14"/>
      </tp>
      <tp>
        <v>14</v>
        <stp/>
        <stp>FWRC1#USDINR#Month End Rates#0#AskPrice5</stp>
        <tr r="E5" s="14"/>
      </tp>
      <tp>
        <v>26</v>
        <stp/>
        <stp>FWRC1#USDINR#Month End Rates#0#AskPrice6</stp>
        <tr r="F5" s="14"/>
      </tp>
      <tp>
        <v>37</v>
        <stp/>
        <stp>FWRC1#USDINR#Month End Rates#0#AskPrice7</stp>
        <tr r="G5" s="14"/>
      </tp>
      <tp>
        <v>82.394999999999996</v>
        <stp/>
        <stp>FWRC1#USDINR#Month End Rates#0#AskPrice0</stp>
        <tr r="D3" s="22"/>
        <tr r="B3" s="4"/>
      </tp>
      <tp>
        <v>2</v>
        <stp/>
        <stp>FWRC1#USDINR#Month End Rates#0#AskPrice2</stp>
        <tr r="C5" s="14"/>
        <tr r="C3" s="4"/>
      </tp>
      <tp>
        <v>1</v>
        <stp/>
        <stp>FWRC1#USDINR#Month End Rates#0#AskPrice3</stp>
        <tr r="E3" s="4"/>
      </tp>
      <tp>
        <v>49</v>
        <stp/>
        <stp>FWRC1#USDINR#Month End Rates#0#AskPrice8</stp>
        <tr r="H5" s="14"/>
      </tp>
      <tp>
        <v>62</v>
        <stp/>
        <stp>FWRC1#USDINR#Month End Rates#0#AskPrice9</stp>
        <tr r="I5" s="14"/>
      </tp>
      <tp t="s">
        <v/>
        <stp/>
        <stp>47#5#1#5629#USD5M.LIBOR#LTP</stp>
        <tr r="I36" s="23"/>
        <tr r="F2" s="8"/>
      </tp>
      <tp t="s">
        <v/>
        <stp/>
        <stp>47#5#1#5629#USD4M.LIBOR#LTP</stp>
        <tr r="E2" s="8"/>
        <tr r="H36" s="23"/>
      </tp>
      <tp t="s">
        <v/>
        <stp/>
        <stp>47#5#1#5629#USD7M.LIBOR#LTP</stp>
        <tr r="K36" s="23"/>
      </tp>
      <tp t="s">
        <v/>
        <stp/>
        <stp>47#5#1#5629#USD6M.LIBOR#LTP</stp>
        <tr r="G2" s="8"/>
        <tr r="J36" s="23"/>
      </tp>
      <tp t="s">
        <v/>
        <stp/>
        <stp>47#5#1#5629#USD1M.LIBOR#LTP</stp>
        <tr r="B2" s="8"/>
        <tr r="E36" s="23"/>
      </tp>
      <tp t="s">
        <v/>
        <stp/>
        <stp>47#5#1#5629#USD3M.LIBOR#LTP</stp>
        <tr r="D2" s="8"/>
        <tr r="G36" s="23"/>
      </tp>
      <tp t="s">
        <v/>
        <stp/>
        <stp>47#5#1#5629#USD2M.LIBOR#LTP</stp>
        <tr r="C2" s="8"/>
        <tr r="F36" s="23"/>
      </tp>
      <tp t="s">
        <v/>
        <stp/>
        <stp>47#5#1#5629#USD9M.LIBOR#LTP</stp>
        <tr r="H2" s="8"/>
        <tr r="M36" s="23"/>
      </tp>
      <tp t="s">
        <v/>
        <stp/>
        <stp>47#5#1#5629#USD8M.LIBOR#LTP</stp>
        <tr r="L36" s="23"/>
      </tp>
      <tp>
        <v>2701.12</v>
        <stp/>
        <stp>FWRC1#GBPINR#Month End Rates#0#AskPrice5</stp>
        <tr r="E5" s="17"/>
      </tp>
      <tp>
        <v>756.995</v>
        <stp/>
        <stp>FWRC1#GBPINR#Month End Rates#0#AskPrice4</stp>
        <tr r="D5" s="17"/>
      </tp>
      <tp>
        <v>6543.7</v>
        <stp/>
        <stp>FWRC1#GBPINR#Month End Rates#0#AskPrice7</stp>
        <tr r="G5" s="17"/>
      </tp>
      <tp>
        <v>4615.0775000000003</v>
        <stp/>
        <stp>FWRC1#GBPINR#Month End Rates#0#AskPrice6</stp>
        <tr r="F5" s="17"/>
      </tp>
      <tp>
        <v>145.0813</v>
        <stp/>
        <stp>FWRC1#GBPINR#Month End Rates#0#AskPrice3</stp>
        <tr r="E3" s="6"/>
      </tp>
      <tp>
        <v>290.9864</v>
        <stp/>
        <stp>FWRC1#GBPINR#Month End Rates#0#AskPrice2</stp>
        <tr r="C3" s="6"/>
        <tr r="C5" s="17"/>
      </tp>
      <tp>
        <v>10231.32</v>
        <stp/>
        <stp>FWRC1#GBPINR#Month End Rates#0#AskPrice9</stp>
        <tr r="I5" s="17"/>
      </tp>
      <tp>
        <v>8342.83</v>
        <stp/>
        <stp>FWRC1#GBPINR#Month End Rates#0#AskPrice8</stp>
        <tr r="H5" s="17"/>
      </tp>
      <tp>
        <v>3.1499000000000001</v>
        <stp/>
        <stp>FWRC1#EURINR#Month End Rates#0#AskPrice2</stp>
        <tr r="C5" s="16"/>
        <tr r="C3" s="5"/>
      </tp>
      <tp>
        <v>1.5848</v>
        <stp/>
        <stp>FWRC1#EURINR#Month End Rates#0#AskPrice3</stp>
        <tr r="E3" s="5"/>
      </tp>
      <tp>
        <v>63.942500000000003</v>
        <stp/>
        <stp>FWRC1#EURINR#Month End Rates#0#AskPrice6</stp>
        <tr r="F5" s="16"/>
      </tp>
      <tp>
        <v>90.65</v>
        <stp/>
        <stp>FWRC1#EURINR#Month End Rates#0#AskPrice7</stp>
        <tr r="G5" s="16"/>
      </tp>
      <tp>
        <v>10.48</v>
        <stp/>
        <stp>FWRC1#EURINR#Month End Rates#0#AskPrice4</stp>
        <tr r="D5" s="16"/>
      </tp>
      <tp>
        <v>37.335000000000001</v>
        <stp/>
        <stp>FWRC1#EURINR#Month End Rates#0#AskPrice5</stp>
        <tr r="E5" s="16"/>
      </tp>
      <tp>
        <v>116.175</v>
        <stp/>
        <stp>FWRC1#EURINR#Month End Rates#0#AskPrice8</stp>
        <tr r="H5" s="16"/>
      </tp>
      <tp>
        <v>143.26750000000001</v>
        <stp/>
        <stp>FWRC1#EURINR#Month End Rates#0#AskPrice9</stp>
        <tr r="I5" s="16"/>
      </tp>
      <tp>
        <v>12417.97</v>
        <stp/>
        <stp>FWRC1#JPYINR#Month End Rates#0#AskPrice7</stp>
        <tr r="G5" s="18"/>
      </tp>
      <tp>
        <v>8677.8724999999995</v>
        <stp/>
        <stp>FWRC1#JPYINR#Month End Rates#0#AskPrice6</stp>
        <tr r="F5" s="18"/>
      </tp>
      <tp>
        <v>4972.93</v>
        <stp/>
        <stp>FWRC1#JPYINR#Month End Rates#0#AskPrice5</stp>
        <tr r="E5" s="18"/>
      </tp>
      <tp>
        <v>1379.71</v>
        <stp/>
        <stp>FWRC1#JPYINR#Month End Rates#0#AskPrice4</stp>
        <tr r="D5" s="18"/>
      </tp>
      <tp>
        <v>161.61850000000001</v>
        <stp/>
        <stp>FWRC1#JPYINR#Month End Rates#0#AskPrice3</stp>
        <tr r="E3" s="7"/>
      </tp>
      <tp>
        <v>323.23520000000002</v>
        <stp/>
        <stp>FWRC1#JPYINR#Month End Rates#0#AskPrice2</stp>
        <tr r="C3" s="7"/>
        <tr r="C5" s="18"/>
      </tp>
      <tp>
        <v>20090.14</v>
        <stp/>
        <stp>FWRC1#JPYINR#Month End Rates#0#AskPrice9</stp>
        <tr r="I5" s="18"/>
      </tp>
      <tp>
        <v>16092.4825</v>
        <stp/>
        <stp>FWRC1#JPYINR#Month End Rates#0#AskPrice8</stp>
        <tr r="H5" s="18"/>
      </tp>
      <tp>
        <v>79.744100000000003</v>
        <stp/>
        <stp>FWRC1#EURINR#Month Wise Rates#0#BidPrice9</stp>
        <tr r="E6" s="22"/>
      </tp>
      <tp>
        <v>51.716000000000001</v>
        <stp/>
        <stp>FWRC1#EURINR#Month Wise Rates#0#BidPrice8</stp>
        <tr r="E5" s="22"/>
      </tp>
      <tp>
        <v>89.197500000000005</v>
        <stp/>
        <stp>FWRC1#EURINR#Month Wise Rates#0#BidPrice0</stp>
        <tr r="E3" s="22"/>
        <tr r="B2" s="5"/>
      </tp>
      <tp>
        <v>25.457699999999999</v>
        <stp/>
        <stp>FWRC1#EURINR#Month Wise Rates#0#BidPrice7</stp>
        <tr r="E4" s="22"/>
      </tp>
      <tp>
        <v>60.202500000000001</v>
        <stp/>
        <stp>FWRC1#JPYINR#Month Wise Rates#0#AskPrice0</stp>
        <tr r="B3" s="7"/>
        <tr r="J3" s="22"/>
      </tp>
      <tp>
        <v>3682.4535000000001</v>
        <stp/>
        <stp>FWRC1#JPYINR#Month Wise Rates#0#AskPrice7</stp>
        <tr r="J4" s="22"/>
      </tp>
      <tp>
        <v>11187.4023</v>
        <stp/>
        <stp>FWRC1#JPYINR#Month Wise Rates#0#AskPrice9</stp>
        <tr r="J6" s="22"/>
      </tp>
      <tp>
        <v>7221.902</v>
        <stp/>
        <stp>FWRC1#JPYINR#Month Wise Rates#0#AskPrice8</stp>
        <tr r="J5" s="22"/>
      </tp>
      <tp>
        <v>0.21</v>
        <stp/>
        <stp>17#1#1#6069#USDINRCOMP#%Chg</stp>
        <tr r="D3" s="10"/>
      </tp>
      <tp>
        <v>0</v>
        <stp/>
        <stp>17#3#1#5949#EURINRCOMP#52WkHigh</stp>
        <tr r="I4" s="10"/>
        <tr r="J4" s="10"/>
      </tp>
      <tp>
        <v>-127.29</v>
        <stp/>
        <stp>FWRC1#USDJPY#Month Wise Rates#0#AskPrice8</stp>
        <tr r="P5" s="22"/>
        <tr r="E5" s="21"/>
      </tp>
      <tp>
        <v>-196.48</v>
        <stp/>
        <stp>FWRC1#USDJPY#Month Wise Rates#0#AskPrice9</stp>
        <tr r="P6" s="22"/>
        <tr r="F5" s="21"/>
      </tp>
      <tp>
        <v>-65.459999999999994</v>
        <stp/>
        <stp>FWRC1#USDJPY#Month Wise Rates#0#AskPrice7</stp>
        <tr r="D5" s="21"/>
        <tr r="P4" s="22"/>
      </tp>
      <tp>
        <v>-1.96</v>
        <stp/>
        <stp>FWRC1#USDJPY#Month Wise Rates#0#AskPrice2</stp>
        <tr r="C5" s="21"/>
      </tp>
      <tp>
        <v>137.345</v>
        <stp/>
        <stp>FWRC1#USDJPY#Month Wise Rates#0#AskPrice0</stp>
        <tr r="P3" s="22"/>
      </tp>
      <tp>
        <v>0</v>
        <stp/>
        <stp>17#3#1#5978#JPYINRCOMP#52WkHigh</stp>
        <tr r="I6" s="10"/>
      </tp>
      <tp>
        <v>-196.73</v>
        <stp/>
        <stp>FWRC1#USDJPY#Month Wise Rates#0#BidPrice9</stp>
        <tr r="O6" s="22"/>
        <tr r="F4" s="21"/>
      </tp>
      <tp>
        <v>-127.99</v>
        <stp/>
        <stp>FWRC1#USDJPY#Month Wise Rates#0#BidPrice8</stp>
        <tr r="O5" s="22"/>
        <tr r="E4" s="21"/>
      </tp>
      <tp>
        <v>-65.959999999999994</v>
        <stp/>
        <stp>FWRC1#USDJPY#Month Wise Rates#0#BidPrice7</stp>
        <tr r="O4" s="22"/>
        <tr r="D4" s="21"/>
      </tp>
      <tp>
        <v>137.333</v>
        <stp/>
        <stp>FWRC1#USDJPY#Month Wise Rates#0#BidPrice0</stp>
        <tr r="O3" s="22"/>
      </tp>
      <tp>
        <v>-2.04</v>
        <stp/>
        <stp>FWRC1#USDJPY#Month Wise Rates#0#BidPrice2</stp>
        <tr r="C4" s="21"/>
      </tp>
      <tp>
        <v>35</v>
        <stp/>
        <stp>FWRC1#USDINR#Month End Rates#0#BidPrice7</stp>
        <tr r="G4" s="14"/>
      </tp>
      <tp>
        <v>24</v>
        <stp/>
        <stp>FWRC1#USDINR#Month End Rates#0#BidPrice6</stp>
        <tr r="F4" s="14"/>
      </tp>
      <tp>
        <v>12</v>
        <stp/>
        <stp>FWRC1#USDINR#Month End Rates#0#BidPrice5</stp>
        <tr r="E4" s="14"/>
      </tp>
      <tp>
        <v>2</v>
        <stp/>
        <stp>FWRC1#USDINR#Month End Rates#0#BidPrice4</stp>
        <tr r="D4" s="14"/>
      </tp>
      <tp>
        <v>0.2</v>
        <stp/>
        <stp>FWRC1#USDINR#Month End Rates#0#BidPrice3</stp>
        <tr r="E2" s="4"/>
      </tp>
      <tp>
        <v>0.4</v>
        <stp/>
        <stp>FWRC1#USDINR#Month End Rates#0#BidPrice2</stp>
        <tr r="C2" s="4"/>
        <tr r="C4" s="14"/>
      </tp>
      <tp>
        <v>82.385000000000005</v>
        <stp/>
        <stp>FWRC1#USDINR#Month End Rates#0#BidPrice0</stp>
        <tr r="C3" s="22"/>
        <tr r="B2" s="4"/>
      </tp>
      <tp>
        <v>60</v>
        <stp/>
        <stp>FWRC1#USDINR#Month End Rates#0#BidPrice9</stp>
        <tr r="I4" s="14"/>
      </tp>
      <tp>
        <v>47</v>
        <stp/>
        <stp>FWRC1#USDINR#Month End Rates#0#BidPrice8</stp>
        <tr r="H4" s="14"/>
      </tp>
      <tp>
        <v>4411.9624999999996</v>
        <stp/>
        <stp>FWRC1#GBPINR#Month End Rates#0#BidPrice6</stp>
        <tr r="F4" s="17"/>
      </tp>
      <tp>
        <v>6320.2974999999997</v>
        <stp/>
        <stp>FWRC1#GBPINR#Month End Rates#0#BidPrice7</stp>
        <tr r="G4" s="17"/>
      </tp>
      <tp>
        <v>662.0625</v>
        <stp/>
        <stp>FWRC1#GBPINR#Month End Rates#0#BidPrice4</stp>
        <tr r="D4" s="17"/>
      </tp>
      <tp>
        <v>2523.0149999999999</v>
        <stp/>
        <stp>FWRC1#GBPINR#Month End Rates#0#BidPrice5</stp>
        <tr r="E4" s="17"/>
      </tp>
      <tp>
        <v>86.864800000000002</v>
        <stp/>
        <stp>FWRC1#GBPINR#Month End Rates#0#BidPrice2</stp>
        <tr r="C2" s="6"/>
        <tr r="C4" s="17"/>
      </tp>
      <tp>
        <v>43.844299999999997</v>
        <stp/>
        <stp>FWRC1#GBPINR#Month End Rates#0#BidPrice3</stp>
        <tr r="E2" s="6"/>
      </tp>
      <tp>
        <v>8047.5074999999997</v>
        <stp/>
        <stp>FWRC1#GBPINR#Month End Rates#0#BidPrice8</stp>
        <tr r="H4" s="17"/>
      </tp>
      <tp>
        <v>9963.6375000000007</v>
        <stp/>
        <stp>FWRC1#GBPINR#Month End Rates#0#BidPrice9</stp>
        <tr r="I4" s="17"/>
      </tp>
      <tp>
        <v>0.70179999999999998</v>
        <stp/>
        <stp>FWRC1#EURINR#Month End Rates#0#BidPrice3</stp>
        <tr r="E2" s="5"/>
      </tp>
      <tp>
        <v>1.3954</v>
        <stp/>
        <stp>FWRC1#EURINR#Month End Rates#0#BidPrice2</stp>
        <tr r="C4" s="16"/>
        <tr r="C2" s="5"/>
      </tp>
      <tp>
        <v>35.72</v>
        <stp/>
        <stp>FWRC1#EURINR#Month End Rates#0#BidPrice5</stp>
        <tr r="E4" s="16"/>
      </tp>
      <tp>
        <v>9.6024999999999991</v>
        <stp/>
        <stp>FWRC1#EURINR#Month End Rates#0#BidPrice4</stp>
        <tr r="D4" s="16"/>
      </tp>
      <tp>
        <v>88.307500000000005</v>
        <stp/>
        <stp>FWRC1#EURINR#Month End Rates#0#BidPrice7</stp>
        <tr r="G4" s="16"/>
      </tp>
      <tp>
        <v>62.085000000000001</v>
        <stp/>
        <stp>FWRC1#EURINR#Month End Rates#0#BidPrice6</stp>
        <tr r="F4" s="16"/>
      </tp>
      <tp>
        <v>140.715</v>
        <stp/>
        <stp>FWRC1#EURINR#Month End Rates#0#BidPrice9</stp>
        <tr r="I4" s="16"/>
      </tp>
      <tp>
        <v>113.5775</v>
        <stp/>
        <stp>FWRC1#EURINR#Month End Rates#0#BidPrice8</stp>
        <tr r="H4" s="16"/>
      </tp>
      <tp>
        <v>1316.2425000000001</v>
        <stp/>
        <stp>FWRC1#JPYINR#Month End Rates#0#BidPrice4</stp>
        <tr r="D4" s="18"/>
      </tp>
      <tp>
        <v>4843.1625000000004</v>
        <stp/>
        <stp>FWRC1#JPYINR#Month End Rates#0#BidPrice5</stp>
        <tr r="E4" s="18"/>
      </tp>
      <tp>
        <v>8552.9225000000006</v>
        <stp/>
        <stp>FWRC1#JPYINR#Month End Rates#0#BidPrice6</stp>
        <tr r="F4" s="18"/>
      </tp>
      <tp>
        <v>12218.782499999999</v>
        <stp/>
        <stp>FWRC1#JPYINR#Month End Rates#0#BidPrice7</stp>
        <tr r="G4" s="18"/>
      </tp>
      <tp>
        <v>197.2296</v>
        <stp/>
        <stp>FWRC1#JPYINR#Month End Rates#0#BidPrice2</stp>
        <tr r="C4" s="18"/>
        <tr r="C2" s="7"/>
      </tp>
      <tp>
        <v>99.709500000000006</v>
        <stp/>
        <stp>FWRC1#JPYINR#Month End Rates#0#BidPrice3</stp>
        <tr r="E2" s="7"/>
      </tp>
      <tp>
        <v>15912.5825</v>
        <stp/>
        <stp>FWRC1#JPYINR#Month End Rates#0#BidPrice8</stp>
        <tr r="H4" s="18"/>
      </tp>
      <tp>
        <v>19878.0825</v>
        <stp/>
        <stp>FWRC1#JPYINR#Month End Rates#0#BidPrice9</stp>
        <tr r="I4" s="18"/>
      </tp>
      <tp>
        <v>54.158200000000001</v>
        <stp/>
        <stp>FWRC1#EURINR#Month Wise Rates#0#AskPrice8</stp>
        <tr r="F5" s="22"/>
      </tp>
      <tp>
        <v>82.366600000000005</v>
        <stp/>
        <stp>FWRC1#EURINR#Month Wise Rates#0#AskPrice9</stp>
        <tr r="F6" s="22"/>
      </tp>
      <tp>
        <v>89.215000000000003</v>
        <stp/>
        <stp>FWRC1#EURINR#Month Wise Rates#0#AskPrice0</stp>
        <tr r="B3" s="5"/>
        <tr r="F3" s="22"/>
      </tp>
      <tp>
        <v>27.794499999999999</v>
        <stp/>
        <stp>FWRC1#EURINR#Month Wise Rates#0#AskPrice7</stp>
        <tr r="F4" s="22"/>
      </tp>
      <tp>
        <v>60.1875</v>
        <stp/>
        <stp>FWRC1#JPYINR#Month Wise Rates#0#BidPrice0</stp>
        <tr r="B2" s="7"/>
        <tr r="I3" s="22"/>
      </tp>
      <tp>
        <v>3529.3236999999999</v>
        <stp/>
        <stp>FWRC1#JPYINR#Month Wise Rates#0#BidPrice7</stp>
        <tr r="I4" s="22"/>
      </tp>
      <tp>
        <v>7041.0708000000004</v>
        <stp/>
        <stp>FWRC1#JPYINR#Month Wise Rates#0#BidPrice8</stp>
        <tr r="I5" s="22"/>
      </tp>
      <tp>
        <v>11024.8568</v>
        <stp/>
        <stp>FWRC1#JPYINR#Month Wise Rates#0#BidPrice9</stp>
        <tr r="I6" s="22"/>
      </tp>
      <tp>
        <v>3933.0527000000002</v>
        <stp/>
        <stp>FWRC1#GBPINR#Month Wise Rates#0#AskPrice8</stp>
        <tr r="H5" s="22"/>
      </tp>
      <tp>
        <v>5953.6349</v>
        <stp/>
        <stp>FWRC1#GBPINR#Month Wise Rates#0#AskPrice9</stp>
        <tr r="H6" s="22"/>
      </tp>
      <tp>
        <v>102.50749999999999</v>
        <stp/>
        <stp>FWRC1#GBPINR#Month Wise Rates#0#AskPrice0</stp>
        <tr r="B3" s="6"/>
        <tr r="H3" s="22"/>
      </tp>
      <tp>
        <v>2026.6049</v>
        <stp/>
        <stp>FWRC1#GBPINR#Month Wise Rates#0#AskPrice7</stp>
        <tr r="H4" s="22"/>
      </tp>
      <tp>
        <v>1.2485999999999999</v>
        <stp/>
        <stp>FWRC1#GBPUSD#Month Wise Rates#0#FwdOutrightBid18</stp>
        <tr r="O7" s="20"/>
      </tp>
      <tp>
        <v>1.2493000000000001</v>
        <stp/>
        <stp>FWRC1#GBPUSD#Month Wise Rates#0#FwdOutrightBid11</stp>
        <tr r="H7" s="20"/>
      </tp>
      <tp>
        <v>1.2491000000000001</v>
        <stp/>
        <stp>FWRC1#GBPUSD#Month Wise Rates#0#FwdOutrightBid10</stp>
        <tr r="G7" s="20"/>
      </tp>
      <tp>
        <v>1.2497</v>
        <stp/>
        <stp>FWRC1#GBPUSD#Month Wise Rates#0#FwdOutrightBid13</stp>
        <tr r="J7" s="20"/>
      </tp>
      <tp>
        <v>1.2494000000000001</v>
        <stp/>
        <stp>FWRC1#GBPUSD#Month Wise Rates#0#FwdOutrightBid12</stp>
        <tr r="I7" s="20"/>
      </tp>
      <tp>
        <v>1.2497</v>
        <stp/>
        <stp>FWRC1#GBPUSD#Month Wise Rates#0#FwdOutrightBid15</stp>
        <tr r="L7" s="20"/>
      </tp>
      <tp>
        <v>1.2499</v>
        <stp/>
        <stp>FWRC1#GBPUSD#Month Wise Rates#0#FwdOutrightBid14</stp>
        <tr r="K7" s="20"/>
      </tp>
      <tp>
        <v>1.2491000000000001</v>
        <stp/>
        <stp>FWRC1#GBPUSD#Month Wise Rates#0#FwdOutrightBid17</stp>
        <tr r="N7" s="20"/>
      </tp>
      <tp>
        <v>1.2496</v>
        <stp/>
        <stp>FWRC1#GBPUSD#Month Wise Rates#0#FwdOutrightBid16</stp>
        <tr r="M7" s="20"/>
      </tp>
      <tp>
        <v>1.0992999999999999</v>
        <stp/>
        <stp>FWRC1#EURUSD#Month Wise Rates#0#FwdOutrightBid18</stp>
        <tr r="O7" s="19"/>
      </tp>
      <tp>
        <v>1.0975999999999999</v>
        <stp/>
        <stp>FWRC1#EURUSD#Month Wise Rates#0#FwdOutrightBid16</stp>
        <tr r="M7" s="19"/>
      </tp>
      <tp>
        <v>1.0987</v>
        <stp/>
        <stp>FWRC1#EURUSD#Month Wise Rates#0#FwdOutrightBid17</stp>
        <tr r="N7" s="19"/>
      </tp>
      <tp>
        <v>1.0955999999999999</v>
        <stp/>
        <stp>FWRC1#EURUSD#Month Wise Rates#0#FwdOutrightBid14</stp>
        <tr r="K7" s="19"/>
      </tp>
      <tp>
        <v>1.0966</v>
        <stp/>
        <stp>FWRC1#EURUSD#Month Wise Rates#0#FwdOutrightBid15</stp>
        <tr r="L7" s="19"/>
      </tp>
      <tp>
        <v>1.0923</v>
        <stp/>
        <stp>FWRC1#EURUSD#Month Wise Rates#0#FwdOutrightBid12</stp>
        <tr r="I7" s="19"/>
      </tp>
      <tp>
        <v>1.0934999999999999</v>
        <stp/>
        <stp>FWRC1#EURUSD#Month Wise Rates#0#FwdOutrightBid13</stp>
        <tr r="J7" s="19"/>
      </tp>
      <tp>
        <v>1.0893999999999999</v>
        <stp/>
        <stp>FWRC1#EURUSD#Month Wise Rates#0#FwdOutrightBid10</stp>
        <tr r="G7" s="19"/>
      </tp>
      <tp>
        <v>1.0909</v>
        <stp/>
        <stp>FWRC1#EURUSD#Month Wise Rates#0#FwdOutrightBid11</stp>
        <tr r="H7" s="19"/>
      </tp>
      <tp t="s">
        <v/>
        <stp/>
        <stp>47#5#1#5629#EUR1W.LIBOR#LTP</stp>
        <tr r="C37" s="23"/>
      </tp>
      <tp t="s">
        <v/>
        <stp/>
        <stp>47#5#1#5629#EUR2W.LIBOR#LTP</stp>
        <tr r="D37" s="23"/>
      </tp>
      <tp>
        <v>0</v>
        <stp/>
        <stp>17#3#1#6031#GBPINRCOMP#52WkHigh</stp>
        <tr r="I5" s="10"/>
      </tp>
      <tp t="s">
        <v/>
        <stp/>
        <stp>47#5#1#5629#JPY1Y.LIBOR#LTP</stp>
        <tr r="P39" s="23"/>
        <tr r="I5" s="8"/>
      </tp>
      <tp t="s">
        <v/>
        <stp/>
        <stp>47#5#1#5629#GBP1W.LIBOR#LTP</stp>
        <tr r="C38" s="23"/>
        <tr r="D38" s="23"/>
      </tp>
      <tp>
        <v>-0.61</v>
        <stp/>
        <stp>17#3#1#5978#JPYINRCOMP#%Chg</stp>
        <tr r="D6" s="10"/>
      </tp>
      <tp t="s">
        <v/>
        <stp/>
        <stp>47#5#1#5629#JPY10M.LIBOR#LTP</stp>
        <tr r="N39" s="23"/>
      </tp>
      <tp t="s">
        <v/>
        <stp/>
        <stp>47#5#1#5629#JPY11M.LIBOR#LTP</stp>
        <tr r="O39" s="23"/>
      </tp>
      <tp t="s">
        <v/>
        <stp/>
        <stp>47#5#1#5629#USD1Y.LIBOR#LTP</stp>
        <tr r="P36" s="23"/>
        <tr r="I2" s="8"/>
      </tp>
      <tp t="s">
        <v/>
        <stp/>
        <stp>47#5#1#5629#USD11M.LIBOR#LTP</stp>
        <tr r="O36" s="23"/>
      </tp>
      <tp t="s">
        <v/>
        <stp/>
        <stp>47#5#1#5629#USD10M.LIBOR#LTP</stp>
        <tr r="N36" s="23"/>
      </tp>
      <tp>
        <v>131.66</v>
        <stp/>
        <stp>FWRC1#USDJPY#Month Wise Rates#0#FwdOutrightBid15</stp>
        <tr r="L7" s="21"/>
      </tp>
      <tp>
        <v>132.24420000000001</v>
        <stp/>
        <stp>FWRC1#USDJPY#Month Wise Rates#0#FwdOutrightBid14</stp>
        <tr r="K7" s="21"/>
      </tp>
      <tp>
        <v>130.64699999999999</v>
        <stp/>
        <stp>FWRC1#USDJPY#Month Wise Rates#0#FwdOutrightBid17</stp>
        <tr r="N7" s="21"/>
      </tp>
      <tp>
        <v>131.18</v>
        <stp/>
        <stp>FWRC1#USDJPY#Month Wise Rates#0#FwdOutrightBid16</stp>
        <tr r="M7" s="21"/>
      </tp>
      <tp>
        <v>134.1498</v>
        <stp/>
        <stp>FWRC1#USDJPY#Month Wise Rates#0#FwdOutrightBid11</stp>
        <tr r="H7" s="21"/>
      </tp>
      <tp>
        <v>134.779</v>
        <stp/>
        <stp>FWRC1#USDJPY#Month Wise Rates#0#FwdOutrightBid10</stp>
        <tr r="G7" s="21"/>
      </tp>
      <tp>
        <v>132.96100000000001</v>
        <stp/>
        <stp>FWRC1#USDJPY#Month Wise Rates#0#FwdOutrightBid13</stp>
        <tr r="J7" s="21"/>
      </tp>
      <tp>
        <v>133.5033</v>
        <stp/>
        <stp>FWRC1#USDJPY#Month Wise Rates#0#FwdOutrightBid12</stp>
        <tr r="I7" s="21"/>
      </tp>
      <tp>
        <v>130.155</v>
        <stp/>
        <stp>FWRC1#USDJPY#Month Wise Rates#0#FwdOutrightBid18</stp>
        <tr r="O7" s="21"/>
      </tp>
      <tp t="s">
        <v>JPYINRCOMP</v>
        <stp/>
        <stp>17#3#1#5978#JPYINRCOMP#S#Descr.</stp>
        <tr r="A22" s="23"/>
        <tr r="A5" s="23"/>
      </tp>
      <tp t="s">
        <v>CHFINRCOMP</v>
        <stp/>
        <stp>17#3#1#6056#CHFINRCOMP#S#Descr.</stp>
        <tr r="A23" s="23"/>
        <tr r="A6" s="23"/>
      </tp>
      <tp t="s">
        <v/>
        <stp/>
        <stp>47#5#1#5629#EUR11M.LIBOR#LTP</stp>
        <tr r="O37" s="23"/>
      </tp>
      <tp t="s">
        <v/>
        <stp/>
        <stp>47#5#1#5629#EUR10M.LIBOR#LTP</stp>
        <tr r="N37" s="23"/>
      </tp>
      <tp t="s">
        <v/>
        <stp/>
        <stp>47#5#1#5629#GBP5M.LIBOR#LTP</stp>
        <tr r="I38" s="23"/>
        <tr r="F4" s="8"/>
      </tp>
      <tp t="s">
        <v/>
        <stp/>
        <stp>47#5#1#5629#GBP4M.LIBOR#LTP</stp>
        <tr r="H38" s="23"/>
        <tr r="E4" s="8"/>
      </tp>
      <tp t="s">
        <v/>
        <stp/>
        <stp>47#5#1#5629#GBP7M.LIBOR#LTP</stp>
        <tr r="K38" s="23"/>
      </tp>
      <tp t="s">
        <v/>
        <stp/>
        <stp>47#5#1#5629#GBP6M.LIBOR#LTP</stp>
        <tr r="J38" s="23"/>
        <tr r="G4" s="8"/>
      </tp>
      <tp t="s">
        <v/>
        <stp/>
        <stp>47#5#1#5629#GBP1M.LIBOR#LTP</stp>
        <tr r="E38" s="23"/>
        <tr r="B4" s="8"/>
      </tp>
      <tp t="s">
        <v/>
        <stp/>
        <stp>47#5#1#5629#GBP3M.LIBOR#LTP</stp>
        <tr r="G38" s="23"/>
        <tr r="D4" s="8"/>
      </tp>
      <tp t="s">
        <v/>
        <stp/>
        <stp>47#5#1#5629#GBP2M.LIBOR#LTP</stp>
        <tr r="F38" s="23"/>
        <tr r="C4" s="8"/>
      </tp>
      <tp t="s">
        <v/>
        <stp/>
        <stp>47#5#1#5629#GBP9M.LIBOR#LTP</stp>
        <tr r="H4" s="8"/>
        <tr r="M38" s="23"/>
      </tp>
      <tp t="s">
        <v/>
        <stp/>
        <stp>47#5#1#5629#GBP8M.LIBOR#LTP</stp>
        <tr r="L38" s="23"/>
      </tp>
      <tp>
        <v>-0.53</v>
        <stp/>
        <stp>17#3#1#6031#GBPINRCOMP#%Chg</stp>
        <tr r="D5" s="10"/>
      </tp>
      <tp>
        <v>37.799999999999997</v>
        <stp/>
        <stp>FWRC1#EURUSD#Month Wise Rates#0#AskPrice8</stp>
        <tr r="E5" s="19"/>
        <tr r="L5" s="22"/>
      </tp>
      <tp>
        <v>55.98</v>
        <stp/>
        <stp>FWRC1#EURUSD#Month Wise Rates#0#AskPrice9</stp>
        <tr r="L6" s="22"/>
        <tr r="F5" s="19"/>
      </tp>
      <tp>
        <v>1.08233</v>
        <stp/>
        <stp>FWRC1#EURUSD#Month Wise Rates#0#AskPrice0</stp>
        <tr r="L3" s="22"/>
      </tp>
      <tp>
        <v>0.60099999999999998</v>
        <stp/>
        <stp>FWRC1#EURUSD#Month Wise Rates#0#AskPrice2</stp>
        <tr r="C5" s="19"/>
      </tp>
      <tp>
        <v>19.88</v>
        <stp/>
        <stp>FWRC1#EURUSD#Month Wise Rates#0#AskPrice7</stp>
        <tr r="D5" s="19"/>
        <tr r="L4" s="22"/>
      </tp>
      <tp t="s">
        <v/>
        <stp/>
        <stp>47#5#1#5629#EURON.LIBOR#LTP</stp>
        <tr r="B37" s="23"/>
      </tp>
      <tp t="s">
        <v/>
        <stp/>
        <stp>47#5#1#5629#EUR5M.LIBOR#LTP</stp>
        <tr r="I37" s="23"/>
        <tr r="F3" s="8"/>
      </tp>
      <tp t="s">
        <v/>
        <stp/>
        <stp>47#5#1#5629#EUR4M.LIBOR#LTP</stp>
        <tr r="E3" s="8"/>
        <tr r="H37" s="23"/>
      </tp>
      <tp t="s">
        <v/>
        <stp/>
        <stp>47#5#1#5629#EUR7M.LIBOR#LTP</stp>
        <tr r="K37" s="23"/>
      </tp>
      <tp t="s">
        <v/>
        <stp/>
        <stp>47#5#1#5629#EUR6M.LIBOR#LTP</stp>
        <tr r="G3" s="8"/>
        <tr r="J37" s="23"/>
      </tp>
      <tp t="s">
        <v/>
        <stp/>
        <stp>47#5#1#5629#EUR1M.LIBOR#LTP</stp>
        <tr r="E37" s="23"/>
        <tr r="B3" s="8"/>
      </tp>
      <tp t="s">
        <v/>
        <stp/>
        <stp>47#5#1#5629#EUR3M.LIBOR#LTP</stp>
        <tr r="D3" s="8"/>
        <tr r="G37" s="23"/>
      </tp>
      <tp t="s">
        <v/>
        <stp/>
        <stp>47#5#1#5629#EUR2M.LIBOR#LTP</stp>
        <tr r="F37" s="23"/>
        <tr r="C3" s="8"/>
      </tp>
      <tp t="s">
        <v/>
        <stp/>
        <stp>47#5#1#5629#EUR9M.LIBOR#LTP</stp>
        <tr r="H3" s="8"/>
        <tr r="M37" s="23"/>
      </tp>
      <tp t="s">
        <v/>
        <stp/>
        <stp>47#5#1#5629#EUR8M.LIBOR#LTP</stp>
        <tr r="L37" s="23"/>
      </tp>
      <tp>
        <v>15.61</v>
        <stp/>
        <stp>FWRC1#GBPUSD#Month Wise Rates#0#AskPrice8</stp>
        <tr r="N5" s="22"/>
        <tr r="E5" s="20"/>
      </tp>
      <tp>
        <v>21.713000000000001</v>
        <stp/>
        <stp>FWRC1#GBPUSD#Month Wise Rates#0#AskPrice9</stp>
        <tr r="F5" s="20"/>
        <tr r="N6" s="22"/>
      </tp>
      <tp>
        <v>0.26</v>
        <stp/>
        <stp>FWRC1#GBPUSD#Month Wise Rates#0#AskPrice2</stp>
        <tr r="C5" s="20"/>
      </tp>
      <tp>
        <v>1.2466999999999999</v>
        <stp/>
        <stp>FWRC1#GBPUSD#Month Wise Rates#0#AskPrice0</stp>
        <tr r="N3" s="22"/>
      </tp>
      <tp>
        <v>8.5399999999999991</v>
        <stp/>
        <stp>FWRC1#GBPUSD#Month Wise Rates#0#AskPrice7</stp>
        <tr r="D5" s="20"/>
        <tr r="N4" s="22"/>
      </tp>
      <tp>
        <v>31.451599999999999</v>
        <stp/>
        <stp>FWRC1#USDINR#Month Wise Rates#0#BidPrice9</stp>
        <tr r="F4" s="15"/>
        <tr r="C6" s="22"/>
      </tp>
      <tp>
        <v>19.354800000000001</v>
        <stp/>
        <stp>FWRC1#USDINR#Month Wise Rates#0#BidPrice8</stp>
        <tr r="E4" s="15"/>
        <tr r="C5" s="22"/>
      </tp>
      <tp>
        <v>8.6667000000000005</v>
        <stp/>
        <stp>FWRC1#USDINR#Month Wise Rates#0#BidPrice7</stp>
        <tr r="D4" s="15"/>
        <tr r="C4" s="22"/>
      </tp>
      <tp>
        <v>0.5</v>
        <stp/>
        <stp>FWRC1#USDINR#Month Wise Rates#0#BidPrice3</stp>
        <tr r="C4" s="15"/>
      </tp>
      <tp t="s">
        <v>GBPINRCOMP</v>
        <stp/>
        <stp>17#3#1#6031#GBPINRCOMP#S#Descr.</stp>
        <tr r="A4" s="23"/>
        <tr r="A21" s="23"/>
      </tp>
      <tp t="s">
        <v/>
        <stp/>
        <stp>47#5#1#5629#GBPON.LIBOR#LTP</stp>
        <tr r="B38" s="23"/>
      </tp>
      <tp t="s">
        <v>AUDINRCOMP</v>
        <stp/>
        <stp>17#3#1#5903#AUDINRCOMP#S#Descr.</stp>
        <tr r="A25" s="23"/>
        <tr r="A8" s="23"/>
      </tp>
      <tp t="s">
        <v/>
        <stp/>
        <stp>47#5#1#5629#JPY5M.LIBOR#LTP</stp>
        <tr r="I39" s="23"/>
        <tr r="F5" s="8"/>
      </tp>
      <tp t="s">
        <v/>
        <stp/>
        <stp>47#5#1#5629#JPY7M.LIBOR#LTP</stp>
        <tr r="K39" s="23"/>
      </tp>
      <tp t="s">
        <v/>
        <stp/>
        <stp>47#5#1#5629#JPY6M.LIBOR#LTP</stp>
        <tr r="J39" s="23"/>
        <tr r="G5" s="8"/>
      </tp>
      <tp t="s">
        <v/>
        <stp/>
        <stp>47#5#1#5629#JPY1M.LIBOR#LTP</stp>
        <tr r="E39" s="23"/>
        <tr r="B5" s="8"/>
      </tp>
      <tp t="s">
        <v/>
        <stp/>
        <stp>47#5#1#5629#JPY3M.LIBOR#LTP</stp>
        <tr r="G39" s="23"/>
        <tr r="D5" s="8"/>
      </tp>
      <tp t="s">
        <v/>
        <stp/>
        <stp>47#5#1#5629#JPY2M.LIBOR#LTP</stp>
        <tr r="C5" s="8"/>
        <tr r="F39" s="23"/>
        <tr r="E5" s="8"/>
        <tr r="H39" s="23"/>
      </tp>
      <tp t="s">
        <v/>
        <stp/>
        <stp>47#5#1#5629#JPY9M.LIBOR#LTP</stp>
        <tr r="M39" s="23"/>
        <tr r="H5" s="8"/>
      </tp>
      <tp t="s">
        <v/>
        <stp/>
        <stp>47#5#1#5629#JPY8M.LIBOR#LTP</stp>
        <tr r="L39" s="23"/>
      </tp>
      <tp>
        <v>21.568999999999999</v>
        <stp/>
        <stp>FWRC1#GBPUSD#Month Wise Rates#0#BidPrice9</stp>
        <tr r="M6" s="22"/>
        <tr r="F4" s="20"/>
      </tp>
      <tp>
        <v>15.19</v>
        <stp/>
        <stp>FWRC1#GBPUSD#Month Wise Rates#0#BidPrice8</stp>
        <tr r="M5" s="22"/>
        <tr r="E4" s="20"/>
      </tp>
      <tp>
        <v>1.2462</v>
        <stp/>
        <stp>FWRC1#GBPUSD#Month Wise Rates#0#BidPrice0</stp>
        <tr r="M3" s="22"/>
      </tp>
      <tp>
        <v>0.222</v>
        <stp/>
        <stp>FWRC1#GBPUSD#Month Wise Rates#0#BidPrice2</stp>
        <tr r="C4" s="20"/>
      </tp>
      <tp>
        <v>8.3000000000000007</v>
        <stp/>
        <stp>FWRC1#GBPUSD#Month Wise Rates#0#BidPrice7</stp>
        <tr r="D4" s="20"/>
        <tr r="M4" s="22"/>
      </tp>
      <tp>
        <v>21.354800000000001</v>
        <stp/>
        <stp>FWRC1#USDINR#Month Wise Rates#0#AskPrice8</stp>
        <tr r="D5" s="22"/>
        <tr r="E5" s="15"/>
      </tp>
      <tp>
        <v>33.451599999999999</v>
        <stp/>
        <stp>FWRC1#USDINR#Month Wise Rates#0#AskPrice9</stp>
        <tr r="F5" s="15"/>
        <tr r="D6" s="22"/>
      </tp>
      <tp>
        <v>10.666700000000001</v>
        <stp/>
        <stp>FWRC1#USDINR#Month Wise Rates#0#AskPrice7</stp>
        <tr r="D4" s="22"/>
        <tr r="D5" s="15"/>
      </tp>
      <tp>
        <v>1</v>
        <stp/>
        <stp>FWRC1#USDINR#Month Wise Rates#0#AskPrice3</stp>
        <tr r="C5" s="15"/>
      </tp>
      <tp t="s">
        <v/>
        <stp/>
        <stp>47#5#1#5629#JPYSN.LIBOR#LTP</stp>
        <tr r="B39" s="23"/>
      </tp>
      <tp t="s">
        <v>CADINRCOMP</v>
        <stp/>
        <stp>17#3#1#5921#CADINRCOMP#S#Descr.</stp>
        <tr r="A7" s="23"/>
        <tr r="A24" s="23"/>
      </tp>
      <tp>
        <v>55.73</v>
        <stp/>
        <stp>FWRC1#EURUSD#Month Wise Rates#0#BidPrice9</stp>
        <tr r="K6" s="22"/>
        <tr r="F4" s="19"/>
      </tp>
      <tp>
        <v>37.51</v>
        <stp/>
        <stp>FWRC1#EURUSD#Month Wise Rates#0#BidPrice8</stp>
        <tr r="E4" s="19"/>
        <tr r="K5" s="22"/>
      </tp>
      <tp>
        <v>0.58099999999999996</v>
        <stp/>
        <stp>FWRC1#EURUSD#Month Wise Rates#0#BidPrice2</stp>
        <tr r="C4" s="19"/>
      </tp>
      <tp>
        <v>1.08226</v>
        <stp/>
        <stp>FWRC1#EURUSD#Month Wise Rates#0#BidPrice0</stp>
        <tr r="K3" s="22"/>
      </tp>
      <tp>
        <v>19.68</v>
        <stp/>
        <stp>FWRC1#EURUSD#Month Wise Rates#0#BidPrice7</stp>
        <tr r="K4" s="22"/>
        <tr r="D4" s="19"/>
      </tp>
      <tp>
        <v>131.203</v>
        <stp/>
        <stp>FWRC1#USDJPY#Month Wise Rates#0#FwdOutrightAsk16</stp>
        <tr r="M8" s="21"/>
      </tp>
      <tp>
        <v>130.68899999999999</v>
        <stp/>
        <stp>FWRC1#USDJPY#Month Wise Rates#0#FwdOutrightAsk17</stp>
        <tr r="N8" s="21"/>
      </tp>
      <tp>
        <v>132.2578</v>
        <stp/>
        <stp>FWRC1#USDJPY#Month Wise Rates#0#FwdOutrightAsk14</stp>
        <tr r="K8" s="21"/>
      </tp>
      <tp>
        <v>131.67599999999999</v>
        <stp/>
        <stp>FWRC1#USDJPY#Month Wise Rates#0#FwdOutrightAsk15</stp>
        <tr r="L8" s="21"/>
      </tp>
      <tp>
        <v>133.52950000000001</v>
        <stp/>
        <stp>FWRC1#USDJPY#Month Wise Rates#0#FwdOutrightAsk12</stp>
        <tr r="I8" s="21"/>
      </tp>
      <tp>
        <v>132.98099999999999</v>
        <stp/>
        <stp>FWRC1#USDJPY#Month Wise Rates#0#FwdOutrightAsk13</stp>
        <tr r="J8" s="21"/>
      </tp>
      <tp>
        <v>134.79400000000001</v>
        <stp/>
        <stp>FWRC1#USDJPY#Month Wise Rates#0#FwdOutrightAsk10</stp>
        <tr r="G8" s="21"/>
      </tp>
      <tp>
        <v>134.16679999999999</v>
        <stp/>
        <stp>FWRC1#USDJPY#Month Wise Rates#0#FwdOutrightAsk11</stp>
        <tr r="H8" s="21"/>
      </tp>
      <tp>
        <v>130.17500000000001</v>
        <stp/>
        <stp>FWRC1#USDJPY#Month Wise Rates#0#FwdOutrightAsk18</stp>
        <tr r="O8" s="21"/>
      </tp>
      <tp t="s">
        <v/>
        <stp/>
        <stp>47#5#1#5629#USD1W.LIBOR#LTP</stp>
        <tr r="C36" s="23"/>
      </tp>
      <tp t="s">
        <v/>
        <stp/>
        <stp>47#5#1#5629#USD2W.LIBOR#LTP</stp>
        <tr r="D36" s="23"/>
      </tp>
      <tp t="s">
        <v>EURINRCOMP</v>
        <stp/>
        <stp>17#3#1#5949#EURINRCOMP#S#Descr.</stp>
        <tr r="A20" s="23"/>
        <tr r="A3" s="23"/>
      </tp>
      <tp>
        <v>83.232500000000002</v>
        <stp/>
        <stp>17#1#1#6069#USDINRCOMP#52WkHigh</stp>
        <tr r="I3" s="10"/>
      </tp>
      <tp>
        <v>-0.39</v>
        <stp/>
        <stp>17#3#1#5949#EURINRCOMP#%Chg</stp>
        <tr r="D4" s="10"/>
      </tp>
      <tp>
        <v>135.36770000000001</v>
        <stp/>
        <stp>FWRC1#USDJPY#Month Wise Rates#0#FwdOutrightBid9</stp>
        <tr r="F7" s="21"/>
      </tp>
      <tp>
        <v>136.05510000000001</v>
        <stp/>
        <stp>FWRC1#USDJPY#Month Wise Rates#0#FwdOutrightBid8</stp>
        <tr r="E7" s="21"/>
      </tp>
      <tp>
        <v>136.6754</v>
        <stp/>
        <stp>FWRC1#USDJPY#Month Wise Rates#0#FwdOutrightBid7</stp>
        <tr r="D7" s="21"/>
      </tp>
      <tp>
        <v>137.3526</v>
        <stp/>
        <stp>FWRC1#USDJPY#Month Wise Rates#0#FwdOutrightBid2</stp>
        <tr r="C7" s="21"/>
      </tp>
      <tp>
        <v>31.07</v>
        <stp/>
        <stp>FWRC1#GBPUSD#Month Wise Rates#0#BidPrice13</stp>
        <tr r="J4" s="20"/>
        <tr r="M10" s="22"/>
      </tp>
      <tp>
        <v>31.535</v>
        <stp/>
        <stp>FWRC1#GBPUSD#Month Wise Rates#0#BidPrice12</stp>
        <tr r="M9" s="22"/>
        <tr r="I4" s="20"/>
      </tp>
      <tp>
        <v>29.81</v>
        <stp/>
        <stp>FWRC1#GBPUSD#Month Wise Rates#0#BidPrice11</stp>
        <tr r="H4" s="20"/>
        <tr r="M8" s="22"/>
      </tp>
      <tp>
        <v>26.355</v>
        <stp/>
        <stp>FWRC1#GBPUSD#Month Wise Rates#0#BidPrice10</stp>
        <tr r="M7" s="22"/>
        <tr r="G4" s="20"/>
      </tp>
      <tp>
        <v>28.22</v>
        <stp/>
        <stp>FWRC1#GBPUSD#Month Wise Rates#0#BidPrice17</stp>
        <tr r="M14" s="22"/>
        <tr r="N4" s="20"/>
      </tp>
      <tp>
        <v>32.07</v>
        <stp/>
        <stp>FWRC1#GBPUSD#Month Wise Rates#0#BidPrice16</stp>
        <tr r="M13" s="22"/>
        <tr r="M4" s="20"/>
      </tp>
      <tp>
        <v>33.79</v>
        <stp/>
        <stp>FWRC1#GBPUSD#Month Wise Rates#0#BidPrice15</stp>
        <tr r="M12" s="22"/>
        <tr r="L4" s="20"/>
      </tp>
      <tp>
        <v>35.74</v>
        <stp/>
        <stp>FWRC1#GBPUSD#Month Wise Rates#0#BidPrice14</stp>
        <tr r="M11" s="22"/>
        <tr r="K4" s="20"/>
      </tp>
      <tp>
        <v>22.68</v>
        <stp/>
        <stp>FWRC1#GBPUSD#Month Wise Rates#0#BidPrice18</stp>
        <tr r="O4" s="20"/>
        <tr r="M15" s="22"/>
      </tp>
      <tp>
        <v>24.51</v>
        <stp/>
        <stp>FWRC1#GBPUSD#Month Wise Rates#0#AskPrice18</stp>
        <tr r="O5" s="20"/>
        <tr r="N15" s="22"/>
      </tp>
      <tp>
        <v>30.05</v>
        <stp/>
        <stp>FWRC1#GBPUSD#Month Wise Rates#0#AskPrice11</stp>
        <tr r="N8" s="22"/>
        <tr r="H5" s="20"/>
      </tp>
      <tp>
        <v>26.555</v>
        <stp/>
        <stp>FWRC1#GBPUSD#Month Wise Rates#0#AskPrice10</stp>
        <tr r="N7" s="22"/>
        <tr r="G5" s="20"/>
      </tp>
      <tp>
        <v>32.909999999999997</v>
        <stp/>
        <stp>FWRC1#GBPUSD#Month Wise Rates#0#AskPrice13</stp>
        <tr r="J5" s="20"/>
        <tr r="N10" s="22"/>
      </tp>
      <tp>
        <v>31.815000000000001</v>
        <stp/>
        <stp>FWRC1#GBPUSD#Month Wise Rates#0#AskPrice12</stp>
        <tr r="N9" s="22"/>
        <tr r="I5" s="20"/>
      </tp>
      <tp>
        <v>35.94</v>
        <stp/>
        <stp>FWRC1#GBPUSD#Month Wise Rates#0#AskPrice15</stp>
        <tr r="L5" s="20"/>
        <tr r="N12" s="22"/>
      </tp>
      <tp>
        <v>37.5</v>
        <stp/>
        <stp>FWRC1#GBPUSD#Month Wise Rates#0#AskPrice14</stp>
        <tr r="K5" s="20"/>
        <tr r="N11" s="22"/>
      </tp>
      <tp>
        <v>29.97</v>
        <stp/>
        <stp>FWRC1#GBPUSD#Month Wise Rates#0#AskPrice17</stp>
        <tr r="N5" s="20"/>
        <tr r="N14" s="22"/>
      </tp>
      <tp>
        <v>32.869999999999997</v>
        <stp/>
        <stp>FWRC1#GBPUSD#Month Wise Rates#0#AskPrice16</stp>
        <tr r="M5" s="20"/>
        <tr r="N13" s="22"/>
      </tp>
      <tp>
        <v>244.26009999999999</v>
        <stp/>
        <stp>FWRC1#EURINR#Month Wise Rates#0#AskPrice15</stp>
        <tr r="F12" s="22"/>
      </tp>
      <tp>
        <v>218.37790000000001</v>
        <stp/>
        <stp>FWRC1#EURINR#Month Wise Rates#0#AskPrice14</stp>
        <tr r="F11" s="22"/>
      </tp>
      <tp>
        <v>301.1112</v>
        <stp/>
        <stp>FWRC1#EURINR#Month Wise Rates#0#AskPrice17</stp>
        <tr r="F14" s="22"/>
      </tp>
      <tp>
        <v>268.99829999999997</v>
        <stp/>
        <stp>FWRC1#EURINR#Month Wise Rates#0#AskPrice16</stp>
        <tr r="F13" s="22"/>
      </tp>
      <tp>
        <v>133.2783</v>
        <stp/>
        <stp>FWRC1#EURINR#Month Wise Rates#0#AskPrice11</stp>
        <tr r="F8" s="22"/>
      </tp>
      <tp>
        <v>107.8946</v>
        <stp/>
        <stp>FWRC1#EURINR#Month Wise Rates#0#AskPrice10</stp>
        <tr r="F7" s="22"/>
      </tp>
      <tp>
        <v>186.72790000000001</v>
        <stp/>
        <stp>FWRC1#EURINR#Month Wise Rates#0#AskPrice13</stp>
        <tr r="F10" s="22"/>
      </tp>
      <tp>
        <v>160.41380000000001</v>
        <stp/>
        <stp>FWRC1#EURINR#Month Wise Rates#0#AskPrice12</stp>
        <tr r="F9" s="22"/>
      </tp>
      <tp>
        <v>331.2722</v>
        <stp/>
        <stp>FWRC1#EURINR#Month Wise Rates#0#AskPrice18</stp>
        <tr r="F15" s="22"/>
      </tp>
      <tp>
        <v>326.60629999999998</v>
        <stp/>
        <stp>FWRC1#EURINR#Month Wise Rates#0#BidPrice18</stp>
        <tr r="E15" s="22"/>
      </tp>
      <tp>
        <v>294.2747</v>
        <stp/>
        <stp>FWRC1#EURINR#Month Wise Rates#0#BidPrice17</stp>
        <tr r="E14" s="22"/>
      </tp>
      <tp>
        <v>262.59339999999997</v>
        <stp/>
        <stp>FWRC1#EURINR#Month Wise Rates#0#BidPrice16</stp>
        <tr r="E13" s="22"/>
      </tp>
      <tp>
        <v>239.95689999999999</v>
        <stp/>
        <stp>FWRC1#EURINR#Month Wise Rates#0#BidPrice15</stp>
        <tr r="E12" s="22"/>
      </tp>
      <tp>
        <v>214.33279999999999</v>
        <stp/>
        <stp>FWRC1#EURINR#Month Wise Rates#0#BidPrice14</stp>
        <tr r="E11" s="22"/>
      </tp>
      <tp>
        <v>181.60890000000001</v>
        <stp/>
        <stp>FWRC1#EURINR#Month Wise Rates#0#BidPrice13</stp>
        <tr r="E10" s="22"/>
      </tp>
      <tp>
        <v>157.55359999999999</v>
        <stp/>
        <stp>FWRC1#EURINR#Month Wise Rates#0#BidPrice12</stp>
        <tr r="E9" s="22"/>
      </tp>
      <tp>
        <v>130.5943</v>
        <stp/>
        <stp>FWRC1#EURINR#Month Wise Rates#0#BidPrice11</stp>
        <tr r="E8" s="22"/>
      </tp>
      <tp>
        <v>105.1005</v>
        <stp/>
        <stp>FWRC1#EURINR#Month Wise Rates#0#BidPrice10</stp>
        <tr r="E7" s="22"/>
      </tp>
      <tp>
        <v>91.834999999999994</v>
        <stp/>
        <stp>17#3#1#6056#CHFINRCOMP#Open</stp>
        <tr r="B6" s="23"/>
      </tp>
      <tp>
        <v>60.3</v>
        <stp/>
        <stp>17#3#1#5978#JPYINRCOMP#Open</stp>
        <tr r="B5" s="23"/>
        <tr r="E6" s="10"/>
      </tp>
      <tp t="s">
        <v>SEP-2023</v>
        <stp/>
        <stp>FWRC1#JPYINR#Month End Rates#0#S#Desc.8</stp>
        <tr r="H1" s="18"/>
      </tp>
      <tp t="s">
        <v>OCT-2023</v>
        <stp/>
        <stp>FWRC1#JPYINR#Month End Rates#0#S#Desc.9</stp>
        <tr r="I1" s="18"/>
      </tp>
      <tp t="s">
        <v>MAY-2023</v>
        <stp/>
        <stp>FWRC1#JPYINR#Month End Rates#0#S#Desc.4</stp>
        <tr r="D1" s="18"/>
      </tp>
      <tp t="s">
        <v>JUN-2023</v>
        <stp/>
        <stp>FWRC1#JPYINR#Month End Rates#0#S#Desc.5</stp>
        <tr r="E1" s="18"/>
      </tp>
      <tp t="s">
        <v>JUL-2023</v>
        <stp/>
        <stp>FWRC1#JPYINR#Month End Rates#0#S#Desc.6</stp>
        <tr r="F1" s="18"/>
      </tp>
      <tp t="s">
        <v>AUG-2023</v>
        <stp/>
        <stp>FWRC1#JPYINR#Month End Rates#0#S#Desc.7</stp>
        <tr r="G1" s="18"/>
      </tp>
      <tp t="s">
        <v>CASH/SPOT</v>
        <stp/>
        <stp>FWRC1#JPYINR#Month End Rates#0#S#Desc.2</stp>
        <tr r="C1" s="18"/>
      </tp>
      <tp>
        <v>12</v>
        <stp/>
        <stp>FWRC1#USDINR#Month End Rates#0#Close5</stp>
        <tr r="D19" s="23"/>
      </tp>
      <tp>
        <v>2</v>
        <stp/>
        <stp>FWRC1#USDINR#Month End Rates#0#Close4</stp>
        <tr r="C19" s="23"/>
      </tp>
      <tp>
        <v>35</v>
        <stp/>
        <stp>FWRC1#USDINR#Month End Rates#0#Close7</stp>
        <tr r="F19" s="23"/>
      </tp>
      <tp>
        <v>24</v>
        <stp/>
        <stp>FWRC1#USDINR#Month End Rates#0#Close6</stp>
        <tr r="E19" s="23"/>
      </tp>
      <tp>
        <v>82.385000000000005</v>
        <stp/>
        <stp>FWRC1#USDINR#Month End Rates#0#Close0</stp>
        <tr r="G19" s="23"/>
        <tr r="N19" s="23"/>
        <tr r="F19" s="23"/>
        <tr r="L19" s="23"/>
        <tr r="E19" s="23"/>
        <tr r="M19" s="23"/>
        <tr r="K19" s="23"/>
        <tr r="I19" s="23"/>
        <tr r="H19" s="23"/>
        <tr r="D19" s="23"/>
        <tr r="J19" s="23"/>
        <tr r="C19" s="23"/>
        <tr r="B19" s="23"/>
      </tp>
      <tp>
        <v>60</v>
        <stp/>
        <stp>FWRC1#USDINR#Month End Rates#0#Close9</stp>
        <tr r="H19" s="23"/>
      </tp>
      <tp>
        <v>47</v>
        <stp/>
        <stp>FWRC1#USDINR#Month End Rates#0#Close8</stp>
        <tr r="G19" s="23"/>
      </tp>
      <tp>
        <v>170.5455</v>
        <stp/>
        <stp>FWRC1#USDINR#Month Wise Rates#0#BidPrice18</stp>
        <tr r="O4" s="15"/>
        <tr r="C15" s="22"/>
      </tp>
      <tp>
        <v>148</v>
        <stp/>
        <stp>FWRC1#USDINR#Month Wise Rates#0#BidPrice17</stp>
        <tr r="C14" s="22"/>
        <tr r="N4" s="15"/>
      </tp>
      <tp>
        <v>127.1786</v>
        <stp/>
        <stp>FWRC1#USDINR#Month Wise Rates#0#BidPrice16</stp>
        <tr r="C13" s="22"/>
        <tr r="M4" s="15"/>
      </tp>
      <tp>
        <v>112.65519999999999</v>
        <stp/>
        <stp>FWRC1#USDINR#Month Wise Rates#0#BidPrice15</stp>
        <tr r="L4" s="15"/>
        <tr r="C12" s="22"/>
      </tp>
      <tp>
        <v>97.181799999999996</v>
        <stp/>
        <stp>FWRC1#USDINR#Month Wise Rates#0#BidPrice14</stp>
        <tr r="C11" s="22"/>
        <tr r="K4" s="15"/>
      </tp>
      <tp>
        <v>82.517200000000003</v>
        <stp/>
        <stp>FWRC1#USDINR#Month Wise Rates#0#BidPrice13</stp>
        <tr r="J4" s="15"/>
        <tr r="C10" s="22"/>
      </tp>
      <tp>
        <v>69.333299999999994</v>
        <stp/>
        <stp>FWRC1#USDINR#Month Wise Rates#0#BidPrice12</stp>
        <tr r="I4" s="15"/>
        <tr r="C9" s="22"/>
      </tp>
      <tp>
        <v>55.125</v>
        <stp/>
        <stp>FWRC1#USDINR#Month Wise Rates#0#BidPrice11</stp>
        <tr r="C8" s="22"/>
        <tr r="H4" s="15"/>
      </tp>
      <tp>
        <v>43.2759</v>
        <stp/>
        <stp>FWRC1#USDINR#Month Wise Rates#0#BidPrice10</stp>
        <tr r="G4" s="15"/>
        <tr r="C7" s="22"/>
      </tp>
      <tp>
        <v>114.65519999999999</v>
        <stp/>
        <stp>FWRC1#USDINR#Month Wise Rates#0#AskPrice15</stp>
        <tr r="D12" s="22"/>
        <tr r="L5" s="15"/>
      </tp>
      <tp>
        <v>99.181799999999996</v>
        <stp/>
        <stp>FWRC1#USDINR#Month Wise Rates#0#AskPrice14</stp>
        <tr r="K5" s="15"/>
        <tr r="D11" s="22"/>
      </tp>
      <tp>
        <v>150</v>
        <stp/>
        <stp>FWRC1#USDINR#Month Wise Rates#0#AskPrice17</stp>
        <tr r="D14" s="22"/>
        <tr r="N5" s="15"/>
      </tp>
      <tp>
        <v>129.17859999999999</v>
        <stp/>
        <stp>FWRC1#USDINR#Month Wise Rates#0#AskPrice16</stp>
        <tr r="D13" s="22"/>
        <tr r="M5" s="15"/>
      </tp>
      <tp>
        <v>57.125</v>
        <stp/>
        <stp>FWRC1#USDINR#Month Wise Rates#0#AskPrice11</stp>
        <tr r="H5" s="15"/>
        <tr r="D8" s="22"/>
      </tp>
      <tp>
        <v>45.2759</v>
        <stp/>
        <stp>FWRC1#USDINR#Month Wise Rates#0#AskPrice10</stp>
        <tr r="G5" s="15"/>
        <tr r="D7" s="22"/>
      </tp>
      <tp>
        <v>84.517200000000003</v>
        <stp/>
        <stp>FWRC1#USDINR#Month Wise Rates#0#AskPrice13</stp>
        <tr r="D10" s="22"/>
        <tr r="J5" s="15"/>
      </tp>
      <tp>
        <v>71.333299999999994</v>
        <stp/>
        <stp>FWRC1#USDINR#Month Wise Rates#0#AskPrice12</stp>
        <tr r="I5" s="15"/>
        <tr r="D9" s="22"/>
      </tp>
      <tp>
        <v>172.5455</v>
        <stp/>
        <stp>FWRC1#USDINR#Month Wise Rates#0#AskPrice18</stp>
        <tr r="O5" s="15"/>
        <tr r="D15" s="22"/>
      </tp>
      <tp>
        <v>46059.303899999999</v>
        <stp/>
        <stp>FWRC1#JPYINR#Month Wise Rates#0#BidPrice18</stp>
        <tr r="I15" s="22"/>
      </tp>
      <tp>
        <v>41788.222699999998</v>
        <stp/>
        <stp>FWRC1#JPYINR#Month Wise Rates#0#BidPrice17</stp>
        <tr r="I14" s="22"/>
      </tp>
      <tp>
        <v>37705.7592</v>
        <stp/>
        <stp>FWRC1#JPYINR#Month Wise Rates#0#BidPrice16</stp>
        <tr r="I13" s="22"/>
      </tp>
      <tp>
        <v>34297.172200000001</v>
        <stp/>
        <stp>FWRC1#JPYINR#Month Wise Rates#0#BidPrice15</stp>
        <tr r="I12" s="22"/>
      </tp>
      <tp>
        <v>30358.679599999999</v>
        <stp/>
        <stp>FWRC1#JPYINR#Month Wise Rates#0#BidPrice14</stp>
        <tr r="I11" s="22"/>
      </tp>
      <tp>
        <v>25842.197800000002</v>
        <stp/>
        <stp>FWRC1#JPYINR#Month Wise Rates#0#BidPrice13</stp>
        <tr r="I10" s="22"/>
      </tp>
      <tp>
        <v>22305.830399999999</v>
        <stp/>
        <stp>FWRC1#JPYINR#Month Wise Rates#0#BidPrice12</stp>
        <tr r="I9" s="22"/>
      </tp>
      <tp>
        <v>18300.459800000001</v>
        <stp/>
        <stp>FWRC1#JPYINR#Month Wise Rates#0#BidPrice11</stp>
        <tr r="I8" s="22"/>
      </tp>
      <tp>
        <v>14571.1266</v>
        <stp/>
        <stp>FWRC1#JPYINR#Month Wise Rates#0#BidPrice10</stp>
        <tr r="I7" s="22"/>
      </tp>
      <tp>
        <v>34531.2497</v>
        <stp/>
        <stp>FWRC1#JPYINR#Month Wise Rates#0#AskPrice15</stp>
        <tr r="J12" s="22"/>
      </tp>
      <tp>
        <v>30614.333500000001</v>
        <stp/>
        <stp>FWRC1#JPYINR#Month Wise Rates#0#AskPrice14</stp>
        <tr r="J11" s="22"/>
      </tp>
      <tp>
        <v>42125.558599999997</v>
        <stp/>
        <stp>FWRC1#JPYINR#Month Wise Rates#0#AskPrice17</stp>
        <tr r="J14" s="22"/>
      </tp>
      <tp>
        <v>37941.898300000001</v>
        <stp/>
        <stp>FWRC1#JPYINR#Month Wise Rates#0#AskPrice16</stp>
        <tr r="J13" s="22"/>
      </tp>
      <tp>
        <v>18524.488799999999</v>
        <stp/>
        <stp>FWRC1#JPYINR#Month Wise Rates#0#AskPrice11</stp>
        <tr r="J8" s="22"/>
      </tp>
      <tp>
        <v>14792.7513</v>
        <stp/>
        <stp>FWRC1#JPYINR#Month Wise Rates#0#AskPrice10</stp>
        <tr r="J7" s="22"/>
      </tp>
      <tp>
        <v>26094.645199999999</v>
        <stp/>
        <stp>FWRC1#JPYINR#Month Wise Rates#0#AskPrice13</stp>
        <tr r="J10" s="22"/>
      </tp>
      <tp>
        <v>22519.239600000001</v>
        <stp/>
        <stp>FWRC1#JPYINR#Month Wise Rates#0#AskPrice12</stp>
        <tr r="J9" s="22"/>
      </tp>
      <tp>
        <v>46325.063900000001</v>
        <stp/>
        <stp>FWRC1#JPYINR#Month Wise Rates#0#AskPrice18</stp>
        <tr r="J15" s="22"/>
      </tp>
      <tp>
        <v>102.7525</v>
        <stp/>
        <stp>17#3#1#6031#GBPINRCOMP#Open</stp>
        <tr r="B4" s="23"/>
        <tr r="E5" s="10"/>
      </tp>
      <tp>
        <v>54.832500000000003</v>
        <stp/>
        <stp>17#3#1#5903#AUDINRCOMP#Open</stp>
        <tr r="B8" s="23"/>
      </tp>
      <tp>
        <v>1.5598000000000001</v>
        <stp/>
        <stp>FWRC1#EURUSD#Month Wise Rates#0#Bid%18</stp>
        <tr r="O10" s="19"/>
      </tp>
      <tp>
        <v>1.8255999999999999</v>
        <stp/>
        <stp>FWRC1#EURUSD#Month Wise Rates#0#Bid%12</stp>
        <tr r="I10" s="19"/>
      </tp>
      <tp>
        <v>1.7655000000000001</v>
        <stp/>
        <stp>FWRC1#EURUSD#Month Wise Rates#0#Bid%13</stp>
        <tr r="J10" s="19"/>
      </tp>
      <tp>
        <v>1.9532</v>
        <stp/>
        <stp>FWRC1#EURUSD#Month Wise Rates#0#Bid%10</stp>
        <tr r="G10" s="19"/>
      </tp>
      <tp>
        <v>1.8949</v>
        <stp/>
        <stp>FWRC1#EURUSD#Month Wise Rates#0#Bid%11</stp>
        <tr r="H10" s="19"/>
      </tp>
      <tp>
        <v>1.6895</v>
        <stp/>
        <stp>FWRC1#EURUSD#Month Wise Rates#0#Bid%16</stp>
        <tr r="M10" s="19"/>
      </tp>
      <tp>
        <v>1.6408</v>
        <stp/>
        <stp>FWRC1#EURUSD#Month Wise Rates#0#Bid%17</stp>
        <tr r="N10" s="19"/>
      </tp>
      <tp>
        <v>1.827</v>
        <stp/>
        <stp>FWRC1#EURUSD#Month Wise Rates#0#Bid%14</stp>
        <tr r="K10" s="19"/>
      </tp>
      <tp>
        <v>1.7377</v>
        <stp/>
        <stp>FWRC1#EURUSD#Month Wise Rates#0#Bid%15</stp>
        <tr r="L10" s="19"/>
      </tp>
      <tp>
        <v>1.9642999999999999</v>
        <stp/>
        <stp>FWRC1#EURUSD#Month Wise Rates#0#Ask%10</stp>
        <tr r="G11" s="19"/>
      </tp>
      <tp>
        <v>1.9281999999999999</v>
        <stp/>
        <stp>FWRC1#EURUSD#Month Wise Rates#0#Ask%11</stp>
        <tr r="H11" s="19"/>
      </tp>
      <tp>
        <v>1.8403</v>
        <stp/>
        <stp>FWRC1#EURUSD#Month Wise Rates#0#Ask%12</stp>
        <tr r="I11" s="19"/>
      </tp>
      <tp>
        <v>1.8206</v>
        <stp/>
        <stp>FWRC1#EURUSD#Month Wise Rates#0#Ask%13</stp>
        <tr r="J11" s="19"/>
      </tp>
      <tp>
        <v>1.8573</v>
        <stp/>
        <stp>FWRC1#EURUSD#Month Wise Rates#0#Ask%14</stp>
        <tr r="K11" s="19"/>
      </tp>
      <tp>
        <v>1.7681</v>
        <stp/>
        <stp>FWRC1#EURUSD#Month Wise Rates#0#Ask%15</stp>
        <tr r="L11" s="19"/>
      </tp>
      <tp>
        <v>1.7447999999999999</v>
        <stp/>
        <stp>FWRC1#EURUSD#Month Wise Rates#0#Ask%16</stp>
        <tr r="M11" s="19"/>
      </tp>
      <tp>
        <v>1.696</v>
        <stp/>
        <stp>FWRC1#EURUSD#Month Wise Rates#0#Ask%17</stp>
        <tr r="N11" s="19"/>
      </tp>
      <tp>
        <v>1.5864</v>
        <stp/>
        <stp>FWRC1#EURUSD#Month Wise Rates#0#Ask%18</stp>
        <tr r="O11" s="19"/>
      </tp>
      <tp>
        <v>61.094999999999999</v>
        <stp/>
        <stp>17#3#1#5921#CADINRCOMP#Open</stp>
        <tr r="B7" s="23"/>
      </tp>
      <tp>
        <v>61.407499999999999</v>
        <stp/>
        <stp>17#3#1#6041#SGDINRCOMP#High</stp>
        <tr r="C9" s="23"/>
      </tp>
      <tp>
        <v>103.0325</v>
        <stp/>
        <stp>17#3#1#6031#GBPINRCOMP#Close</stp>
        <tr r="H5" s="10"/>
      </tp>
      <tp>
        <v>1.0861000000000001</v>
        <stp/>
        <stp>FWRC1#EURUSD#Month Wise Rates#0#FwdOutrightAsk8</stp>
        <tr r="E8" s="19"/>
      </tp>
      <tp>
        <v>1.0879000000000001</v>
        <stp/>
        <stp>FWRC1#EURUSD#Month Wise Rates#0#FwdOutrightAsk9</stp>
        <tr r="F8" s="19"/>
      </tp>
      <tp>
        <v>1.0843</v>
        <stp/>
        <stp>FWRC1#EURUSD#Month Wise Rates#0#FwdOutrightAsk7</stp>
        <tr r="D8" s="19"/>
      </tp>
      <tp>
        <v>1.0822000000000001</v>
        <stp/>
        <stp>FWRC1#EURUSD#Month Wise Rates#0#FwdOutrightAsk2</stp>
        <tr r="C8" s="19"/>
      </tp>
      <tp>
        <v>82.44</v>
        <stp/>
        <stp>17#1#1#6069#USDINRCOMP#High</stp>
        <tr r="F3" s="10"/>
        <tr r="C2" s="23"/>
      </tp>
      <tp>
        <v>89.432500000000005</v>
        <stp/>
        <stp>17#3#1#5949#EURINRCOMP#Open</stp>
        <tr r="B3" s="23"/>
        <tr r="E4" s="10"/>
      </tp>
      <tp>
        <v>112.03</v>
        <stp/>
        <stp>FWRC1#EURUSD#Month Wise Rates#0#Close13</stp>
        <tr r="I27" s="23"/>
      </tp>
      <tp>
        <v>100.15</v>
        <stp/>
        <stp>FWRC1#EURUSD#Month Wise Rates#0#Close12</stp>
        <tr r="H27" s="23"/>
      </tp>
      <tp>
        <v>85.97</v>
        <stp/>
        <stp>FWRC1#EURUSD#Month Wise Rates#0#Close11</stp>
        <tr r="G27" s="23"/>
      </tp>
      <tp>
        <v>71.239999999999995</v>
        <stp/>
        <stp>FWRC1#EURUSD#Month Wise Rates#0#Close10</stp>
        <tr r="F27" s="23"/>
      </tp>
      <tp>
        <v>163.47999999999999</v>
        <stp/>
        <stp>FWRC1#EURUSD#Month Wise Rates#0#Close17</stp>
        <tr r="M27" s="23"/>
      </tp>
      <tp>
        <v>152.80000000000001</v>
        <stp/>
        <stp>FWRC1#EURUSD#Month Wise Rates#0#Close16</stp>
        <tr r="L27" s="23"/>
      </tp>
      <tp>
        <v>142.72999999999999</v>
        <stp/>
        <stp>FWRC1#EURUSD#Month Wise Rates#0#Close15</stp>
        <tr r="K27" s="23"/>
      </tp>
      <tp>
        <v>132.72999999999999</v>
        <stp/>
        <stp>FWRC1#EURUSD#Month Wise Rates#0#Close14</stp>
        <tr r="J27" s="23"/>
      </tp>
      <tp>
        <v>169.74</v>
        <stp/>
        <stp>FWRC1#EURUSD#Month Wise Rates#0#Close18</stp>
        <tr r="N27" s="23"/>
      </tp>
      <tp t="s">
        <v>CASH/SPOT</v>
        <stp/>
        <stp>FWRC1#GBPINR#Month End Rates#0#S#Desc.2</stp>
        <tr r="C1" s="17"/>
      </tp>
      <tp t="s">
        <v>JUN-2023</v>
        <stp/>
        <stp>FWRC1#GBPINR#Month End Rates#0#S#Desc.5</stp>
        <tr r="E1" s="17"/>
      </tp>
      <tp t="s">
        <v>MAY-2023</v>
        <stp/>
        <stp>FWRC1#GBPINR#Month End Rates#0#S#Desc.4</stp>
        <tr r="D1" s="17"/>
      </tp>
      <tp t="s">
        <v>AUG-2023</v>
        <stp/>
        <stp>FWRC1#GBPINR#Month End Rates#0#S#Desc.7</stp>
        <tr r="G1" s="17"/>
      </tp>
      <tp t="s">
        <v>JUL-2023</v>
        <stp/>
        <stp>FWRC1#GBPINR#Month End Rates#0#S#Desc.6</stp>
        <tr r="F1" s="17"/>
      </tp>
      <tp t="s">
        <v>OCT-2023</v>
        <stp/>
        <stp>FWRC1#GBPINR#Month End Rates#0#S#Desc.9</stp>
        <tr r="I1" s="17"/>
      </tp>
      <tp t="s">
        <v>SEP-2023</v>
        <stp/>
        <stp>FWRC1#GBPINR#Month End Rates#0#S#Desc.8</stp>
        <tr r="H1" s="17"/>
      </tp>
      <tp>
        <v>1.248</v>
        <stp/>
        <stp>FWRC1#GBPUSD#Month Wise Rates#0#FwdOutrightAsk8</stp>
        <tr r="E8" s="20"/>
      </tp>
      <tp>
        <v>1.2486999999999999</v>
        <stp/>
        <stp>FWRC1#GBPUSD#Month Wise Rates#0#FwdOutrightAsk9</stp>
        <tr r="F8" s="20"/>
      </tp>
      <tp>
        <v>1.2473000000000001</v>
        <stp/>
        <stp>FWRC1#GBPUSD#Month Wise Rates#0#FwdOutrightAsk7</stp>
        <tr r="D8" s="20"/>
      </tp>
      <tp>
        <v>1.2466999999999999</v>
        <stp/>
        <stp>FWRC1#GBPUSD#Month Wise Rates#0#FwdOutrightAsk2</stp>
        <tr r="C8" s="20"/>
      </tp>
      <tp>
        <v>-718.7</v>
        <stp/>
        <stp>FWRC1#USDJPY#Month Wise Rates#0#BidPrice18</stp>
        <tr r="O4" s="21"/>
        <tr r="O15" s="22"/>
      </tp>
      <tp>
        <v>-509.28</v>
        <stp/>
        <stp>FWRC1#USDJPY#Month Wise Rates#0#BidPrice14</stp>
        <tr r="O11" s="22"/>
        <tr r="K4" s="21"/>
      </tp>
      <tp>
        <v>-568.1</v>
        <stp/>
        <stp>FWRC1#USDJPY#Month Wise Rates#0#BidPrice15</stp>
        <tr r="O12" s="22"/>
        <tr r="L4" s="21"/>
      </tp>
      <tp>
        <v>-615.5</v>
        <stp/>
        <stp>FWRC1#USDJPY#Month Wise Rates#0#BidPrice16</stp>
        <tr r="O13" s="22"/>
        <tr r="M4" s="21"/>
      </tp>
      <tp>
        <v>-668.8</v>
        <stp/>
        <stp>FWRC1#USDJPY#Month Wise Rates#0#BidPrice17</stp>
        <tr r="N4" s="21"/>
        <tr r="O14" s="22"/>
      </tp>
      <tp>
        <v>-256.3</v>
        <stp/>
        <stp>FWRC1#USDJPY#Month Wise Rates#0#BidPrice10</stp>
        <tr r="G4" s="21"/>
        <tr r="O7" s="22"/>
      </tp>
      <tp>
        <v>-318.62</v>
        <stp/>
        <stp>FWRC1#USDJPY#Month Wise Rates#0#BidPrice11</stp>
        <tr r="H4" s="21"/>
        <tr r="O8" s="22"/>
      </tp>
      <tp>
        <v>-382.97</v>
        <stp/>
        <stp>FWRC1#USDJPY#Month Wise Rates#0#BidPrice12</stp>
        <tr r="I4" s="21"/>
        <tr r="O9" s="22"/>
      </tp>
      <tp>
        <v>-437.8</v>
        <stp/>
        <stp>FWRC1#USDJPY#Month Wise Rates#0#BidPrice13</stp>
        <tr r="J4" s="21"/>
        <tr r="O10" s="22"/>
      </tp>
      <tp>
        <v>-613.9</v>
        <stp/>
        <stp>FWRC1#USDJPY#Month Wise Rates#0#AskPrice16</stp>
        <tr r="P13" s="22"/>
        <tr r="M5" s="21"/>
      </tp>
      <tp>
        <v>-665.3</v>
        <stp/>
        <stp>FWRC1#USDJPY#Month Wise Rates#0#AskPrice17</stp>
        <tr r="P14" s="22"/>
        <tr r="N5" s="21"/>
      </tp>
      <tp>
        <v>-508.32</v>
        <stp/>
        <stp>FWRC1#USDJPY#Month Wise Rates#0#AskPrice14</stp>
        <tr r="K5" s="21"/>
        <tr r="P11" s="22"/>
      </tp>
      <tp>
        <v>-566.6</v>
        <stp/>
        <stp>FWRC1#USDJPY#Month Wise Rates#0#AskPrice15</stp>
        <tr r="P12" s="22"/>
        <tr r="L5" s="21"/>
      </tp>
      <tp>
        <v>-381.75</v>
        <stp/>
        <stp>FWRC1#USDJPY#Month Wise Rates#0#AskPrice12</stp>
        <tr r="I5" s="21"/>
        <tr r="P9" s="22"/>
      </tp>
      <tp>
        <v>-435.8</v>
        <stp/>
        <stp>FWRC1#USDJPY#Month Wise Rates#0#AskPrice13</stp>
        <tr r="P10" s="22"/>
        <tr r="J5" s="21"/>
      </tp>
      <tp>
        <v>-254.8</v>
        <stp/>
        <stp>FWRC1#USDJPY#Month Wise Rates#0#AskPrice10</stp>
        <tr r="G5" s="21"/>
        <tr r="P7" s="22"/>
      </tp>
      <tp>
        <v>-317.12</v>
        <stp/>
        <stp>FWRC1#USDJPY#Month Wise Rates#0#AskPrice11</stp>
        <tr r="P8" s="22"/>
        <tr r="H5" s="21"/>
      </tp>
      <tp>
        <v>-716.7</v>
        <stp/>
        <stp>FWRC1#USDJPY#Month Wise Rates#0#AskPrice18</stp>
        <tr r="P15" s="22"/>
        <tr r="O5" s="21"/>
      </tp>
      <tp>
        <v>29.81</v>
        <stp/>
        <stp>FWRC1#GBPUSD#Month Wise Rates#0#Close11</stp>
        <tr r="G28" s="23"/>
      </tp>
      <tp>
        <v>26.355</v>
        <stp/>
        <stp>FWRC1#GBPUSD#Month Wise Rates#0#Close10</stp>
        <tr r="F28" s="23"/>
      </tp>
      <tp>
        <v>31.07</v>
        <stp/>
        <stp>FWRC1#GBPUSD#Month Wise Rates#0#Close13</stp>
        <tr r="I28" s="23"/>
      </tp>
      <tp>
        <v>31.535</v>
        <stp/>
        <stp>FWRC1#GBPUSD#Month Wise Rates#0#Close12</stp>
        <tr r="H28" s="23"/>
      </tp>
      <tp>
        <v>33.79</v>
        <stp/>
        <stp>FWRC1#GBPUSD#Month Wise Rates#0#Close15</stp>
        <tr r="K28" s="23"/>
      </tp>
      <tp>
        <v>35.74</v>
        <stp/>
        <stp>FWRC1#GBPUSD#Month Wise Rates#0#Close14</stp>
        <tr r="J28" s="23"/>
      </tp>
      <tp>
        <v>28.22</v>
        <stp/>
        <stp>FWRC1#GBPUSD#Month Wise Rates#0#Close17</stp>
        <tr r="M28" s="23"/>
      </tp>
      <tp>
        <v>32.07</v>
        <stp/>
        <stp>FWRC1#GBPUSD#Month Wise Rates#0#Close16</stp>
        <tr r="L28" s="23"/>
      </tp>
      <tp>
        <v>22.68</v>
        <stp/>
        <stp>FWRC1#GBPUSD#Month Wise Rates#0#Close18</stp>
        <tr r="N28" s="23"/>
      </tp>
      <tp t="s">
        <v>30-Apr-2024</v>
        <stp/>
        <stp>FWRC1#USDINR#Month End Rates#0#S#MonthEndDate15</stp>
        <tr r="O2" s="14"/>
      </tp>
      <tp t="s">
        <v>28-Mar-2024</v>
        <stp/>
        <stp>FWRC1#USDINR#Month End Rates#0#S#MonthEndDate14</stp>
        <tr r="N2" s="14"/>
      </tp>
      <tp t="s">
        <v>29-Dec-2023</v>
        <stp/>
        <stp>FWRC1#USDINR#Month End Rates#0#S#MonthEndDate11</stp>
        <tr r="K2" s="14"/>
      </tp>
      <tp t="s">
        <v>30-Nov-2023</v>
        <stp/>
        <stp>FWRC1#USDINR#Month End Rates#0#S#MonthEndDate10</stp>
        <tr r="J2" s="14"/>
      </tp>
      <tp t="s">
        <v>29-Feb-2024</v>
        <stp/>
        <stp>FWRC1#USDINR#Month End Rates#0#S#MonthEndDate13</stp>
        <tr r="M2" s="14"/>
      </tp>
      <tp t="s">
        <v>31-Jan-2024</v>
        <stp/>
        <stp>FWRC1#USDINR#Month End Rates#0#S#MonthEndDate12</stp>
        <tr r="L2" s="14"/>
      </tp>
      <tp t="s">
        <v>CASH/SPOT</v>
        <stp/>
        <stp>FWRC1#EURINR#Month End Rates#0#S#Desc.2</stp>
        <tr r="C1" s="16"/>
      </tp>
      <tp t="s">
        <v>AUG-2023</v>
        <stp/>
        <stp>FWRC1#EURINR#Month End Rates#0#S#Desc.7</stp>
        <tr r="G1" s="16"/>
      </tp>
      <tp t="s">
        <v>JUL-2023</v>
        <stp/>
        <stp>FWRC1#EURINR#Month End Rates#0#S#Desc.6</stp>
        <tr r="F1" s="16"/>
      </tp>
      <tp t="s">
        <v>JUN-2023</v>
        <stp/>
        <stp>FWRC1#EURINR#Month End Rates#0#S#Desc.5</stp>
        <tr r="E1" s="16"/>
      </tp>
      <tp t="s">
        <v>MAY-2023</v>
        <stp/>
        <stp>FWRC1#EURINR#Month End Rates#0#S#Desc.4</stp>
        <tr r="D1" s="16"/>
      </tp>
      <tp t="s">
        <v>OCT-2023</v>
        <stp/>
        <stp>FWRC1#EURINR#Month End Rates#0#S#Desc.9</stp>
        <tr r="I1" s="16"/>
      </tp>
      <tp t="s">
        <v>SEP-2023</v>
        <stp/>
        <stp>FWRC1#EURINR#Month End Rates#0#S#Desc.8</stp>
        <tr r="H1" s="16"/>
      </tp>
      <tp>
        <v>102.675</v>
        <stp/>
        <stp>35#1#1#6031#FUTCUR#1369785600#0#XX#Bid</stp>
        <tr r="B4" s="11"/>
      </tp>
      <tp>
        <v>82.387500000000003</v>
        <stp/>
        <stp>35#1#1#6069#FUTCUR#1369785600#0#XX#Bid</stp>
        <tr r="B2" s="11"/>
      </tp>
      <tp>
        <v>60.34</v>
        <stp/>
        <stp>35#1#1#5978#FUTCUR#1369785600#0#XX#Ask</stp>
        <tr r="C5" s="11"/>
      </tp>
      <tp>
        <v>89.362499999999997</v>
        <stp/>
        <stp>35#1#1#5949#FUTCUR#1369785600#0#XX#Ask</stp>
        <tr r="C3" s="11"/>
      </tp>
      <tp>
        <v>54.852499999999999</v>
        <stp/>
        <stp>17#3#1#5903#AUDINRCOMP#High</stp>
        <tr r="C8" s="23"/>
      </tp>
      <tp>
        <v>-5.1898999999999997</v>
        <stp/>
        <stp>FWRC1#USDJPY#Month Wise Rates#0#Ask%18</stp>
        <tr r="O11" s="21"/>
      </tp>
      <tp>
        <v>-5.2625000000000002</v>
        <stp/>
        <stp>FWRC1#USDJPY#Month Wise Rates#0#Ask%17</stp>
        <tr r="N11" s="21"/>
      </tp>
      <tp>
        <v>-5.3494999999999999</v>
        <stp/>
        <stp>FWRC1#USDJPY#Month Wise Rates#0#Ask%16</stp>
        <tr r="M11" s="21"/>
      </tp>
      <tp>
        <v>-5.4360999999999997</v>
        <stp/>
        <stp>FWRC1#USDJPY#Month Wise Rates#0#Ask%15</stp>
        <tr r="L11" s="21"/>
      </tp>
      <tp>
        <v>-5.5141</v>
        <stp/>
        <stp>FWRC1#USDJPY#Month Wise Rates#0#Ask%14</stp>
        <tr r="K11" s="21"/>
      </tp>
      <tp>
        <v>-5.4122000000000003</v>
        <stp/>
        <stp>FWRC1#USDJPY#Month Wise Rates#0#Ask%13</stp>
        <tr r="J11" s="21"/>
      </tp>
      <tp>
        <v>-5.4843999999999999</v>
        <stp/>
        <stp>FWRC1#USDJPY#Month Wise Rates#0#Ask%12</stp>
        <tr r="I11" s="21"/>
      </tp>
      <tp>
        <v>-5.5086000000000004</v>
        <stp/>
        <stp>FWRC1#USDJPY#Month Wise Rates#0#Ask%11</stp>
        <tr r="H11" s="21"/>
      </tp>
      <tp>
        <v>-5.5053000000000001</v>
        <stp/>
        <stp>FWRC1#USDJPY#Month Wise Rates#0#Ask%10</stp>
        <tr r="G11" s="21"/>
      </tp>
      <tp>
        <v>-5.4504999999999999</v>
        <stp/>
        <stp>FWRC1#USDJPY#Month Wise Rates#0#Bid%15</stp>
        <tr r="L10" s="21"/>
      </tp>
      <tp>
        <v>-5.5244</v>
        <stp/>
        <stp>FWRC1#USDJPY#Month Wise Rates#0#Bid%14</stp>
        <tr r="K10" s="21"/>
      </tp>
      <tp>
        <v>-5.2899000000000003</v>
        <stp/>
        <stp>FWRC1#USDJPY#Month Wise Rates#0#Bid%17</stp>
        <tr r="N10" s="21"/>
      </tp>
      <tp>
        <v>-5.3631000000000002</v>
        <stp/>
        <stp>FWRC1#USDJPY#Month Wise Rates#0#Bid%16</stp>
        <tr r="M10" s="21"/>
      </tp>
      <tp>
        <v>-5.5346000000000002</v>
        <stp/>
        <stp>FWRC1#USDJPY#Month Wise Rates#0#Bid%11</stp>
        <tr r="H10" s="21"/>
      </tp>
      <tp>
        <v>-5.5377000000000001</v>
        <stp/>
        <stp>FWRC1#USDJPY#Month Wise Rates#0#Bid%10</stp>
        <tr r="G10" s="21"/>
      </tp>
      <tp>
        <v>-5.4370000000000003</v>
        <stp/>
        <stp>FWRC1#USDJPY#Month Wise Rates#0#Bid%13</stp>
        <tr r="J10" s="21"/>
      </tp>
      <tp>
        <v>-5.5012999999999996</v>
        <stp/>
        <stp>FWRC1#USDJPY#Month Wise Rates#0#Bid%12</stp>
        <tr r="I10" s="21"/>
      </tp>
      <tp>
        <v>-5.2043999999999997</v>
        <stp/>
        <stp>FWRC1#USDJPY#Month Wise Rates#0#Bid%18</stp>
        <tr r="O10" s="21"/>
      </tp>
      <tp>
        <v>89.334999999999994</v>
        <stp/>
        <stp>35#1#1#5949#FUTCUR#1369785600#0#XX#Bid</stp>
        <tr r="B3" s="11"/>
      </tp>
      <tp>
        <v>60.32</v>
        <stp/>
        <stp>35#1#1#5978#FUTCUR#1369785600#0#XX#Bid</stp>
        <tr r="B5" s="11"/>
      </tp>
      <tp>
        <v>82.397499999999994</v>
        <stp/>
        <stp>35#1#1#6069#FUTCUR#1369785600#0#XX#Ask</stp>
        <tr r="C2" s="11"/>
      </tp>
      <tp>
        <v>102.69</v>
        <stp/>
        <stp>35#1#1#6031#FUTCUR#1369785600#0#XX#Ask</stp>
        <tr r="C4" s="11"/>
      </tp>
      <tp>
        <v>61.387500000000003</v>
        <stp/>
        <stp>17#3#1#6041#SGDINRCOMP#Open</stp>
        <tr r="B9" s="23"/>
      </tp>
      <tp>
        <v>61.13</v>
        <stp/>
        <stp>17#3#1#5921#CADINRCOMP#High</stp>
        <tr r="C7" s="23"/>
      </tp>
      <tp>
        <v>23014.520400000001</v>
        <stp/>
        <stp>FWRC1#GBPINR#Month Wise Rates#0#BidPrice18</stp>
        <tr r="G15" s="22"/>
      </tp>
      <tp>
        <v>20577.988399999998</v>
        <stp/>
        <stp>FWRC1#GBPINR#Month Wise Rates#0#BidPrice17</stp>
        <tr r="G14" s="22"/>
      </tp>
      <tp>
        <v>18274.276900000001</v>
        <stp/>
        <stp>FWRC1#GBPINR#Month Wise Rates#0#BidPrice16</stp>
        <tr r="G13" s="22"/>
      </tp>
      <tp>
        <v>16741.343499999999</v>
        <stp/>
        <stp>FWRC1#GBPINR#Month Wise Rates#0#BidPrice15</stp>
        <tr r="G12" s="22"/>
      </tp>
      <tp>
        <v>14983.8562</v>
        <stp/>
        <stp>FWRC1#GBPINR#Month Wise Rates#0#BidPrice14</stp>
        <tr r="G11" s="22"/>
      </tp>
      <tp>
        <v>12754.2035</v>
        <stp/>
        <stp>FWRC1#GBPINR#Month Wise Rates#0#BidPrice13</stp>
        <tr r="G10" s="22"/>
      </tp>
      <tp>
        <v>11150.6438</v>
        <stp/>
        <stp>FWRC1#GBPINR#Month Wise Rates#0#BidPrice12</stp>
        <tr r="G9" s="22"/>
      </tp>
      <tp>
        <v>9254.1870999999992</v>
        <stp/>
        <stp>FWRC1#GBPINR#Month Wise Rates#0#BidPrice11</stp>
        <tr r="G8" s="22"/>
      </tp>
      <tp>
        <v>7498.5144</v>
        <stp/>
        <stp>FWRC1#GBPINR#Month Wise Rates#0#BidPrice10</stp>
        <tr r="G7" s="22"/>
      </tp>
      <tp>
        <v>82.495000000000005</v>
        <stp/>
        <stp>35#1#1#6069#FUTCUR#1372291200#0#XX#Bid</stp>
        <tr r="B2" s="12"/>
      </tp>
      <tp>
        <v>102.815</v>
        <stp/>
        <stp>35#1#1#6031#FUTCUR#1372291200#0#XX#Bid</stp>
        <tr r="B4" s="12"/>
      </tp>
      <tp>
        <v>17172.334900000002</v>
        <stp/>
        <stp>FWRC1#GBPINR#Month Wise Rates#0#AskPrice15</stp>
        <tr r="H12" s="22"/>
      </tp>
      <tp>
        <v>15380.424199999999</v>
        <stp/>
        <stp>FWRC1#GBPINR#Month Wise Rates#0#AskPrice14</stp>
        <tr r="H11" s="22"/>
      </tp>
      <tp>
        <v>21032.389500000001</v>
        <stp/>
        <stp>FWRC1#GBPINR#Month Wise Rates#0#AskPrice17</stp>
        <tr r="H14" s="22"/>
      </tp>
      <tp>
        <v>18717.9879</v>
        <stp/>
        <stp>FWRC1#GBPINR#Month Wise Rates#0#AskPrice16</stp>
        <tr r="H13" s="22"/>
      </tp>
      <tp>
        <v>9586.7824999999993</v>
        <stp/>
        <stp>FWRC1#GBPINR#Month Wise Rates#0#AskPrice11</stp>
        <tr r="H8" s="22"/>
      </tp>
      <tp>
        <v>7832.3827000000001</v>
        <stp/>
        <stp>FWRC1#GBPINR#Month Wise Rates#0#AskPrice10</stp>
        <tr r="H7" s="22"/>
      </tp>
      <tp>
        <v>13201.8621</v>
        <stp/>
        <stp>FWRC1#GBPINR#Month Wise Rates#0#AskPrice13</stp>
        <tr r="H10" s="22"/>
      </tp>
      <tp>
        <v>11450.434800000001</v>
        <stp/>
        <stp>FWRC1#GBPINR#Month Wise Rates#0#AskPrice12</stp>
        <tr r="H9" s="22"/>
      </tp>
      <tp>
        <v>23431.058000000001</v>
        <stp/>
        <stp>FWRC1#GBPINR#Month Wise Rates#0#AskPrice18</stp>
        <tr r="H15" s="22"/>
      </tp>
      <tp>
        <v>1.248</v>
        <stp/>
        <stp>FWRC1#GBPUSD#Month Wise Rates#0#FwdOutrightBid8</stp>
        <tr r="E7" s="20"/>
      </tp>
      <tp>
        <v>1.2485999999999999</v>
        <stp/>
        <stp>FWRC1#GBPUSD#Month Wise Rates#0#FwdOutrightBid9</stp>
        <tr r="F7" s="20"/>
      </tp>
      <tp>
        <v>1.2472000000000001</v>
        <stp/>
        <stp>FWRC1#GBPUSD#Month Wise Rates#0#FwdOutrightBid7</stp>
        <tr r="D7" s="20"/>
      </tp>
      <tp>
        <v>1.2465999999999999</v>
        <stp/>
        <stp>FWRC1#GBPUSD#Month Wise Rates#0#FwdOutrightBid2</stp>
        <tr r="C7" s="20"/>
      </tp>
      <tp>
        <v>60.71</v>
        <stp/>
        <stp>35#1#1#5978#FUTCUR#1372291200#0#XX#Ask</stp>
        <tr r="C5" s="12"/>
      </tp>
      <tp>
        <v>89.594999999999999</v>
        <stp/>
        <stp>35#1#1#5949#FUTCUR#1372291200#0#XX#Ask</stp>
        <tr r="C3" s="12"/>
      </tp>
      <tp>
        <v>89.45</v>
        <stp/>
        <stp>FWRC1#EURINR#Month End Rates#0#Close0</stp>
        <tr r="H20" s="23"/>
        <tr r="G20" s="23"/>
        <tr r="D20" s="23"/>
        <tr r="J20" s="23"/>
        <tr r="I20" s="23"/>
        <tr r="M20" s="23"/>
        <tr r="E20" s="23"/>
        <tr r="F20" s="23"/>
        <tr r="N20" s="23"/>
        <tr r="K20" s="23"/>
        <tr r="L20" s="23"/>
        <tr r="C20" s="23"/>
        <tr r="B20" s="23"/>
      </tp>
      <tp>
        <v>88.307500000000005</v>
        <stp/>
        <stp>FWRC1#EURINR#Month End Rates#0#Close7</stp>
        <tr r="F20" s="23"/>
      </tp>
      <tp>
        <v>62.085000000000001</v>
        <stp/>
        <stp>FWRC1#EURINR#Month End Rates#0#Close6</stp>
        <tr r="E20" s="23"/>
      </tp>
      <tp>
        <v>35.72</v>
        <stp/>
        <stp>FWRC1#EURINR#Month End Rates#0#Close5</stp>
        <tr r="D20" s="23"/>
      </tp>
      <tp>
        <v>9.6024999999999991</v>
        <stp/>
        <stp>FWRC1#EURINR#Month End Rates#0#Close4</stp>
        <tr r="C20" s="23"/>
      </tp>
      <tp>
        <v>140.715</v>
        <stp/>
        <stp>FWRC1#EURINR#Month End Rates#0#Close9</stp>
        <tr r="H20" s="23"/>
      </tp>
      <tp>
        <v>113.5775</v>
        <stp/>
        <stp>FWRC1#EURINR#Month End Rates#0#Close8</stp>
        <tr r="G20" s="23"/>
      </tp>
      <tp>
        <v>172.64</v>
        <stp/>
        <stp>FWRC1#EURUSD#Month Wise Rates#0#AskPrice18</stp>
        <tr r="O5" s="19"/>
        <tr r="L15" s="22"/>
      </tp>
      <tp>
        <v>87.48</v>
        <stp/>
        <stp>FWRC1#EURUSD#Month Wise Rates#0#AskPrice11</stp>
        <tr r="H5" s="19"/>
        <tr r="L8" s="22"/>
      </tp>
      <tp>
        <v>71.64</v>
        <stp/>
        <stp>FWRC1#EURUSD#Month Wise Rates#0#AskPrice10</stp>
        <tr r="L7" s="22"/>
        <tr r="G5" s="19"/>
      </tp>
      <tp>
        <v>115.53</v>
        <stp/>
        <stp>FWRC1#EURUSD#Month Wise Rates#0#AskPrice13</stp>
        <tr r="J5" s="19"/>
        <tr r="L10" s="22"/>
      </tp>
      <tp>
        <v>100.95</v>
        <stp/>
        <stp>FWRC1#EURUSD#Month Wise Rates#0#AskPrice12</stp>
        <tr r="I5" s="19"/>
        <tr r="L9" s="22"/>
      </tp>
      <tp>
        <v>145.22999999999999</v>
        <stp/>
        <stp>FWRC1#EURUSD#Month Wise Rates#0#AskPrice15</stp>
        <tr r="L5" s="19"/>
        <tr r="L12" s="22"/>
      </tp>
      <tp>
        <v>134.93</v>
        <stp/>
        <stp>FWRC1#EURUSD#Month Wise Rates#0#AskPrice14</stp>
        <tr r="L11" s="22"/>
        <tr r="K5" s="19"/>
      </tp>
      <tp>
        <v>168.98</v>
        <stp/>
        <stp>FWRC1#EURUSD#Month Wise Rates#0#AskPrice17</stp>
        <tr r="N5" s="19"/>
        <tr r="L14" s="22"/>
      </tp>
      <tp>
        <v>157.80000000000001</v>
        <stp/>
        <stp>FWRC1#EURUSD#Month Wise Rates#0#AskPrice16</stp>
        <tr r="L13" s="22"/>
        <tr r="M5" s="19"/>
      </tp>
      <tp>
        <v>112.03</v>
        <stp/>
        <stp>FWRC1#EURUSD#Month Wise Rates#0#BidPrice13</stp>
        <tr r="J4" s="19"/>
        <tr r="K10" s="22"/>
      </tp>
      <tp>
        <v>100.15</v>
        <stp/>
        <stp>FWRC1#EURUSD#Month Wise Rates#0#BidPrice12</stp>
        <tr r="I4" s="19"/>
        <tr r="K9" s="22"/>
      </tp>
      <tp>
        <v>85.97</v>
        <stp/>
        <stp>FWRC1#EURUSD#Month Wise Rates#0#BidPrice11</stp>
        <tr r="H4" s="19"/>
        <tr r="K8" s="22"/>
      </tp>
      <tp>
        <v>71.239999999999995</v>
        <stp/>
        <stp>FWRC1#EURUSD#Month Wise Rates#0#BidPrice10</stp>
        <tr r="K7" s="22"/>
        <tr r="G4" s="19"/>
      </tp>
      <tp>
        <v>163.47999999999999</v>
        <stp/>
        <stp>FWRC1#EURUSD#Month Wise Rates#0#BidPrice17</stp>
        <tr r="N4" s="19"/>
        <tr r="K14" s="22"/>
      </tp>
      <tp>
        <v>152.80000000000001</v>
        <stp/>
        <stp>FWRC1#EURUSD#Month Wise Rates#0#BidPrice16</stp>
        <tr r="M4" s="19"/>
        <tr r="K13" s="22"/>
      </tp>
      <tp>
        <v>142.72999999999999</v>
        <stp/>
        <stp>FWRC1#EURUSD#Month Wise Rates#0#BidPrice15</stp>
        <tr r="L4" s="19"/>
        <tr r="K12" s="22"/>
      </tp>
      <tp>
        <v>132.72999999999999</v>
        <stp/>
        <stp>FWRC1#EURUSD#Month Wise Rates#0#BidPrice14</stp>
        <tr r="K11" s="22"/>
        <tr r="K4" s="19"/>
      </tp>
      <tp>
        <v>169.74</v>
        <stp/>
        <stp>FWRC1#EURUSD#Month Wise Rates#0#BidPrice18</stp>
        <tr r="K15" s="22"/>
        <tr r="O4" s="19"/>
      </tp>
      <tp>
        <v>82.295000000000002</v>
        <stp/>
        <stp>17#1#1#6069#USDINRCOMP#Open</stp>
        <tr r="B2" s="23"/>
        <tr r="E3" s="10"/>
      </tp>
      <tp>
        <v>89.515000000000001</v>
        <stp/>
        <stp>17#3#1#5949#EURINRCOMP#High</stp>
        <tr r="F4" s="10"/>
        <tr r="C3" s="23"/>
      </tp>
      <tp>
        <v>1.0861000000000001</v>
        <stp/>
        <stp>FWRC1#EURUSD#Month Wise Rates#0#FwdOutrightBid8</stp>
        <tr r="E7" s="19"/>
      </tp>
      <tp>
        <v>1.0878000000000001</v>
        <stp/>
        <stp>FWRC1#EURUSD#Month Wise Rates#0#FwdOutrightBid9</stp>
        <tr r="F7" s="19"/>
      </tp>
      <tp>
        <v>1.0843</v>
        <stp/>
        <stp>FWRC1#EURUSD#Month Wise Rates#0#FwdOutrightBid7</stp>
        <tr r="D7" s="19"/>
      </tp>
      <tp>
        <v>1.0822000000000001</v>
        <stp/>
        <stp>FWRC1#EURUSD#Month Wise Rates#0#FwdOutrightBid2</stp>
        <tr r="C7" s="19"/>
      </tp>
      <tp>
        <v>102.765</v>
        <stp/>
        <stp>FWRC1#GBPINR#Month End Rates#0#Close0</stp>
        <tr r="M21" s="23"/>
        <tr r="G21" s="23"/>
        <tr r="E21" s="23"/>
        <tr r="L21" s="23"/>
        <tr r="K21" s="23"/>
        <tr r="D21" s="23"/>
        <tr r="I21" s="23"/>
        <tr r="J21" s="23"/>
        <tr r="H21" s="23"/>
        <tr r="N21" s="23"/>
        <tr r="F21" s="23"/>
        <tr r="C21" s="23"/>
        <tr r="B21" s="23"/>
      </tp>
      <tp>
        <v>2523.0149999999999</v>
        <stp/>
        <stp>FWRC1#GBPINR#Month End Rates#0#Close5</stp>
        <tr r="D21" s="23"/>
      </tp>
      <tp>
        <v>662.0625</v>
        <stp/>
        <stp>FWRC1#GBPINR#Month End Rates#0#Close4</stp>
        <tr r="C21" s="23"/>
      </tp>
      <tp>
        <v>6320.2974999999997</v>
        <stp/>
        <stp>FWRC1#GBPINR#Month End Rates#0#Close7</stp>
        <tr r="F21" s="23"/>
      </tp>
      <tp>
        <v>4411.9624999999996</v>
        <stp/>
        <stp>FWRC1#GBPINR#Month End Rates#0#Close6</stp>
        <tr r="E21" s="23"/>
      </tp>
      <tp>
        <v>9963.6375000000007</v>
        <stp/>
        <stp>FWRC1#GBPINR#Month End Rates#0#Close9</stp>
        <tr r="H21" s="23"/>
      </tp>
      <tp>
        <v>8047.5074999999997</v>
        <stp/>
        <stp>FWRC1#GBPINR#Month End Rates#0#Close8</stp>
        <tr r="G21" s="23"/>
      </tp>
      <tp>
        <v>89.58</v>
        <stp/>
        <stp>35#1#1#5949#FUTCUR#1372291200#0#XX#Bid</stp>
        <tr r="B3" s="12"/>
      </tp>
      <tp>
        <v>60.68</v>
        <stp/>
        <stp>35#1#1#5978#FUTCUR#1372291200#0#XX#Bid</stp>
        <tr r="B5" s="12"/>
      </tp>
      <tp t="s">
        <v>31-Jan-2024</v>
        <stp/>
        <stp>FWRC1#JPYINR#Month End Rates#0#S#PillarDate12</stp>
        <tr r="L2" s="18"/>
      </tp>
      <tp t="s">
        <v>29-Feb-2024</v>
        <stp/>
        <stp>FWRC1#JPYINR#Month End Rates#0#S#PillarDate13</stp>
        <tr r="M2" s="18"/>
      </tp>
      <tp t="s">
        <v>30-Nov-2023</v>
        <stp/>
        <stp>FWRC1#JPYINR#Month End Rates#0#S#PillarDate10</stp>
        <tr r="J2" s="18"/>
      </tp>
      <tp t="s">
        <v>29-Dec-2023</v>
        <stp/>
        <stp>FWRC1#JPYINR#Month End Rates#0#S#PillarDate11</stp>
        <tr r="K2" s="18"/>
      </tp>
      <tp t="s">
        <v>28-Mar-2024</v>
        <stp/>
        <stp>FWRC1#JPYINR#Month End Rates#0#S#PillarDate14</stp>
        <tr r="N2" s="18"/>
      </tp>
      <tp t="s">
        <v>30-Apr-2024</v>
        <stp/>
        <stp>FWRC1#JPYINR#Month End Rates#0#S#PillarDate15</stp>
        <tr r="O2" s="18"/>
      </tp>
      <tp>
        <v>102.84</v>
        <stp/>
        <stp>35#1#1#6031#FUTCUR#1372291200#0#XX#Ask</stp>
        <tr r="C4" s="12"/>
      </tp>
      <tp>
        <v>82.507499999999993</v>
        <stp/>
        <stp>35#1#1#6069#FUTCUR#1372291200#0#XX#Ask</stp>
        <tr r="C2" s="12"/>
      </tp>
      <tp>
        <v>82.215000000000003</v>
        <stp/>
        <stp>17#1#1#6069#USDINRCOMP#Close</stp>
        <tr r="H3" s="10"/>
      </tp>
      <tp>
        <v>52138.1302</v>
        <stp/>
        <stp>FWRC1#CHFINR#Month Wise Rates#0#Close18</stp>
        <tr r="N23" s="23"/>
      </tp>
      <tp>
        <v>17146.459800000001</v>
        <stp/>
        <stp>FWRC1#CHFINR#Month Wise Rates#0#Close10</stp>
        <tr r="F23" s="23"/>
      </tp>
      <tp>
        <v>21524.293000000001</v>
        <stp/>
        <stp>FWRC1#CHFINR#Month Wise Rates#0#Close11</stp>
        <tr r="G23" s="23"/>
      </tp>
      <tp>
        <v>25493.614099999999</v>
        <stp/>
        <stp>FWRC1#CHFINR#Month Wise Rates#0#Close12</stp>
        <tr r="H23" s="23"/>
      </tp>
      <tp>
        <v>29514.6214</v>
        <stp/>
        <stp>FWRC1#CHFINR#Month Wise Rates#0#Close13</stp>
        <tr r="I23" s="23"/>
      </tp>
      <tp>
        <v>34602.553800000002</v>
        <stp/>
        <stp>FWRC1#CHFINR#Month Wise Rates#0#Close14</stp>
        <tr r="J23" s="23"/>
      </tp>
      <tp>
        <v>39081.058599999997</v>
        <stp/>
        <stp>FWRC1#CHFINR#Month Wise Rates#0#Close15</stp>
        <tr r="K23" s="23"/>
      </tp>
      <tp>
        <v>41921.034699999997</v>
        <stp/>
        <stp>FWRC1#CHFINR#Month Wise Rates#0#Close16</stp>
        <tr r="L23" s="23"/>
      </tp>
      <tp>
        <v>46762.941500000001</v>
        <stp/>
        <stp>FWRC1#CHFINR#Month Wise Rates#0#Close17</stp>
        <tr r="M23" s="23"/>
      </tp>
      <tp t="s">
        <v>30-Apr-2024</v>
        <stp/>
        <stp>FWRC1#EURINR#Month End Rates#0#S#MonthEndDate15</stp>
        <tr r="O2" s="16"/>
      </tp>
      <tp t="s">
        <v>28-Mar-2024</v>
        <stp/>
        <stp>FWRC1#EURINR#Month End Rates#0#S#MonthEndDate14</stp>
        <tr r="N2" s="16"/>
      </tp>
      <tp t="s">
        <v>29-Dec-2023</v>
        <stp/>
        <stp>FWRC1#EURINR#Month End Rates#0#S#MonthEndDate11</stp>
        <tr r="K2" s="16"/>
      </tp>
      <tp t="s">
        <v>30-Nov-2023</v>
        <stp/>
        <stp>FWRC1#EURINR#Month End Rates#0#S#MonthEndDate10</stp>
        <tr r="J2" s="16"/>
      </tp>
      <tp t="s">
        <v>29-Feb-2024</v>
        <stp/>
        <stp>FWRC1#EURINR#Month End Rates#0#S#MonthEndDate13</stp>
        <tr r="M2" s="16"/>
      </tp>
      <tp t="s">
        <v>31-Jan-2024</v>
        <stp/>
        <stp>FWRC1#EURINR#Month End Rates#0#S#MonthEndDate12</stp>
        <tr r="L2" s="16"/>
      </tp>
      <tp t="s">
        <v>CASH/SPOT</v>
        <stp/>
        <stp>FWRC1#USDINR#Month End Rates#0#S#Desc.2</stp>
        <tr r="C1" s="14"/>
      </tp>
      <tp t="s">
        <v>AUG-2023</v>
        <stp/>
        <stp>FWRC1#USDINR#Month End Rates#0#S#Desc.7</stp>
        <tr r="G1" s="14"/>
      </tp>
      <tp t="s">
        <v>JUL-2023</v>
        <stp/>
        <stp>FWRC1#USDINR#Month End Rates#0#S#Desc.6</stp>
        <tr r="F1" s="14"/>
      </tp>
      <tp t="s">
        <v>JUN-2023</v>
        <stp/>
        <stp>FWRC1#USDINR#Month End Rates#0#S#Desc.5</stp>
        <tr r="E1" s="14"/>
      </tp>
      <tp t="s">
        <v>MAY-2023</v>
        <stp/>
        <stp>FWRC1#USDINR#Month End Rates#0#S#Desc.4</stp>
        <tr r="D1" s="14"/>
      </tp>
      <tp t="s">
        <v>OCT-2023</v>
        <stp/>
        <stp>FWRC1#USDINR#Month End Rates#0#S#Desc.9</stp>
        <tr r="I1" s="14"/>
      </tp>
      <tp t="s">
        <v>SEP-2023</v>
        <stp/>
        <stp>FWRC1#USDINR#Month End Rates#0#S#Desc.8</stp>
        <tr r="H1" s="14"/>
      </tp>
      <tp>
        <v>2.0825999999999998</v>
        <stp/>
        <stp>FWRC1#USDINR#Month Wise Rates#0#Ask%18</stp>
        <tr r="O11" s="15"/>
      </tp>
      <tp>
        <v>1.7931999999999999</v>
        <stp/>
        <stp>FWRC1#USDINR#Month Wise Rates#0#Ask%14</stp>
        <tr r="K11" s="15"/>
      </tp>
      <tp>
        <v>1.8334999999999999</v>
        <stp/>
        <stp>FWRC1#USDINR#Month Wise Rates#0#Ask%15</stp>
        <tr r="L11" s="15"/>
      </tp>
      <tp>
        <v>1.8761000000000001</v>
        <stp/>
        <stp>FWRC1#USDINR#Month Wise Rates#0#Ask%16</stp>
        <tr r="M11" s="15"/>
      </tp>
      <tp>
        <v>1.9775</v>
        <stp/>
        <stp>FWRC1#USDINR#Month Wise Rates#0#Ask%17</stp>
        <tr r="N11" s="15"/>
      </tp>
      <tp>
        <v>1.6173999999999999</v>
        <stp/>
        <stp>FWRC1#USDINR#Month Wise Rates#0#Ask%10</stp>
        <tr r="G11" s="15"/>
      </tp>
      <tp>
        <v>1.6538999999999999</v>
        <stp/>
        <stp>FWRC1#USDINR#Month Wise Rates#0#Ask%11</stp>
        <tr r="H11" s="15"/>
      </tp>
      <tp>
        <v>1.708</v>
        <stp/>
        <stp>FWRC1#USDINR#Month Wise Rates#0#Ask%12</stp>
        <tr r="I11" s="15"/>
      </tp>
      <tp>
        <v>1.7494000000000001</v>
        <stp/>
        <stp>FWRC1#USDINR#Month Wise Rates#0#Ask%13</stp>
        <tr r="J11" s="15"/>
      </tp>
      <tp>
        <v>1.8469</v>
        <stp/>
        <stp>FWRC1#USDINR#Month Wise Rates#0#Bid%16</stp>
        <tr r="M10" s="15"/>
      </tp>
      <tp>
        <v>1.9510000000000001</v>
        <stp/>
        <stp>FWRC1#USDINR#Month Wise Rates#0#Bid%17</stp>
        <tr r="N10" s="15"/>
      </tp>
      <tp>
        <v>1.7568999999999999</v>
        <stp/>
        <stp>FWRC1#USDINR#Month Wise Rates#0#Bid%14</stp>
        <tr r="K10" s="15"/>
      </tp>
      <tp>
        <v>1.8013999999999999</v>
        <stp/>
        <stp>FWRC1#USDINR#Month Wise Rates#0#Bid%15</stp>
        <tr r="L10" s="15"/>
      </tp>
      <tp>
        <v>1.66</v>
        <stp/>
        <stp>FWRC1#USDINR#Month Wise Rates#0#Bid%12</stp>
        <tr r="I10" s="15"/>
      </tp>
      <tp>
        <v>1.7079</v>
        <stp/>
        <stp>FWRC1#USDINR#Month Wise Rates#0#Bid%13</stp>
        <tr r="J10" s="15"/>
      </tp>
      <tp>
        <v>1.5458000000000001</v>
        <stp/>
        <stp>FWRC1#USDINR#Month Wise Rates#0#Bid%10</stp>
        <tr r="G10" s="15"/>
      </tp>
      <tp>
        <v>1.5959000000000001</v>
        <stp/>
        <stp>FWRC1#USDINR#Month Wise Rates#0#Bid%11</stp>
        <tr r="H10" s="15"/>
      </tp>
      <tp>
        <v>2.0583</v>
        <stp/>
        <stp>FWRC1#USDINR#Month Wise Rates#0#Bid%18</stp>
        <tr r="O10" s="15"/>
      </tp>
      <tp>
        <v>60.555</v>
        <stp/>
        <stp>17#3#1#5978#JPYINRCOMP#Close</stp>
        <tr r="H6" s="10"/>
      </tp>
      <tp>
        <v>15912.5825</v>
        <stp/>
        <stp>FWRC1#JPYINR#Month End Rates#0#Close8</stp>
        <tr r="G22" s="23"/>
      </tp>
      <tp>
        <v>19878.0825</v>
        <stp/>
        <stp>FWRC1#JPYINR#Month End Rates#0#Close9</stp>
        <tr r="H22" s="23"/>
      </tp>
      <tp>
        <v>60.314999999999998</v>
        <stp/>
        <stp>FWRC1#JPYINR#Month End Rates#0#Close0</stp>
        <tr r="F22" s="23"/>
        <tr r="L22" s="23"/>
        <tr r="E22" s="23"/>
        <tr r="D22" s="23"/>
        <tr r="K22" s="23"/>
        <tr r="N22" s="23"/>
        <tr r="G22" s="23"/>
        <tr r="H22" s="23"/>
        <tr r="I22" s="23"/>
        <tr r="J22" s="23"/>
        <tr r="M22" s="23"/>
        <tr r="C22" s="23"/>
        <tr r="B22" s="23"/>
      </tp>
      <tp>
        <v>1316.2425000000001</v>
        <stp/>
        <stp>FWRC1#JPYINR#Month End Rates#0#Close4</stp>
        <tr r="C22" s="23"/>
      </tp>
      <tp>
        <v>4843.1625000000004</v>
        <stp/>
        <stp>FWRC1#JPYINR#Month End Rates#0#Close5</stp>
        <tr r="D22" s="23"/>
      </tp>
      <tp>
        <v>8552.9225000000006</v>
        <stp/>
        <stp>FWRC1#JPYINR#Month End Rates#0#Close6</stp>
        <tr r="E22" s="23"/>
      </tp>
      <tp>
        <v>12218.782499999999</v>
        <stp/>
        <stp>FWRC1#JPYINR#Month End Rates#0#Close7</stp>
        <tr r="F22" s="23"/>
      </tp>
      <tp t="s">
        <v>29-Feb-2024</v>
        <stp/>
        <stp>FWRC1#GBPINR#Month End Rates#0#S#PillarDate13</stp>
        <tr r="M2" s="17"/>
      </tp>
      <tp t="s">
        <v>31-Jan-2024</v>
        <stp/>
        <stp>FWRC1#GBPINR#Month End Rates#0#S#PillarDate12</stp>
        <tr r="L2" s="17"/>
      </tp>
      <tp t="s">
        <v>29-Dec-2023</v>
        <stp/>
        <stp>FWRC1#GBPINR#Month End Rates#0#S#PillarDate11</stp>
        <tr r="K2" s="17"/>
      </tp>
      <tp t="s">
        <v>29-Nov-2023</v>
        <stp/>
        <stp>FWRC1#GBPINR#Month End Rates#0#S#PillarDate10</stp>
        <tr r="J2" s="17"/>
      </tp>
      <tp t="s">
        <v>30-Apr-2024</v>
        <stp/>
        <stp>FWRC1#GBPINR#Month End Rates#0#S#PillarDate15</stp>
        <tr r="O2" s="17"/>
      </tp>
      <tp t="s">
        <v>28-Mar-2024</v>
        <stp/>
        <stp>FWRC1#GBPINR#Month End Rates#0#S#PillarDate14</stp>
        <tr r="N2" s="17"/>
      </tp>
      <tp>
        <v>135.37520000000001</v>
        <stp/>
        <stp>FWRC1#USDJPY#Month Wise Rates#0#FwdOutrightAsk9</stp>
        <tr r="F8" s="21"/>
      </tp>
      <tp>
        <v>136.06710000000001</v>
        <stp/>
        <stp>FWRC1#USDJPY#Month Wise Rates#0#FwdOutrightAsk8</stp>
        <tr r="E8" s="21"/>
      </tp>
      <tp>
        <v>136.68539999999999</v>
        <stp/>
        <stp>FWRC1#USDJPY#Month Wise Rates#0#FwdOutrightAsk7</stp>
        <tr r="D8" s="21"/>
      </tp>
      <tp>
        <v>137.36539999999999</v>
        <stp/>
        <stp>FWRC1#USDJPY#Month Wise Rates#0#FwdOutrightAsk2</stp>
        <tr r="C8" s="21"/>
      </tp>
      <tp>
        <v>91.95</v>
        <stp/>
        <stp>17#3#1#6056#CHFINRCOMP#High</stp>
        <tr r="C6" s="23"/>
      </tp>
      <tp>
        <v>60.35</v>
        <stp/>
        <stp>17#3#1#5978#JPYINRCOMP#High</stp>
        <tr r="C5" s="23"/>
        <tr r="F6" s="10"/>
      </tp>
      <tp>
        <v>-256.3</v>
        <stp/>
        <stp>FWRC1#USDJPY#Month Wise Rates#0#Close10</stp>
        <tr r="F29" s="23"/>
      </tp>
      <tp>
        <v>-318.62</v>
        <stp/>
        <stp>FWRC1#USDJPY#Month Wise Rates#0#Close11</stp>
        <tr r="G29" s="23"/>
      </tp>
      <tp>
        <v>-382.97</v>
        <stp/>
        <stp>FWRC1#USDJPY#Month Wise Rates#0#Close12</stp>
        <tr r="H29" s="23"/>
      </tp>
      <tp>
        <v>-437.8</v>
        <stp/>
        <stp>FWRC1#USDJPY#Month Wise Rates#0#Close13</stp>
        <tr r="I29" s="23"/>
      </tp>
      <tp>
        <v>-509.28</v>
        <stp/>
        <stp>FWRC1#USDJPY#Month Wise Rates#0#Close14</stp>
        <tr r="J29" s="23"/>
      </tp>
      <tp>
        <v>-568.1</v>
        <stp/>
        <stp>FWRC1#USDJPY#Month Wise Rates#0#Close15</stp>
        <tr r="K29" s="23"/>
      </tp>
      <tp>
        <v>-615.5</v>
        <stp/>
        <stp>FWRC1#USDJPY#Month Wise Rates#0#Close16</stp>
        <tr r="L29" s="23"/>
      </tp>
      <tp>
        <v>-668.8</v>
        <stp/>
        <stp>FWRC1#USDJPY#Month Wise Rates#0#Close17</stp>
        <tr r="M29" s="23"/>
      </tp>
      <tp>
        <v>-718.7</v>
        <stp/>
        <stp>FWRC1#USDJPY#Month Wise Rates#0#Close18</stp>
        <tr r="N29" s="23"/>
      </tp>
      <tp>
        <v>20787.086500000001</v>
        <stp/>
        <stp>FWRC1#SGDINR#Month Wise Rates#0#Close18</stp>
        <tr r="N26" s="23"/>
      </tp>
      <tp>
        <v>6096.5358999999999</v>
        <stp/>
        <stp>FWRC1#SGDINR#Month Wise Rates#0#Close10</stp>
        <tr r="F26" s="23"/>
      </tp>
      <tp>
        <v>7659.2662</v>
        <stp/>
        <stp>FWRC1#SGDINR#Month Wise Rates#0#Close11</stp>
        <tr r="G26" s="23"/>
      </tp>
      <tp>
        <v>9656.4727999999996</v>
        <stp/>
        <stp>FWRC1#SGDINR#Month Wise Rates#0#Close12</stp>
        <tr r="H26" s="23"/>
      </tp>
      <tp>
        <v>11000.501399999999</v>
        <stp/>
        <stp>FWRC1#SGDINR#Month Wise Rates#0#Close13</stp>
        <tr r="I26" s="23"/>
      </tp>
      <tp>
        <v>12746.0051</v>
        <stp/>
        <stp>FWRC1#SGDINR#Month Wise Rates#0#Close14</stp>
        <tr r="J26" s="23"/>
      </tp>
      <tp>
        <v>14902.225200000001</v>
        <stp/>
        <stp>FWRC1#SGDINR#Month Wise Rates#0#Close15</stp>
        <tr r="K26" s="23"/>
      </tp>
      <tp>
        <v>16394.919399999999</v>
        <stp/>
        <stp>FWRC1#SGDINR#Month Wise Rates#0#Close16</stp>
        <tr r="L26" s="23"/>
      </tp>
      <tp>
        <v>17742.001799999998</v>
        <stp/>
        <stp>FWRC1#SGDINR#Month Wise Rates#0#Close17</stp>
        <tr r="M26" s="23"/>
      </tp>
      <tp>
        <v>14897.1122</v>
        <stp/>
        <stp>FWRC1#CADINR#Month Wise Rates#0#Close18</stp>
        <tr r="N24" s="23"/>
      </tp>
      <tp>
        <v>16214.346</v>
        <stp/>
        <stp>FWRC1#AUDINR#Month Wise Rates#0#Close18</stp>
        <tr r="N25" s="23"/>
      </tp>
      <tp>
        <v>7953.3206</v>
        <stp/>
        <stp>FWRC1#AUDINR#Month Wise Rates#0#Close12</stp>
        <tr r="H25" s="23"/>
      </tp>
      <tp>
        <v>4597.6596</v>
        <stp/>
        <stp>FWRC1#CADINR#Month Wise Rates#0#Close10</stp>
        <tr r="F24" s="23"/>
      </tp>
      <tp>
        <v>9225.7793000000001</v>
        <stp/>
        <stp>FWRC1#AUDINR#Month Wise Rates#0#Close13</stp>
        <tr r="I25" s="23"/>
      </tp>
      <tp>
        <v>5764.9278000000004</v>
        <stp/>
        <stp>FWRC1#CADINR#Month Wise Rates#0#Close11</stp>
        <tr r="G24" s="23"/>
      </tp>
      <tp>
        <v>5242.0347000000002</v>
        <stp/>
        <stp>FWRC1#AUDINR#Month Wise Rates#0#Close10</stp>
        <tr r="F25" s="23"/>
      </tp>
      <tp>
        <v>6988.9165999999996</v>
        <stp/>
        <stp>FWRC1#CADINR#Month Wise Rates#0#Close12</stp>
        <tr r="H24" s="23"/>
      </tp>
      <tp>
        <v>6530.9291999999996</v>
        <stp/>
        <stp>FWRC1#AUDINR#Month Wise Rates#0#Close11</stp>
        <tr r="G25" s="23"/>
      </tp>
      <tp>
        <v>8066.3657999999996</v>
        <stp/>
        <stp>FWRC1#CADINR#Month Wise Rates#0#Close13</stp>
        <tr r="I24" s="23"/>
      </tp>
      <tp>
        <v>13018.3105</v>
        <stp/>
        <stp>FWRC1#AUDINR#Month Wise Rates#0#Close16</stp>
        <tr r="L25" s="23"/>
      </tp>
      <tp>
        <v>9326.1016999999993</v>
        <stp/>
        <stp>FWRC1#CADINR#Month Wise Rates#0#Close14</stp>
        <tr r="J24" s="23"/>
      </tp>
      <tp>
        <v>14598.7806</v>
        <stp/>
        <stp>FWRC1#AUDINR#Month Wise Rates#0#Close17</stp>
        <tr r="M25" s="23"/>
      </tp>
      <tp>
        <v>10692.637699999999</v>
        <stp/>
        <stp>FWRC1#CADINR#Month Wise Rates#0#Close15</stp>
        <tr r="K24" s="23"/>
      </tp>
      <tp>
        <v>10566.787899999999</v>
        <stp/>
        <stp>FWRC1#AUDINR#Month Wise Rates#0#Close14</stp>
        <tr r="J25" s="23"/>
      </tp>
      <tp>
        <v>11715.234</v>
        <stp/>
        <stp>FWRC1#CADINR#Month Wise Rates#0#Close16</stp>
        <tr r="L24" s="23"/>
      </tp>
      <tp>
        <v>11897.302299999999</v>
        <stp/>
        <stp>FWRC1#AUDINR#Month Wise Rates#0#Close15</stp>
        <tr r="K25" s="23"/>
      </tp>
      <tp>
        <v>13264.2837</v>
        <stp/>
        <stp>FWRC1#CADINR#Month Wise Rates#0#Close17</stp>
        <tr r="M24" s="23"/>
      </tp>
      <tp>
        <v>-38.54</v>
        <stp/>
        <stp>FWRC1#USDCAD#Month Wise Rates#0#Close11</stp>
        <tr r="G31" s="23"/>
      </tp>
      <tp>
        <v>-313.86</v>
        <stp/>
        <stp>FWRC1#USDCHF#Month Wise Rates#0#Close18</stp>
        <tr r="N30" s="23"/>
      </tp>
      <tp>
        <v>-33.53</v>
        <stp/>
        <stp>FWRC1#USDCAD#Month Wise Rates#0#Close10</stp>
        <tr r="F31" s="23"/>
      </tp>
      <tp>
        <v>-45.03</v>
        <stp/>
        <stp>FWRC1#USDCAD#Month Wise Rates#0#Close13</stp>
        <tr r="I31" s="23"/>
      </tp>
      <tp>
        <v>-43.35</v>
        <stp/>
        <stp>FWRC1#USDCAD#Month Wise Rates#0#Close12</stp>
        <tr r="H31" s="23"/>
      </tp>
      <tp>
        <v>-52.86</v>
        <stp/>
        <stp>FWRC1#USDCAD#Month Wise Rates#0#Close15</stp>
        <tr r="K31" s="23"/>
      </tp>
      <tp>
        <v>-51.67</v>
        <stp/>
        <stp>FWRC1#USDCAD#Month Wise Rates#0#Close14</stp>
        <tr r="J31" s="23"/>
      </tp>
      <tp>
        <v>-52.39</v>
        <stp/>
        <stp>FWRC1#USDCAD#Month Wise Rates#0#Close17</stp>
        <tr r="M31" s="23"/>
      </tp>
      <tp>
        <v>-53.33</v>
        <stp/>
        <stp>FWRC1#USDCAD#Month Wise Rates#0#Close16</stp>
        <tr r="L31" s="23"/>
      </tp>
      <tp>
        <v>-120.9</v>
        <stp/>
        <stp>FWRC1#USDCHF#Month Wise Rates#0#Close10</stp>
        <tr r="F30" s="23"/>
      </tp>
      <tp>
        <v>-48.9</v>
        <stp/>
        <stp>FWRC1#USDCAD#Month Wise Rates#0#Close18</stp>
        <tr r="N31" s="23"/>
      </tp>
      <tp>
        <v>-149.6</v>
        <stp/>
        <stp>FWRC1#USDCHF#Month Wise Rates#0#Close11</stp>
        <tr r="G30" s="23"/>
      </tp>
      <tp>
        <v>-173.23</v>
        <stp/>
        <stp>FWRC1#USDCHF#Month Wise Rates#0#Close12</stp>
        <tr r="H30" s="23"/>
      </tp>
      <tp>
        <v>-198.8</v>
        <stp/>
        <stp>FWRC1#USDCHF#Month Wise Rates#0#Close13</stp>
        <tr r="I30" s="23"/>
      </tp>
      <tp>
        <v>-231.74</v>
        <stp/>
        <stp>FWRC1#USDCHF#Month Wise Rates#0#Close14</stp>
        <tr r="J30" s="23"/>
      </tp>
      <tp>
        <v>-255</v>
        <stp/>
        <stp>FWRC1#USDCHF#Month Wise Rates#0#Close15</stp>
        <tr r="K30" s="23"/>
      </tp>
      <tp>
        <v>-273.7</v>
        <stp/>
        <stp>FWRC1#USDCHF#Month Wise Rates#0#Close16</stp>
        <tr r="L30" s="23"/>
      </tp>
      <tp>
        <v>-294.77999999999997</v>
        <stp/>
        <stp>FWRC1#USDCHF#Month Wise Rates#0#Close17</stp>
        <tr r="M30" s="23"/>
      </tp>
      <tp>
        <v>56.51</v>
        <stp/>
        <stp>FWRC1#AUDUSD#Month Wise Rates#0#Close17</stp>
        <tr r="M32" s="23"/>
      </tp>
      <tp>
        <v>54.72</v>
        <stp/>
        <stp>FWRC1#AUDUSD#Month Wise Rates#0#Close16</stp>
        <tr r="L32" s="23"/>
      </tp>
      <tp>
        <v>53.05</v>
        <stp/>
        <stp>FWRC1#AUDUSD#Month Wise Rates#0#Close15</stp>
        <tr r="K32" s="23"/>
      </tp>
      <tp>
        <v>50.22</v>
        <stp/>
        <stp>FWRC1#AUDUSD#Month Wise Rates#0#Close14</stp>
        <tr r="J32" s="23"/>
      </tp>
      <tp>
        <v>44.71</v>
        <stp/>
        <stp>FWRC1#AUDUSD#Month Wise Rates#0#Close13</stp>
        <tr r="I32" s="23"/>
      </tp>
      <tp>
        <v>40.24</v>
        <stp/>
        <stp>FWRC1#AUDUSD#Month Wise Rates#0#Close12</stp>
        <tr r="H32" s="23"/>
      </tp>
      <tp>
        <v>34.65</v>
        <stp/>
        <stp>FWRC1#AUDUSD#Month Wise Rates#0#Close11</stp>
        <tr r="G32" s="23"/>
      </tp>
      <tp>
        <v>28.74</v>
        <stp/>
        <stp>FWRC1#AUDUSD#Month Wise Rates#0#Close10</stp>
        <tr r="F32" s="23"/>
      </tp>
      <tp>
        <v>57.4</v>
        <stp/>
        <stp>FWRC1#AUDUSD#Month Wise Rates#0#Close18</stp>
        <tr r="N32" s="23"/>
      </tp>
      <tp>
        <v>89.545000000000002</v>
        <stp/>
        <stp>17#3#1#5949#EURINRCOMP#Close</stp>
        <tr r="H4" s="10"/>
      </tp>
      <tp>
        <v>61.0625</v>
        <stp/>
        <stp>35#1#1#5978#FUTCUR#1374883200#0#XX#Bid</stp>
        <tr r="B5" s="13"/>
      </tp>
      <tp>
        <v>89.78</v>
        <stp/>
        <stp>35#1#1#5949#FUTCUR#1374883200#0#XX#Bid</stp>
        <tr r="B3" s="13"/>
      </tp>
      <tp>
        <v>102.995</v>
        <stp/>
        <stp>35#1#1#6031#FUTCUR#1374883200#0#XX#Ask</stp>
        <tr r="C4" s="13"/>
      </tp>
      <tp>
        <v>82.62</v>
        <stp/>
        <stp>35#1#1#6069#FUTCUR#1374883200#0#XX#Ask</stp>
        <tr r="C2" s="13"/>
      </tp>
      <tp>
        <v>0.63219999999999998</v>
        <stp/>
        <stp>FWRC1#GBPUSD#Month Wise Rates#0#Ask%10</stp>
        <tr r="G11" s="20"/>
      </tp>
      <tp>
        <v>0.57520000000000004</v>
        <stp/>
        <stp>FWRC1#GBPUSD#Month Wise Rates#0#Ask%11</stp>
        <tr r="H11" s="20"/>
      </tp>
      <tp>
        <v>0.50370000000000004</v>
        <stp/>
        <stp>FWRC1#GBPUSD#Month Wise Rates#0#Ask%12</stp>
        <tr r="I11" s="20"/>
      </tp>
      <tp>
        <v>0.45029999999999998</v>
        <stp/>
        <stp>FWRC1#GBPUSD#Month Wise Rates#0#Ask%13</stp>
        <tr r="J11" s="20"/>
      </tp>
      <tp>
        <v>0.44829999999999998</v>
        <stp/>
        <stp>FWRC1#GBPUSD#Month Wise Rates#0#Ask%14</stp>
        <tr r="K11" s="20"/>
      </tp>
      <tp>
        <v>0.38</v>
        <stp/>
        <stp>FWRC1#GBPUSD#Month Wise Rates#0#Ask%15</stp>
        <tr r="L11" s="20"/>
      </tp>
      <tp>
        <v>0.31559999999999999</v>
        <stp/>
        <stp>FWRC1#GBPUSD#Month Wise Rates#0#Ask%16</stp>
        <tr r="M11" s="20"/>
      </tp>
      <tp>
        <v>0.26119999999999999</v>
        <stp/>
        <stp>FWRC1#GBPUSD#Month Wise Rates#0#Ask%17</stp>
        <tr r="N11" s="20"/>
      </tp>
      <tp>
        <v>0.1956</v>
        <stp/>
        <stp>FWRC1#GBPUSD#Month Wise Rates#0#Ask%18</stp>
        <tr r="O11" s="20"/>
      </tp>
      <tp>
        <v>0.18099999999999999</v>
        <stp/>
        <stp>FWRC1#GBPUSD#Month Wise Rates#0#Bid%18</stp>
        <tr r="O10" s="20"/>
      </tp>
      <tp>
        <v>0.49919999999999998</v>
        <stp/>
        <stp>FWRC1#GBPUSD#Month Wise Rates#0#Bid%12</stp>
        <tr r="I10" s="20"/>
      </tp>
      <tp>
        <v>0.42509999999999998</v>
        <stp/>
        <stp>FWRC1#GBPUSD#Month Wise Rates#0#Bid%13</stp>
        <tr r="J10" s="20"/>
      </tp>
      <tp>
        <v>0.62739999999999996</v>
        <stp/>
        <stp>FWRC1#GBPUSD#Month Wise Rates#0#Bid%10</stp>
        <tr r="G10" s="20"/>
      </tp>
      <tp>
        <v>0.5706</v>
        <stp/>
        <stp>FWRC1#GBPUSD#Month Wise Rates#0#Bid%11</stp>
        <tr r="H10" s="20"/>
      </tp>
      <tp>
        <v>0.30790000000000001</v>
        <stp/>
        <stp>FWRC1#GBPUSD#Month Wise Rates#0#Bid%16</stp>
        <tr r="M10" s="20"/>
      </tp>
      <tp>
        <v>0.24590000000000001</v>
        <stp/>
        <stp>FWRC1#GBPUSD#Month Wise Rates#0#Bid%17</stp>
        <tr r="N10" s="20"/>
      </tp>
      <tp>
        <v>0.42720000000000002</v>
        <stp/>
        <stp>FWRC1#GBPUSD#Month Wise Rates#0#Bid%14</stp>
        <tr r="K10" s="20"/>
      </tp>
      <tp>
        <v>0.35720000000000002</v>
        <stp/>
        <stp>FWRC1#GBPUSD#Month Wise Rates#0#Bid%15</stp>
        <tr r="L10" s="20"/>
      </tp>
      <tp>
        <v>82.6</v>
        <stp/>
        <stp>35#1#1#6069#FUTCUR#1374883200#0#XX#Bid</stp>
        <tr r="B2" s="13"/>
      </tp>
      <tp>
        <v>102.98</v>
        <stp/>
        <stp>35#1#1#6031#FUTCUR#1374883200#0#XX#Bid</stp>
        <tr r="B4" s="13"/>
      </tp>
      <tp>
        <v>89.802499999999995</v>
        <stp/>
        <stp>35#1#1#5949#FUTCUR#1374883200#0#XX#Ask</stp>
        <tr r="C3" s="13"/>
      </tp>
      <tp>
        <v>61.134999999999998</v>
        <stp/>
        <stp>35#1#1#5978#FUTCUR#1374883200#0#XX#Ask</stp>
        <tr r="C5" s="13"/>
      </tp>
      <tp>
        <v>102.8075</v>
        <stp/>
        <stp>17#3#1#6031#GBPINRCOMP#High</stp>
        <tr r="F5" s="10"/>
        <tr r="C4" s="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ColWidth="8.85546875" defaultRowHeight="15" x14ac:dyDescent="0.25"/>
  <cols>
    <col min="1" max="1" width="12" bestFit="1" customWidth="1"/>
    <col min="4" max="4" width="9.5703125" bestFit="1" customWidth="1"/>
    <col min="8" max="8" width="8.7109375" bestFit="1" customWidth="1"/>
  </cols>
  <sheetData>
    <row r="1" spans="1:7" x14ac:dyDescent="0.25">
      <c r="A1" s="106" t="s">
        <v>13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</row>
    <row r="2" spans="1:7" x14ac:dyDescent="0.25">
      <c r="A2" s="106" t="s">
        <v>51</v>
      </c>
      <c r="B2" s="104">
        <f>RTD("tickerplantrtdserver",,"FWRC1#USDINR#Month End Rates#0#BidPrice0")</f>
        <v>82.385000000000005</v>
      </c>
      <c r="C2" s="105">
        <f>RTD("tickerplantrtdserver",,"FWRC1#USDINR#Month End Rates#0#BidPrice2")</f>
        <v>0.4</v>
      </c>
      <c r="D2" s="104">
        <f>B2-(C3/100)</f>
        <v>82.365000000000009</v>
      </c>
      <c r="E2" s="105">
        <f>RTD("tickerplantrtdserver",,"FWRC1#USDINR#Month End Rates#0#BidPrice3")</f>
        <v>0.2</v>
      </c>
      <c r="F2" s="104">
        <f>B2-(E3/100)</f>
        <v>82.375</v>
      </c>
    </row>
    <row r="3" spans="1:7" ht="15.75" customHeight="1" x14ac:dyDescent="0.25">
      <c r="A3" s="106" t="s">
        <v>52</v>
      </c>
      <c r="B3" s="104">
        <f t="array" ref="B3">RTD("tickerplantrtdserver",,"FWRC1#USDINR#Month End Rates#0#AskPrice0")</f>
        <v>82.394999999999996</v>
      </c>
      <c r="C3" s="105">
        <f t="array" ref="C3">RTD("tickerplantrtdserver",,"FWRC1#USDINR#Month End Rates#0#AskPrice2")</f>
        <v>2</v>
      </c>
      <c r="D3" s="104">
        <f>B3-(C2/100)</f>
        <v>82.390999999999991</v>
      </c>
      <c r="E3" s="105">
        <f t="array" ref="E3">RTD("tickerplantrtdserver",,"FWRC1#USDINR#Month End Rates#0#AskPrice3")</f>
        <v>1</v>
      </c>
      <c r="F3" s="104">
        <f>B3-(E2/100)</f>
        <v>82.393000000000001</v>
      </c>
      <c r="G3" s="2"/>
    </row>
    <row r="14" spans="1:7" x14ac:dyDescent="0.25">
      <c r="F14" s="1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6" t="s">
        <v>12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RTD("tickerplantrtdserver",,"FWRC1#EURINR#Month Wise Rates#0#BidPrice0")</f>
        <v>89.197500000000005</v>
      </c>
      <c r="C2" s="105">
        <f>RTD("tickerplantrtdserver",,"FWRC1#EURINR#Month End Rates#0#BidPrice2")</f>
        <v>1.3954</v>
      </c>
      <c r="D2" s="104">
        <f>B2-(C3/100)</f>
        <v>89.166001000000009</v>
      </c>
      <c r="E2" s="105">
        <f t="array" ref="E2">RTD("tickerplantrtdserver",,"FWRC1#EURINR#Month End Rates#0#BidPrice3")</f>
        <v>0.70179999999999998</v>
      </c>
      <c r="F2" s="104">
        <f>B2-(E3/100)</f>
        <v>89.181652</v>
      </c>
      <c r="G2" s="2"/>
    </row>
    <row r="3" spans="1:7" ht="15.75" customHeight="1" x14ac:dyDescent="0.25">
      <c r="A3" s="106" t="s">
        <v>52</v>
      </c>
      <c r="B3" s="104">
        <f>RTD("tickerplantrtdserver",,"FWRC1#EURINR#Month Wise Rates#0#AskPrice0")</f>
        <v>89.215000000000003</v>
      </c>
      <c r="C3" s="105">
        <f t="array" ref="C3">RTD("tickerplantrtdserver",,"FWRC1#EURINR#Month End Rates#0#AskPrice2")</f>
        <v>3.1499000000000001</v>
      </c>
      <c r="D3" s="104">
        <f>B3-(C2/100)</f>
        <v>89.201046000000005</v>
      </c>
      <c r="E3" s="105">
        <f t="array" ref="E3">RTD("tickerplantrtdserver",,"FWRC1#EURINR#Month End Rates#0#AskPrice3")</f>
        <v>1.5848</v>
      </c>
      <c r="F3" s="104">
        <f>B3-(E2/100)</f>
        <v>89.207982000000001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6" t="s">
        <v>11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RTD("tickerplantrtdserver",,"FWRC1#GBPINR#Month Wise Rates#0#BidPrice0")</f>
        <v>102.485</v>
      </c>
      <c r="C2" s="105">
        <f>RTD("tickerplantrtdserver",,"FWRC1#GBPINR#Month End Rates#0#BidPrice2")/100</f>
        <v>0.86864799999999998</v>
      </c>
      <c r="D2" s="104">
        <f>B2-(C3/100)</f>
        <v>102.45590136</v>
      </c>
      <c r="E2" s="105">
        <f>RTD("tickerplantrtdserver",,"FWRC1#GBPINR#Month End Rates#0#BidPrice3")/100</f>
        <v>0.43844299999999997</v>
      </c>
      <c r="F2" s="104">
        <f>B2-(E3/100)</f>
        <v>102.47049187</v>
      </c>
      <c r="G2" s="2"/>
    </row>
    <row r="3" spans="1:7" ht="15.75" customHeight="1" x14ac:dyDescent="0.25">
      <c r="A3" s="106" t="s">
        <v>52</v>
      </c>
      <c r="B3" s="104">
        <f>RTD("tickerplantrtdserver",,"FWRC1#GBPINR#Month Wise Rates#0#AskPrice0")</f>
        <v>102.50749999999999</v>
      </c>
      <c r="C3" s="105">
        <f>RTD("tickerplantrtdserver",,"FWRC1#GBPINR#Month End Rates#0#AskPrice2")/100</f>
        <v>2.9098640000000002</v>
      </c>
      <c r="D3" s="104">
        <f>B3-(C2/100)</f>
        <v>102.49881352</v>
      </c>
      <c r="E3" s="105">
        <f>RTD("tickerplantrtdserver",,"FWRC1#GBPINR#Month End Rates#0#AskPrice3")/100</f>
        <v>1.4508129999999999</v>
      </c>
      <c r="F3" s="104">
        <f>B3-(E2/100)</f>
        <v>102.50311556999999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ColWidth="8.85546875" defaultRowHeight="15" x14ac:dyDescent="0.25"/>
  <cols>
    <col min="1" max="1" width="12" bestFit="1" customWidth="1"/>
    <col min="8" max="8" width="8.7109375" bestFit="1" customWidth="1"/>
  </cols>
  <sheetData>
    <row r="1" spans="1:7" x14ac:dyDescent="0.25">
      <c r="A1" s="106" t="s">
        <v>10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RTD("tickerplantrtdserver",,"FWRC1#JPYINR#Month Wise Rates#0#BidPrice0")</f>
        <v>60.1875</v>
      </c>
      <c r="C2" s="105">
        <f>RTD("tickerplantrtdserver",,"FWRC1#JPYINR#Month End Rates#0#BidPrice2")/100</f>
        <v>1.972296</v>
      </c>
      <c r="D2" s="104">
        <f>B2-(C3/100)</f>
        <v>60.155176480000002</v>
      </c>
      <c r="E2" s="105">
        <f>RTD("tickerplantrtdserver",,"FWRC1#JPYINR#Month End Rates#0#BidPrice3")/100</f>
        <v>0.99709500000000006</v>
      </c>
      <c r="F2" s="104">
        <f>B2-(E3/100)</f>
        <v>60.171338149999997</v>
      </c>
      <c r="G2" s="2"/>
    </row>
    <row r="3" spans="1:7" ht="15.75" customHeight="1" x14ac:dyDescent="0.25">
      <c r="A3" s="106" t="s">
        <v>52</v>
      </c>
      <c r="B3" s="104">
        <f>RTD("tickerplantrtdserver",,"FWRC1#JPYINR#Month Wise Rates#0#AskPrice0")</f>
        <v>60.202500000000001</v>
      </c>
      <c r="C3" s="105">
        <f>RTD("tickerplantrtdserver",,"FWRC1#JPYINR#Month End Rates#0#AskPrice2")/100</f>
        <v>3.2323520000000001</v>
      </c>
      <c r="D3" s="104">
        <f>B3-(C2/100)</f>
        <v>60.182777039999998</v>
      </c>
      <c r="E3" s="105">
        <f>RTD("tickerplantrtdserver",,"FWRC1#JPYINR#Month End Rates#0#AskPrice3")/100</f>
        <v>1.6161850000000002</v>
      </c>
      <c r="F3" s="104">
        <f>B3-(E2/100)</f>
        <v>60.192529049999997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43"/>
  <sheetViews>
    <sheetView zoomScaleNormal="100" workbookViewId="0"/>
  </sheetViews>
  <sheetFormatPr defaultColWidth="8.85546875" defaultRowHeight="15" x14ac:dyDescent="0.25"/>
  <cols>
    <col min="8" max="16" width="9.7109375" style="2" customWidth="1"/>
    <col min="17" max="17" width="8.7109375" bestFit="1" customWidth="1"/>
  </cols>
  <sheetData>
    <row r="1" spans="1:9" x14ac:dyDescent="0.25">
      <c r="A1" s="24"/>
      <c r="B1" s="19" t="s">
        <v>36</v>
      </c>
      <c r="C1" s="19" t="s">
        <v>37</v>
      </c>
      <c r="D1" s="19" t="s">
        <v>35</v>
      </c>
      <c r="E1" s="19" t="s">
        <v>38</v>
      </c>
      <c r="F1" s="19" t="s">
        <v>39</v>
      </c>
      <c r="G1" s="19" t="s">
        <v>34</v>
      </c>
      <c r="H1" s="22" t="s">
        <v>40</v>
      </c>
      <c r="I1" s="18" t="s">
        <v>33</v>
      </c>
    </row>
    <row r="2" spans="1:9" ht="15.75" customHeight="1" x14ac:dyDescent="0.25">
      <c r="A2" s="25" t="s">
        <v>27</v>
      </c>
      <c r="B2" s="42" t="str">
        <f>RTD("tickerplantrtdserver",,"47#5#1#5629#USD1M.LIBOR#LTP")</f>
        <v/>
      </c>
      <c r="C2" s="42" t="str">
        <f>RTD("tickerplantrtdserver",,"47#5#1#5629#USD2M.LIBOR#LTP")</f>
        <v/>
      </c>
      <c r="D2" s="42" t="str">
        <f>RTD("tickerplantrtdserver",,"47#5#1#5629#USD3M.LIBOR#LTP")</f>
        <v/>
      </c>
      <c r="E2" s="42" t="str">
        <f>RTD("tickerplantrtdserver",,"47#5#1#5629#USD4M.LIBOR#LTP")</f>
        <v/>
      </c>
      <c r="F2" s="42" t="str">
        <f>RTD("tickerplantrtdserver",,"47#5#1#5629#USD5M.LIBOR#LTP")</f>
        <v/>
      </c>
      <c r="G2" s="42" t="str">
        <f>RTD("tickerplantrtdserver",,"47#5#1#5629#USD6M.LIBOR#LTP")</f>
        <v/>
      </c>
      <c r="H2" s="44" t="str">
        <f>RTD("tickerplantrtdserver",,"47#5#1#5629#USD9M.LIBOR#LTP")</f>
        <v/>
      </c>
      <c r="I2" s="45" t="str">
        <f>RTD("tickerplantrtdserver",,"47#5#1#5629#USD1Y.LIBOR#LTP")</f>
        <v/>
      </c>
    </row>
    <row r="3" spans="1:9" x14ac:dyDescent="0.25">
      <c r="A3" s="25" t="s">
        <v>25</v>
      </c>
      <c r="B3" s="42" t="str">
        <f>RTD("tickerplantrtdserver",,"47#5#1#5629#EUR1M.LIBOR#LTP")</f>
        <v/>
      </c>
      <c r="C3" s="42" t="str">
        <f>RTD("tickerplantrtdserver",,"47#5#1#5629#EUR2M.LIBOR#LTP")</f>
        <v/>
      </c>
      <c r="D3" s="42" t="str">
        <f>RTD("tickerplantrtdserver",,"47#5#1#5629#EUR3M.LIBOR#LTP")</f>
        <v/>
      </c>
      <c r="E3" s="42" t="str">
        <f>RTD("tickerplantrtdserver",,"47#5#1#5629#EUR4M.LIBOR#LTP")</f>
        <v/>
      </c>
      <c r="F3" s="42" t="str">
        <f>RTD("tickerplantrtdserver",,"47#5#1#5629#EUR5M.LIBOR#LTP")</f>
        <v/>
      </c>
      <c r="G3" s="42" t="str">
        <f>RTD("tickerplantrtdserver",,"47#5#1#5629#EUR6M.LIBOR#LTP")</f>
        <v/>
      </c>
      <c r="H3" s="44" t="str">
        <f>RTD("tickerplantrtdserver",,"47#5#1#5629#EUR9M.LIBOR#LTP")</f>
        <v/>
      </c>
      <c r="I3" s="45" t="str">
        <f>RTD("tickerplantrtdserver",,"47#5#1#5629#EUR1Y.LIBOR#LTP")</f>
        <v/>
      </c>
    </row>
    <row r="4" spans="1:9" x14ac:dyDescent="0.25">
      <c r="A4" s="25" t="s">
        <v>23</v>
      </c>
      <c r="B4" s="42" t="str">
        <f>RTD("tickerplantrtdserver",,"47#5#1#5629#GBP1M.LIBOR#LTP")</f>
        <v/>
      </c>
      <c r="C4" s="42" t="str">
        <f>RTD("tickerplantrtdserver",,"47#5#1#5629#GBP2M.LIBOR#LTP")</f>
        <v/>
      </c>
      <c r="D4" s="42" t="str">
        <f>RTD("tickerplantrtdserver",,"47#5#1#5629#GBP3M.LIBOR#LTP")</f>
        <v/>
      </c>
      <c r="E4" s="42" t="str">
        <f>RTD("tickerplantrtdserver",,"47#5#1#5629#GBP4M.LIBOR#LTP")</f>
        <v/>
      </c>
      <c r="F4" s="42" t="str">
        <f>RTD("tickerplantrtdserver",,"47#5#1#5629#GBP5M.LIBOR#LTP")</f>
        <v/>
      </c>
      <c r="G4" s="42" t="str">
        <f>RTD("tickerplantrtdserver",,"47#5#1#5629#GBP6M.LIBOR#LTP")</f>
        <v/>
      </c>
      <c r="H4" s="44" t="str">
        <f>RTD("tickerplantrtdserver",,"47#5#1#5629#GBP9M.LIBOR#LTP")</f>
        <v/>
      </c>
      <c r="I4" s="45" t="str">
        <f>RTD("tickerplantrtdserver",,"47#5#1#5629#GBP1Y.LIBOR#LTP")</f>
        <v/>
      </c>
    </row>
    <row r="5" spans="1:9" ht="15.75" thickBot="1" x14ac:dyDescent="0.3">
      <c r="A5" s="26" t="s">
        <v>22</v>
      </c>
      <c r="B5" s="16" t="str">
        <f>RTD("tickerplantrtdserver",,"47#5#1#5629#JPY1M.LIBOR#LTP")</f>
        <v/>
      </c>
      <c r="C5" s="16" t="str">
        <f>RTD("tickerplantrtdserver",,"47#5#1#5629#JPY2M.LIBOR#LTP")</f>
        <v/>
      </c>
      <c r="D5" s="16" t="str">
        <f>RTD("tickerplantrtdserver",,"47#5#1#5629#JPY3M.LIBOR#LTP")</f>
        <v/>
      </c>
      <c r="E5" s="16" t="str">
        <f>RTD("tickerplantrtdserver",,"47#5#1#5629#JPY2M.LIBOR#LTP")</f>
        <v/>
      </c>
      <c r="F5" s="16" t="str">
        <f>RTD("tickerplantrtdserver",,"47#5#1#5629#JPY5M.LIBOR#LTP")</f>
        <v/>
      </c>
      <c r="G5" s="16" t="str">
        <f>RTD("tickerplantrtdserver",,"47#5#1#5629#JPY6M.LIBOR#LTP")</f>
        <v/>
      </c>
      <c r="H5" s="46" t="str">
        <f>RTD("tickerplantrtdserver",,"47#5#1#5629#JPY9M.LIBOR#LTP")</f>
        <v/>
      </c>
      <c r="I5" s="47" t="str">
        <f>RTD("tickerplantrtdserver",,"47#5#1#5629#JPY1Y.LIBOR#LTP")</f>
        <v/>
      </c>
    </row>
    <row r="10" spans="1:9" s="14" customFormat="1" x14ac:dyDescent="0.25"/>
    <row r="11" spans="1:9" s="14" customFormat="1" ht="15.75" customHeight="1" x14ac:dyDescent="0.25"/>
    <row r="12" spans="1:9" s="14" customFormat="1" x14ac:dyDescent="0.25"/>
    <row r="22" spans="17:29" s="2" customFormat="1" x14ac:dyDescent="0.25"/>
    <row r="23" spans="17:29" x14ac:dyDescent="0.25"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7:29" x14ac:dyDescent="0.25"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7:29" x14ac:dyDescent="0.25"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30" spans="17:29" x14ac:dyDescent="0.25"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7:29" x14ac:dyDescent="0.25"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7:29" x14ac:dyDescent="0.25"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7:29" x14ac:dyDescent="0.25"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7:29" x14ac:dyDescent="0.25"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7:29" x14ac:dyDescent="0.25"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7:29" x14ac:dyDescent="0.25"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7:29" x14ac:dyDescent="0.25"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7:29" x14ac:dyDescent="0.25"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7:29" x14ac:dyDescent="0.25"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7:29" x14ac:dyDescent="0.25"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14"/>
    </row>
    <row r="41" spans="17:29" x14ac:dyDescent="0.25">
      <c r="Q41" s="14"/>
      <c r="R41" s="20"/>
      <c r="S41" s="20"/>
      <c r="T41" s="20"/>
      <c r="U41" s="20"/>
      <c r="V41" s="20"/>
      <c r="W41" s="20"/>
      <c r="X41" s="20"/>
      <c r="Y41" s="20"/>
      <c r="Z41" s="20"/>
      <c r="AA41" s="14"/>
      <c r="AB41" s="14"/>
    </row>
    <row r="42" spans="17:29" x14ac:dyDescent="0.25">
      <c r="Q42" s="14"/>
      <c r="R42" s="20"/>
      <c r="S42" s="20"/>
      <c r="T42" s="20"/>
      <c r="U42" s="20"/>
      <c r="V42" s="20"/>
      <c r="W42" s="20"/>
      <c r="X42" s="20"/>
      <c r="Y42" s="20"/>
      <c r="Z42" s="20"/>
      <c r="AA42" s="14"/>
      <c r="AB42" s="14"/>
    </row>
    <row r="43" spans="17:29" x14ac:dyDescent="0.25">
      <c r="R43" s="2"/>
      <c r="S43" s="2"/>
      <c r="T43" s="2"/>
      <c r="U43" s="2"/>
      <c r="V43" s="2"/>
      <c r="W43" s="2"/>
      <c r="X43" s="2"/>
      <c r="Y43" s="2"/>
      <c r="Z43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tabSelected="1" zoomScaleNormal="100" workbookViewId="0">
      <selection sqref="A1:A2"/>
    </sheetView>
  </sheetViews>
  <sheetFormatPr defaultColWidth="8.85546875" defaultRowHeight="15" x14ac:dyDescent="0.25"/>
  <cols>
    <col min="1" max="1" width="12.7109375" bestFit="1" customWidth="1"/>
    <col min="8" max="8" width="9.7109375" bestFit="1" customWidth="1"/>
    <col min="9" max="9" width="9" customWidth="1"/>
    <col min="10" max="10" width="8.7109375" customWidth="1"/>
    <col min="11" max="11" width="7.7109375" bestFit="1" customWidth="1"/>
  </cols>
  <sheetData>
    <row r="1" spans="1:12" s="14" customFormat="1" x14ac:dyDescent="0.25">
      <c r="A1" s="156" t="s">
        <v>41</v>
      </c>
      <c r="B1" s="152" t="s">
        <v>49</v>
      </c>
      <c r="C1" s="152" t="s">
        <v>50</v>
      </c>
      <c r="D1" s="152" t="s">
        <v>21</v>
      </c>
      <c r="E1" s="152" t="s">
        <v>20</v>
      </c>
      <c r="F1" s="152" t="s">
        <v>19</v>
      </c>
      <c r="G1" s="152" t="s">
        <v>18</v>
      </c>
      <c r="H1" s="152" t="s">
        <v>17</v>
      </c>
      <c r="I1" s="152" t="s">
        <v>16</v>
      </c>
      <c r="J1" s="154" t="s">
        <v>15</v>
      </c>
    </row>
    <row r="2" spans="1:12" s="14" customFormat="1" ht="15.75" customHeight="1" x14ac:dyDescent="0.25">
      <c r="A2" s="157"/>
      <c r="B2" s="153"/>
      <c r="C2" s="153"/>
      <c r="D2" s="153"/>
      <c r="E2" s="153"/>
      <c r="F2" s="153"/>
      <c r="G2" s="153"/>
      <c r="H2" s="153"/>
      <c r="I2" s="153"/>
      <c r="J2" s="155"/>
      <c r="K2" s="30"/>
    </row>
    <row r="3" spans="1:12" s="14" customFormat="1" x14ac:dyDescent="0.25">
      <c r="A3" s="7" t="s">
        <v>13</v>
      </c>
      <c r="B3" s="5">
        <f>RTD("tickerplantrtdserver",,"17#1#1#6069#USDINRCOMP#Bid")</f>
        <v>82.385000000000005</v>
      </c>
      <c r="C3" s="5">
        <f>RTD("tickerplantrtdserver",,"17#1#1#6069#USDINRCOMP#Ask")</f>
        <v>82.394999999999996</v>
      </c>
      <c r="D3" s="17">
        <f>RTD("tickerplantrtdserver",,"17#1#1#6069#USDINRCOMP#%Chg")</f>
        <v>0.21</v>
      </c>
      <c r="E3" s="5">
        <f>RTD("tickerplantrtdserver",,"17#1#1#6069#USDINRCOMP#Open")</f>
        <v>82.295000000000002</v>
      </c>
      <c r="F3" s="5">
        <f>RTD("tickerplantrtdserver",,"17#1#1#6069#USDINRCOMP#High")</f>
        <v>82.44</v>
      </c>
      <c r="G3" s="5">
        <f>RTD("tickerplantrtdserver",,"17#1#1#6069#USDINRCOMP#Low")</f>
        <v>82.29</v>
      </c>
      <c r="H3" s="9">
        <f>RTD("tickerplantrtdserver",,"17#1#1#6069#USDINRCOMP#Close")</f>
        <v>82.215000000000003</v>
      </c>
      <c r="I3" s="9">
        <f>RTD("tickerplantrtdserver",,"17#1#1#6069#USDINRCOMP#52WkHigh")</f>
        <v>83.232500000000002</v>
      </c>
      <c r="J3" s="48">
        <f>RTD("tickerplantrtdserver",,"17#1#1#6069#USDINRCOMP#52WkLow")</f>
        <v>77.432500000000005</v>
      </c>
      <c r="K3" s="15"/>
    </row>
    <row r="4" spans="1:12" s="14" customFormat="1" x14ac:dyDescent="0.25">
      <c r="A4" s="7" t="s">
        <v>12</v>
      </c>
      <c r="B4" s="5">
        <f>RTD("tickerplantrtdserver",,"17#3#1#5949#EURINRCOMP#Bid")</f>
        <v>89.197500000000005</v>
      </c>
      <c r="C4" s="5">
        <f>RTD("tickerplantrtdserver",,"17#3#1#5949#EURINRCOMP#Ask")</f>
        <v>89.215000000000003</v>
      </c>
      <c r="D4" s="17">
        <f>RTD("tickerplantrtdserver",,"17#3#1#5949#EURINRCOMP#%Chg")</f>
        <v>-0.39</v>
      </c>
      <c r="E4" s="5">
        <f>RTD("tickerplantrtdserver",,"17#3#1#5949#EURINRCOMP#Open")</f>
        <v>89.432500000000005</v>
      </c>
      <c r="F4" s="5">
        <f>RTD("tickerplantrtdserver",,"17#3#1#5949#EURINRCOMP#High")</f>
        <v>89.515000000000001</v>
      </c>
      <c r="G4" s="9">
        <f>RTD("tickerplantrtdserver",,"17#3#1#5949#EURINRCOMP#Low")</f>
        <v>89.174999999999997</v>
      </c>
      <c r="H4" s="9">
        <f>RTD("tickerplantrtdserver",,"17#3#1#5949#EURINRCOMP#Close")</f>
        <v>89.545000000000002</v>
      </c>
      <c r="I4" s="9">
        <f>RTD("tickerplantrtdserver",,"17#3#1#5949#EURINRCOMP#52WkHigh")</f>
        <v>0</v>
      </c>
      <c r="J4" s="27">
        <f>RTD("tickerplantrtdserver",,"17#3#1#5949#EURINRCOMP#52WkHigh")</f>
        <v>0</v>
      </c>
      <c r="K4" s="20"/>
    </row>
    <row r="5" spans="1:12" s="14" customFormat="1" x14ac:dyDescent="0.25">
      <c r="A5" s="7" t="s">
        <v>11</v>
      </c>
      <c r="B5" s="151">
        <f>RTD("tickerplantrtdserver",,"17#3#1#6031#GBPINRCOMP#Bid")</f>
        <v>102.485</v>
      </c>
      <c r="C5" s="151">
        <f>RTD("tickerplantrtdserver",,"17#3#1#6031#GBPINRCOMP#Ask")</f>
        <v>102.50749999999999</v>
      </c>
      <c r="D5" s="17">
        <f>RTD("tickerplantrtdserver",,"17#3#1#6031#GBPINRCOMP#%Chg")</f>
        <v>-0.53</v>
      </c>
      <c r="E5" s="5">
        <f>RTD("tickerplantrtdserver",,"17#3#1#6031#GBPINRCOMP#Open")</f>
        <v>102.7525</v>
      </c>
      <c r="F5" s="5">
        <f>RTD("tickerplantrtdserver",,"17#3#1#6031#GBPINRCOMP#High")</f>
        <v>102.8075</v>
      </c>
      <c r="G5" s="9">
        <f>RTD("tickerplantrtdserver",,"17#3#1#6031#GBPINRCOMP#Low")</f>
        <v>102.3575</v>
      </c>
      <c r="H5" s="5">
        <f>RTD("tickerplantrtdserver",,"17#3#1#6031#GBPINRCOMP#Close")</f>
        <v>103.0325</v>
      </c>
      <c r="I5" s="5">
        <f>RTD("tickerplantrtdserver",,"17#3#1#6031#GBPINRCOMP#52WkHigh")</f>
        <v>0</v>
      </c>
      <c r="J5" s="27">
        <f>RTD("tickerplantrtdserver",,"17#3#1#6031#GBPINRCOMP#52WkLow")</f>
        <v>0</v>
      </c>
      <c r="K5" s="20"/>
    </row>
    <row r="6" spans="1:12" s="14" customFormat="1" x14ac:dyDescent="0.25">
      <c r="A6" s="28" t="s">
        <v>10</v>
      </c>
      <c r="B6" s="5">
        <f>RTD("tickerplantrtdserver",,"17#3#1#5978#JPYINRCOMP#Bid")</f>
        <v>60.1875</v>
      </c>
      <c r="C6" s="5">
        <f>RTD("tickerplantrtdserver",,"17#3#1#5978#JPYINRCOMP#Ask")</f>
        <v>60.202500000000001</v>
      </c>
      <c r="D6" s="4">
        <f>RTD("tickerplantrtdserver",,"17#3#1#5978#JPYINRCOMP#%Chg")</f>
        <v>-0.61</v>
      </c>
      <c r="E6" s="5">
        <f>RTD("tickerplantrtdserver",,"17#3#1#5978#JPYINRCOMP#Open")</f>
        <v>60.3</v>
      </c>
      <c r="F6" s="5">
        <f>RTD("tickerplantrtdserver",,"17#3#1#5978#JPYINRCOMP#High")</f>
        <v>60.35</v>
      </c>
      <c r="G6" s="49">
        <f>RTD("tickerplantrtdserver",,"17#3#1#5978#JPYINRCOMP#Low")</f>
        <v>60.082500000000003</v>
      </c>
      <c r="H6" s="5">
        <f>RTD("tickerplantrtdserver",,"17#3#1#5978#JPYINRCOMP#Close")</f>
        <v>60.555</v>
      </c>
      <c r="I6" s="5">
        <f>RTD("tickerplantrtdserver",,"17#3#1#5978#JPYINRCOMP#52WkHigh")</f>
        <v>0</v>
      </c>
      <c r="J6" s="27">
        <f>RTD("tickerplantrtdserver",,"17#3#1#5978#JPYINRCOMP#52WkLow")</f>
        <v>0</v>
      </c>
      <c r="K6" s="20"/>
    </row>
    <row r="7" spans="1:12" s="14" customFormat="1" x14ac:dyDescent="0.25">
      <c r="A7" s="28" t="s">
        <v>9</v>
      </c>
      <c r="B7" s="5">
        <f>RTD("tickerplantrtdserver",,"12#2#1#5949#SEURUSD#Bid")</f>
        <v>1.08226</v>
      </c>
      <c r="C7" s="5">
        <f>RTD("tickerplantrtdserver",,"12#2#1#5949#SEURUSD#Ask")</f>
        <v>1.08233</v>
      </c>
      <c r="D7" s="17">
        <f>RTD("tickerplantrtdserver",,"12#2#1#5949#SEURUSD#%Chg")</f>
        <v>-0.36</v>
      </c>
      <c r="E7" s="5">
        <f>RTD("tickerplantrtdserver",,"12#2#1#5949#SEURUSD#Open")</f>
        <v>1.0861400000000001</v>
      </c>
      <c r="F7" s="5">
        <f>RTD("tickerplantrtdserver",,"12#2#1#5949#SEURUSD#High")</f>
        <v>1.0873999999999999</v>
      </c>
      <c r="G7" s="49">
        <f>RTD("tickerplantrtdserver",,"12#2#1#5949#SEURUSD#Low")</f>
        <v>1.08083</v>
      </c>
      <c r="H7" s="5">
        <f>RTD("tickerplantrtdserver",,"12#2#1#5949#SEURUSD#Close")</f>
        <v>1.0861799999999999</v>
      </c>
      <c r="I7" s="5">
        <f>RTD("tickerplantrtdserver",,"12#2#1#5949#SEURUSD#52WkHigh")</f>
        <v>1.10955</v>
      </c>
      <c r="J7" s="27">
        <f>RTD("tickerplantrtdserver",,"12#2#1#5949#SEURUSD#52WkLow")</f>
        <v>0.95320000000000005</v>
      </c>
      <c r="K7" s="20"/>
    </row>
    <row r="8" spans="1:12" s="14" customFormat="1" x14ac:dyDescent="0.25">
      <c r="A8" s="28" t="s">
        <v>8</v>
      </c>
      <c r="B8" s="5">
        <f>RTD("tickerplantrtdserver",,"12#2#1#6031#SGBPUSD#Bid")</f>
        <v>1.2462</v>
      </c>
      <c r="C8" s="5">
        <f>RTD("tickerplantrtdserver",,"12#2#1#6031#SGBPUSD#Ask")</f>
        <v>1.2466999999999999</v>
      </c>
      <c r="D8" s="17">
        <f>RTD("tickerplantrtdserver",,"12#2#1#6031#SGBPUSD#%Chg")</f>
        <v>-0.16</v>
      </c>
      <c r="E8" s="5">
        <f>RTD("tickerplantrtdserver",,"12#2#1#6031#SGBPUSD#Open")</f>
        <v>1.24814</v>
      </c>
      <c r="F8" s="5">
        <f>RTD("tickerplantrtdserver",,"12#2#1#6031#SGBPUSD#High")</f>
        <v>1.2493799999999999</v>
      </c>
      <c r="G8" s="49">
        <f>RTD("tickerplantrtdserver",,"12#2#1#6031#SGBPUSD#Low")</f>
        <v>1.2418199999999999</v>
      </c>
      <c r="H8" s="5">
        <f>RTD("tickerplantrtdserver",,"12#2#1#6031#SGBPUSD#Close")</f>
        <v>1.2482</v>
      </c>
      <c r="I8" s="5">
        <f>RTD("tickerplantrtdserver",,"12#2#1#6031#SGBPUSD#52WkHigh")</f>
        <v>1.26799</v>
      </c>
      <c r="J8" s="27">
        <f>RTD("tickerplantrtdserver",,"12#2#1#6031#SGBPUSD#52WkLow")</f>
        <v>1.03488</v>
      </c>
    </row>
    <row r="9" spans="1:12" ht="15.75" thickBot="1" x14ac:dyDescent="0.3">
      <c r="A9" s="6" t="s">
        <v>7</v>
      </c>
      <c r="B9" s="50">
        <f>RTD("tickerplantrtdserver",,"12#2#1#6069#SUSDJPY#Bid")</f>
        <v>137.333</v>
      </c>
      <c r="C9" s="50">
        <f>RTD("tickerplantrtdserver",,"12#2#1#6069#SUSDJPY#Ask")</f>
        <v>137.345</v>
      </c>
      <c r="D9" s="50">
        <f>RTD("tickerplantrtdserver",,"12#2#1#6069#SUSDJPY#%Chg")</f>
        <v>0.71</v>
      </c>
      <c r="E9" s="50">
        <f>RTD("tickerplantrtdserver",,"12#2#1#6069#SUSDJPY#Open")</f>
        <v>136.36600000000001</v>
      </c>
      <c r="F9" s="50">
        <f>RTD("tickerplantrtdserver",,"12#2#1#6069#SUSDJPY#High")</f>
        <v>137.45500000000001</v>
      </c>
      <c r="G9" s="51">
        <f>RTD("tickerplantrtdserver",,"12#2#1#6069#SUSDJPY#Low")</f>
        <v>136.26499999999999</v>
      </c>
      <c r="H9" s="50">
        <f>RTD("tickerplantrtdserver",,"12#2#1#6069#SUSDJPY#Close")</f>
        <v>136.36199999999999</v>
      </c>
      <c r="I9" s="50">
        <f>RTD("tickerplantrtdserver",,"12#2#1#6069#SUSDJPY#52WkHigh")</f>
        <v>151.94499999999999</v>
      </c>
      <c r="J9" s="52">
        <f>RTD("tickerplantrtdserver",,"12#2#1#6069#SUSDJPY#52WkLow")</f>
        <v>126.321</v>
      </c>
    </row>
    <row r="10" spans="1:12" ht="15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s="14" customFormat="1" x14ac:dyDescent="0.25"/>
    <row r="12" spans="1:12" s="14" customFormat="1" ht="15.75" customHeight="1" x14ac:dyDescent="0.25"/>
    <row r="13" spans="1:12" s="14" customFormat="1" ht="15.75" customHeight="1" x14ac:dyDescent="0.25">
      <c r="E13" s="33"/>
    </row>
    <row r="14" spans="1:12" ht="15.75" customHeight="1" x14ac:dyDescent="0.25"/>
  </sheetData>
  <mergeCells count="10">
    <mergeCell ref="I1:I2"/>
    <mergeCell ref="J1:J2"/>
    <mergeCell ref="A1:A2"/>
    <mergeCell ref="B1:B2"/>
    <mergeCell ref="C1:C2"/>
    <mergeCell ref="D1:D2"/>
    <mergeCell ref="E1:E2"/>
    <mergeCell ref="F1:F2"/>
    <mergeCell ref="G1:G2"/>
    <mergeCell ref="H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20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20" s="35" customFormat="1" ht="15.75" customHeight="1" x14ac:dyDescent="0.25">
      <c r="A2" s="8" t="s">
        <v>13</v>
      </c>
      <c r="B2" s="53">
        <f>RTD("tickerplantrtdserver",,"35#1#1#6069#FUTCUR#1369785600#0#XX#Bid")</f>
        <v>82.387500000000003</v>
      </c>
      <c r="C2" s="54">
        <f>RTD("tickerplantrtdserver",,"35#1#1#6069#FUTCUR#1369785600#0#XX#Ask")</f>
        <v>82.397499999999994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20" s="35" customFormat="1" x14ac:dyDescent="0.25">
      <c r="A3" s="7" t="s">
        <v>12</v>
      </c>
      <c r="B3" s="5">
        <f>RTD("tickerplantrtdserver",,"35#1#1#5949#FUTCUR#1369785600#0#XX#Bid")</f>
        <v>89.334999999999994</v>
      </c>
      <c r="C3" s="27">
        <f>RTD("tickerplantrtdserver",,"35#1#1#5949#FUTCUR#1369785600#0#XX#Ask")</f>
        <v>89.362499999999997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20" s="35" customFormat="1" x14ac:dyDescent="0.25">
      <c r="A4" s="7" t="s">
        <v>11</v>
      </c>
      <c r="B4" s="5">
        <f>RTD("tickerplantrtdserver",,"35#1#1#6031#FUTCUR#1369785600#0#XX#Bid")</f>
        <v>102.675</v>
      </c>
      <c r="C4" s="27">
        <f>RTD("tickerplantrtdserver",,"35#1#1#6031#FUTCUR#1369785600#0#XX#Ask")</f>
        <v>102.69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20" s="35" customFormat="1" ht="15.75" thickBot="1" x14ac:dyDescent="0.3">
      <c r="A5" s="6" t="s">
        <v>10</v>
      </c>
      <c r="B5" s="29">
        <f>RTD("tickerplantrtdserver",,"35#1#1#5978#FUTCUR#1369785600#0#XX#Bid")</f>
        <v>60.32</v>
      </c>
      <c r="C5" s="43">
        <f>RTD("tickerplantrtdserver",,"35#1#1#5978#FUTCUR#1369785600#0#XX#Ask")</f>
        <v>60.34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20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20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20" s="35" customFormat="1" x14ac:dyDescent="0.25">
      <c r="A8" s="36"/>
      <c r="B8" s="36"/>
      <c r="C8" s="36"/>
      <c r="D8" s="36"/>
      <c r="E8" s="36"/>
      <c r="F8" s="36"/>
      <c r="G8" s="36"/>
      <c r="K8" s="36"/>
      <c r="L8" s="36"/>
      <c r="P8" s="36"/>
      <c r="Q8" s="36"/>
    </row>
    <row r="9" spans="1:20" x14ac:dyDescent="0.25">
      <c r="A9" s="20"/>
      <c r="B9" s="20"/>
      <c r="C9" s="20"/>
      <c r="D9" s="20"/>
      <c r="E9" s="20"/>
      <c r="F9" s="20"/>
      <c r="G9" s="20"/>
      <c r="K9" s="58"/>
      <c r="L9" s="58"/>
      <c r="M9" s="14"/>
      <c r="N9" s="14"/>
      <c r="O9" s="14"/>
      <c r="P9" s="58"/>
      <c r="Q9" s="58"/>
      <c r="R9" s="14"/>
      <c r="S9" s="14"/>
      <c r="T9" s="14"/>
    </row>
    <row r="10" spans="1:20" x14ac:dyDescent="0.25">
      <c r="A10" s="20"/>
      <c r="B10" s="31"/>
      <c r="C10" s="31"/>
      <c r="D10" s="20"/>
      <c r="E10" s="20"/>
      <c r="F10" s="20"/>
      <c r="G10" s="20"/>
      <c r="K10" s="58"/>
      <c r="L10" s="58"/>
      <c r="M10" s="14"/>
      <c r="N10" s="14"/>
      <c r="O10" s="14"/>
      <c r="P10" s="58"/>
      <c r="Q10" s="58"/>
      <c r="R10" s="14"/>
      <c r="S10" s="14"/>
      <c r="T10" s="14"/>
    </row>
    <row r="11" spans="1:20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</row>
    <row r="12" spans="1:20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</row>
    <row r="13" spans="1:20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K13" s="21"/>
      <c r="L13" s="21"/>
      <c r="M13" s="32"/>
      <c r="N13" s="32"/>
      <c r="O13" s="32"/>
      <c r="P13" s="21"/>
      <c r="Q13" s="21"/>
      <c r="R13" s="32"/>
      <c r="S13" s="32"/>
      <c r="T13" s="32"/>
    </row>
    <row r="14" spans="1:20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K14" s="33"/>
      <c r="L14" s="34"/>
      <c r="M14" s="34"/>
      <c r="N14" s="34"/>
      <c r="O14" s="21"/>
      <c r="P14" s="33"/>
      <c r="Q14" s="34"/>
      <c r="R14" s="34"/>
      <c r="S14" s="34"/>
      <c r="T14" s="21"/>
    </row>
    <row r="15" spans="1:20" x14ac:dyDescent="0.25">
      <c r="A15" s="13"/>
      <c r="B15" s="21"/>
      <c r="C15" s="21"/>
      <c r="D15" s="20"/>
      <c r="E15" s="20"/>
      <c r="G15" s="13"/>
      <c r="H15" s="20"/>
      <c r="I15" s="20"/>
      <c r="J15" s="20"/>
      <c r="K15" s="14"/>
      <c r="L15" s="13"/>
      <c r="M15" s="58"/>
      <c r="N15" s="58"/>
      <c r="O15" s="58"/>
      <c r="P15" s="14"/>
      <c r="Q15" s="13"/>
      <c r="R15" s="58"/>
      <c r="S15" s="58"/>
      <c r="T15" s="58"/>
    </row>
    <row r="16" spans="1:20" x14ac:dyDescent="0.25">
      <c r="A16" s="15"/>
      <c r="B16" s="21"/>
      <c r="C16" s="21"/>
      <c r="D16" s="20"/>
      <c r="E16" s="20"/>
      <c r="G16" s="15"/>
      <c r="H16" s="20"/>
      <c r="I16" s="20"/>
      <c r="J16" s="20"/>
      <c r="K16" s="14"/>
      <c r="L16" s="15"/>
      <c r="M16" s="58"/>
      <c r="N16" s="58"/>
      <c r="O16" s="58"/>
      <c r="P16" s="14"/>
      <c r="Q16" s="15"/>
      <c r="R16" s="58"/>
      <c r="S16" s="58"/>
      <c r="T16" s="58"/>
    </row>
    <row r="17" spans="1:20" x14ac:dyDescent="0.25">
      <c r="A17" s="15"/>
      <c r="B17" s="21"/>
      <c r="C17" s="21"/>
      <c r="D17" s="20"/>
      <c r="E17" s="20"/>
      <c r="G17" s="15"/>
      <c r="H17" s="20"/>
      <c r="I17" s="20"/>
      <c r="J17" s="20"/>
      <c r="K17" s="14"/>
      <c r="L17" s="15"/>
      <c r="M17" s="58"/>
      <c r="N17" s="58"/>
      <c r="O17" s="58"/>
      <c r="P17" s="14"/>
      <c r="Q17" s="15"/>
      <c r="R17" s="58"/>
      <c r="S17" s="58"/>
      <c r="T17" s="58"/>
    </row>
    <row r="18" spans="1:20" x14ac:dyDescent="0.25">
      <c r="A18" s="15"/>
      <c r="B18" s="21"/>
      <c r="C18" s="21"/>
      <c r="D18" s="20"/>
      <c r="E18" s="20"/>
      <c r="G18" s="15"/>
      <c r="H18" s="20"/>
      <c r="I18" s="20"/>
      <c r="J18" s="20"/>
      <c r="K18" s="14"/>
      <c r="L18" s="15"/>
      <c r="M18" s="58"/>
      <c r="N18" s="58"/>
      <c r="O18" s="58"/>
      <c r="P18" s="14"/>
      <c r="Q18" s="15"/>
      <c r="R18" s="58"/>
      <c r="S18" s="58"/>
      <c r="T18" s="58"/>
    </row>
    <row r="19" spans="1:20" x14ac:dyDescent="0.25">
      <c r="A19" s="15"/>
      <c r="B19" s="21"/>
      <c r="C19" s="21"/>
      <c r="D19" s="20"/>
      <c r="E19" s="20"/>
      <c r="G19" s="15"/>
      <c r="H19" s="20"/>
      <c r="I19" s="20"/>
      <c r="J19" s="20"/>
      <c r="K19" s="14"/>
      <c r="L19" s="15"/>
      <c r="M19" s="58"/>
      <c r="N19" s="58"/>
      <c r="O19" s="58"/>
      <c r="P19" s="14"/>
      <c r="Q19" s="15"/>
      <c r="R19" s="58"/>
      <c r="S19" s="58"/>
      <c r="T19" s="58"/>
    </row>
    <row r="20" spans="1:20" x14ac:dyDescent="0.25"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25"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25"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31" spans="1:20" x14ac:dyDescent="0.25">
      <c r="P31" s="5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4"/>
  <sheetViews>
    <sheetView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425781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RTD("tickerplantrtdserver",,"35#1#1#6069#FUTCUR#1372291200#0#XX#Bid")</f>
        <v>82.495000000000005</v>
      </c>
      <c r="C2" s="54">
        <f>RTD("tickerplantrtdserver",,"35#1#1#6069#FUTCUR#1372291200#0#XX#Ask")</f>
        <v>82.507499999999993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RTD("tickerplantrtdserver",,"35#1#1#5949#FUTCUR#1372291200#0#XX#Bid")</f>
        <v>89.58</v>
      </c>
      <c r="C3" s="27">
        <f>RTD("tickerplantrtdserver",,"35#1#1#5949#FUTCUR#1372291200#0#XX#Ask")</f>
        <v>89.594999999999999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RTD("tickerplantrtdserver",,"35#1#1#6031#FUTCUR#1372291200#0#XX#Bid")</f>
        <v>102.815</v>
      </c>
      <c r="C4" s="27">
        <f>RTD("tickerplantrtdserver",,"35#1#1#6031#FUTCUR#1372291200#0#XX#Ask")</f>
        <v>102.84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RTD("tickerplantrtdserver",,"35#1#1#5978#FUTCUR#1372291200#0#XX#Bid")</f>
        <v>60.68</v>
      </c>
      <c r="C5" s="43">
        <f>RTD("tickerplantrtdserver",,"35#1#1#5978#FUTCUR#1372291200#0#XX#Ask")</f>
        <v>60.71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J8" s="36"/>
      <c r="M8" s="36"/>
      <c r="P8" s="36"/>
      <c r="S8" s="36"/>
    </row>
    <row r="9" spans="1:19" x14ac:dyDescent="0.25">
      <c r="A9" s="20"/>
      <c r="B9" s="20"/>
      <c r="C9" s="20"/>
      <c r="D9" s="20"/>
      <c r="E9" s="20"/>
      <c r="F9" s="20"/>
      <c r="G9" s="20"/>
      <c r="J9" s="58"/>
      <c r="K9" s="14"/>
      <c r="L9" s="14"/>
      <c r="M9" s="58"/>
      <c r="N9" s="14"/>
      <c r="O9" s="14"/>
      <c r="P9" s="58"/>
      <c r="Q9" s="14"/>
      <c r="R9" s="14"/>
      <c r="S9" s="58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14"/>
      <c r="L10" s="14"/>
      <c r="M10" s="58"/>
      <c r="N10" s="14"/>
      <c r="O10" s="14"/>
      <c r="P10" s="58"/>
      <c r="Q10" s="14"/>
      <c r="R10" s="14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32"/>
      <c r="L13" s="32"/>
      <c r="M13" s="21"/>
      <c r="N13" s="32"/>
      <c r="O13" s="32"/>
      <c r="P13" s="21"/>
      <c r="Q13" s="32"/>
      <c r="R13" s="32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J15" s="13"/>
      <c r="K15" s="58"/>
      <c r="L15" s="58"/>
      <c r="M15" s="13"/>
      <c r="N15" s="58"/>
      <c r="O15" s="58"/>
      <c r="P15" s="13"/>
      <c r="Q15" s="58"/>
      <c r="R15" s="58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J16" s="15"/>
      <c r="K16" s="58"/>
      <c r="L16" s="58"/>
      <c r="M16" s="15"/>
      <c r="N16" s="58"/>
      <c r="O16" s="58"/>
      <c r="P16" s="15"/>
      <c r="Q16" s="58"/>
      <c r="R16" s="58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J17" s="15"/>
      <c r="K17" s="58"/>
      <c r="L17" s="58"/>
      <c r="M17" s="15"/>
      <c r="N17" s="58"/>
      <c r="O17" s="58"/>
      <c r="P17" s="15"/>
      <c r="Q17" s="58"/>
      <c r="R17" s="58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J18" s="15"/>
      <c r="K18" s="58"/>
      <c r="L18" s="58"/>
      <c r="M18" s="15"/>
      <c r="N18" s="58"/>
      <c r="O18" s="58"/>
      <c r="P18" s="15"/>
      <c r="Q18" s="58"/>
      <c r="R18" s="58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J19" s="15"/>
      <c r="K19" s="58"/>
      <c r="L19" s="58"/>
      <c r="M19" s="15"/>
      <c r="N19" s="58"/>
      <c r="O19" s="58"/>
      <c r="P19" s="15"/>
      <c r="Q19" s="58"/>
      <c r="R19" s="58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K24" s="14"/>
      <c r="L24" s="14"/>
      <c r="M24" s="14"/>
      <c r="N24" s="14"/>
      <c r="O24" s="14"/>
      <c r="P24" s="14"/>
      <c r="Q24" s="14"/>
      <c r="R24" s="14"/>
      <c r="S24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3"/>
  <sheetViews>
    <sheetView workbookViewId="0">
      <selection activeCell="B6" sqref="B6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RTD("tickerplantrtdserver",,"35#1#1#6069#FUTCUR#1374883200#0#XX#Bid")</f>
        <v>82.6</v>
      </c>
      <c r="C2" s="54">
        <f>RTD("tickerplantrtdserver",,"35#1#1#6069#FUTCUR#1374883200#0#XX#Ask")</f>
        <v>82.62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RTD("tickerplantrtdserver",,"35#1#1#5949#FUTCUR#1374883200#0#XX#Bid")</f>
        <v>89.78</v>
      </c>
      <c r="C3" s="27">
        <f>RTD("tickerplantrtdserver",,"35#1#1#5949#FUTCUR#1374883200#0#XX#Ask")</f>
        <v>89.802499999999995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RTD("tickerplantrtdserver",,"35#1#1#6031#FUTCUR#1374883200#0#XX#Bid")</f>
        <v>102.98</v>
      </c>
      <c r="C4" s="27">
        <f>RTD("tickerplantrtdserver",,"35#1#1#6031#FUTCUR#1374883200#0#XX#Ask")</f>
        <v>102.995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RTD("tickerplantrtdserver",,"35#1#1#5978#FUTCUR#1374883200#0#XX#Bid")</f>
        <v>61.0625</v>
      </c>
      <c r="C5" s="43">
        <f>RTD("tickerplantrtdserver",,"35#1#1#5978#FUTCUR#1374883200#0#XX#Ask")</f>
        <v>61.134999999999998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M8" s="36"/>
    </row>
    <row r="9" spans="1:19" x14ac:dyDescent="0.25">
      <c r="A9" s="20"/>
      <c r="B9" s="20"/>
      <c r="C9" s="20"/>
      <c r="D9" s="20"/>
      <c r="E9" s="20"/>
      <c r="F9" s="20"/>
      <c r="G9" s="20"/>
      <c r="M9" s="2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58"/>
      <c r="L10" s="14"/>
      <c r="M10" s="14"/>
      <c r="N10" s="58"/>
      <c r="O10" s="58"/>
      <c r="P10" s="14"/>
      <c r="Q10" s="14"/>
      <c r="R10" s="58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21"/>
      <c r="L13" s="32"/>
      <c r="M13" s="32"/>
      <c r="N13" s="21"/>
      <c r="O13" s="21"/>
      <c r="P13" s="32"/>
      <c r="Q13" s="32"/>
      <c r="R13" s="21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3"/>
      <c r="K14" s="34"/>
      <c r="L14" s="34"/>
      <c r="M14" s="34"/>
      <c r="N14" s="33"/>
      <c r="O14" s="34"/>
      <c r="P14" s="34"/>
      <c r="Q14" s="34"/>
      <c r="R14" s="33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K15" s="13"/>
      <c r="L15" s="58"/>
      <c r="M15" s="58"/>
      <c r="N15" s="14"/>
      <c r="O15" s="13"/>
      <c r="P15" s="58"/>
      <c r="Q15" s="58"/>
      <c r="R15" s="14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K16" s="15"/>
      <c r="L16" s="58"/>
      <c r="M16" s="58"/>
      <c r="N16" s="14"/>
      <c r="O16" s="15"/>
      <c r="P16" s="58"/>
      <c r="Q16" s="58"/>
      <c r="R16" s="14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K17" s="15"/>
      <c r="L17" s="58"/>
      <c r="M17" s="58"/>
      <c r="N17" s="14"/>
      <c r="O17" s="15"/>
      <c r="P17" s="58"/>
      <c r="Q17" s="58"/>
      <c r="R17" s="14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K18" s="15"/>
      <c r="L18" s="58"/>
      <c r="M18" s="58"/>
      <c r="N18" s="14"/>
      <c r="O18" s="15"/>
      <c r="P18" s="58"/>
      <c r="Q18" s="58"/>
      <c r="R18" s="14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K19" s="15"/>
      <c r="L19" s="58"/>
      <c r="M19" s="58"/>
      <c r="N19" s="14"/>
      <c r="O19" s="15"/>
      <c r="P19" s="58"/>
      <c r="Q19" s="58"/>
      <c r="R19" s="14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6"/>
  <sheetViews>
    <sheetView zoomScale="110" zoomScaleNormal="110" workbookViewId="0">
      <selection activeCell="F14" sqref="F14"/>
    </sheetView>
  </sheetViews>
  <sheetFormatPr defaultRowHeight="15" x14ac:dyDescent="0.25"/>
  <cols>
    <col min="1" max="1" width="13.85546875" bestFit="1" customWidth="1"/>
    <col min="2" max="2" width="4.28515625" customWidth="1"/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8" t="s">
        <v>6</v>
      </c>
      <c r="B1" s="159"/>
      <c r="C1" s="62" t="str">
        <f>RTD("tickerplantrtdserver",,"FWRC1#USDINR#Month End Rates#0#S#Desc.2")</f>
        <v>CASH/SPOT</v>
      </c>
      <c r="D1" s="62" t="str">
        <f>RTD("tickerplantrtdserver",,"FWRC1#USDINR#Month End Rates#0#S#Desc.4")</f>
        <v>MAY-2023</v>
      </c>
      <c r="E1" s="62" t="str">
        <f>RTD("tickerplantrtdserver",,"FWRC1#USDINR#Month End Rates#0#S#Desc.5")</f>
        <v>JUN-2023</v>
      </c>
      <c r="F1" s="62" t="str">
        <f>RTD("tickerplantrtdserver",,"FWRC1#USDINR#Month End Rates#0#S#Desc.6")</f>
        <v>JUL-2023</v>
      </c>
      <c r="G1" s="62" t="str">
        <f>RTD("tickerplantrtdserver",,"FWRC1#USDINR#Month End Rates#0#S#Desc.7")</f>
        <v>AUG-2023</v>
      </c>
      <c r="H1" s="62" t="str">
        <f>RTD("tickerplantrtdserver",,"FWRC1#USDINR#Month End Rates#0#S#Desc.8")</f>
        <v>SEP-2023</v>
      </c>
      <c r="I1" s="62" t="str">
        <f>RTD("tickerplantrtdserver",,"FWRC1#USDINR#Month End Rates#0#S#Desc.9")</f>
        <v>OCT-2023</v>
      </c>
      <c r="J1" s="62" t="str">
        <f>RTD("tickerplantrtdserver",,"FWRC1#USDINR#Month End Rates#0#S#Desc.10")</f>
        <v>NOV-2023</v>
      </c>
      <c r="K1" s="62" t="str">
        <f>RTD("tickerplantrtdserver",,"FWRC1#USDINR#Month End Rates#0#S#Desc.11")</f>
        <v>DEC-2023</v>
      </c>
      <c r="L1" s="62" t="str">
        <f>RTD("tickerplantrtdserver",,"FWRC1#USDINR#Month End Rates#0#S#Desc.12")</f>
        <v>JAN-2024</v>
      </c>
      <c r="M1" s="62" t="str">
        <f>RTD("tickerplantrtdserver",,"FWRC1#USDINR#Month End Rates#0#S#Desc.13")</f>
        <v>FEB-2024</v>
      </c>
      <c r="N1" s="62" t="str">
        <f>RTD("tickerplantrtdserver",,"FWRC1#USDINR#Month End Rates#0#S#Desc.14")</f>
        <v>MAR-2024</v>
      </c>
      <c r="O1" s="63" t="str">
        <f>RTD("tickerplantrtdserver",,"FWRC1#USDINR#Month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107" t="str">
        <f>RTD("tickerplantrtdserver",,"FWRC1#USDINR#Month End Rates#0#S#MonthEndDate2")</f>
        <v>19-May-2023</v>
      </c>
      <c r="D2" s="107" t="str">
        <f>RTD("tickerplantrtdserver",,"FWRC1#USDINR#Month End Rates#0#S#MonthEndDate4")</f>
        <v>31-May-2023</v>
      </c>
      <c r="E2" s="107" t="str">
        <f t="array" ref="E2">RTD("tickerplantrtdserver",,"FWRC1#USDINR#Month End Rates#0#S#MonthEndDate5")</f>
        <v>30-Jun-2023</v>
      </c>
      <c r="F2" s="107" t="str">
        <f t="array" ref="F2">RTD("tickerplantrtdserver",,"FWRC1#USDINR#Month End Rates#0#S#MonthEndDate6")</f>
        <v>31-Jul-2023</v>
      </c>
      <c r="G2" s="107" t="str">
        <f t="array" ref="G2">RTD("tickerplantrtdserver",,"FWRC1#USDINR#Month End Rates#0#S#MonthEndDate7")</f>
        <v>31-Aug-2023</v>
      </c>
      <c r="H2" s="107" t="str">
        <f t="array" ref="H2">RTD("tickerplantrtdserver",,"FWRC1#USDINR#Month End Rates#0#S#MonthEndDate8")</f>
        <v>29-Sep-2023</v>
      </c>
      <c r="I2" s="107" t="str">
        <f t="array" ref="I2">RTD("tickerplantrtdserver",,"FWRC1#USDINR#Month End Rates#0#S#MonthEndDate9")</f>
        <v>31-Oct-2023</v>
      </c>
      <c r="J2" s="107" t="str">
        <f t="array" ref="J2">RTD("tickerplantrtdserver",,"FWRC1#USDINR#Month End Rates#0#S#MonthEndDate10")</f>
        <v>30-Nov-2023</v>
      </c>
      <c r="K2" s="107" t="str">
        <f t="array" ref="K2">RTD("tickerplantrtdserver",,"FWRC1#USDINR#Month End Rates#0#S#MonthEndDate11")</f>
        <v>29-Dec-2023</v>
      </c>
      <c r="L2" s="107" t="str">
        <f t="array" ref="L2">RTD("tickerplantrtdserver",,"FWRC1#USDINR#Month End Rates#0#S#MonthEndDate12")</f>
        <v>31-Jan-2024</v>
      </c>
      <c r="M2" s="107" t="str">
        <f t="array" ref="M2">RTD("tickerplantrtdserver",,"FWRC1#USDINR#Month End Rates#0#S#MonthEndDate13")</f>
        <v>29-Feb-2024</v>
      </c>
      <c r="N2" s="107" t="str">
        <f t="array" ref="N2">RTD("tickerplantrtdserver",,"FWRC1#USDINR#Month End Rates#0#S#MonthEndDate14")</f>
        <v>28-Mar-2024</v>
      </c>
      <c r="O2" s="108" t="str">
        <f>RTD("tickerplantrtdserver",,"FWRC1#USDINR#Month End Rates#0#S#MonthEndDate15")</f>
        <v>30-Apr-2024</v>
      </c>
      <c r="P2" s="30"/>
    </row>
    <row r="3" spans="1:18" s="14" customFormat="1" x14ac:dyDescent="0.25">
      <c r="A3" s="162" t="s">
        <v>4</v>
      </c>
      <c r="B3" s="163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P3" s="15"/>
    </row>
    <row r="4" spans="1:18" s="14" customFormat="1" x14ac:dyDescent="0.25">
      <c r="A4" s="160" t="s">
        <v>47</v>
      </c>
      <c r="B4" s="161"/>
      <c r="C4" s="65">
        <f>RTD("tickerplantrtdserver",,"FWRC1#USDINR#Month End Rates#0#BidPrice2")</f>
        <v>0.4</v>
      </c>
      <c r="D4" s="65">
        <f>RTD("tickerplantrtdserver",,"FWRC1#USDINR#Month End Rates#0#BidPrice4")</f>
        <v>2</v>
      </c>
      <c r="E4" s="65">
        <f t="array" ref="E4">RTD("tickerplantrtdserver",,"FWRC1#USDINR#Month End Rates#0#BidPrice5")</f>
        <v>12</v>
      </c>
      <c r="F4" s="65">
        <f t="array" ref="F4">RTD("tickerplantrtdserver",,"FWRC1#USDINR#Month End Rates#0#BidPrice6")</f>
        <v>24</v>
      </c>
      <c r="G4" s="65">
        <f t="array" ref="G4">RTD("tickerplantrtdserver",,"FWRC1#USDINR#Month End Rates#0#BidPrice7")</f>
        <v>35</v>
      </c>
      <c r="H4" s="65">
        <f t="array" ref="H4">RTD("tickerplantrtdserver",,"FWRC1#USDINR#Month End Rates#0#BidPrice8")</f>
        <v>47</v>
      </c>
      <c r="I4" s="65">
        <f t="array" ref="I4">RTD("tickerplantrtdserver",,"FWRC1#USDINR#Month End Rates#0#BidPrice9")</f>
        <v>60</v>
      </c>
      <c r="J4" s="65">
        <f t="array" ref="J4">RTD("tickerplantrtdserver",,"FWRC1#USDINR#Month End Rates#0#BidPrice10")</f>
        <v>74</v>
      </c>
      <c r="K4" s="65">
        <f t="array" ref="K4">RTD("tickerplantrtdserver",,"FWRC1#USDINR#Month End Rates#0#BidPrice11")</f>
        <v>87</v>
      </c>
      <c r="L4" s="65">
        <f t="array" ref="L4">RTD("tickerplantrtdserver",,"FWRC1#USDINR#Month End Rates#0#BidPrice12")</f>
        <v>103</v>
      </c>
      <c r="M4" s="65">
        <f t="array" ref="M4">RTD("tickerplantrtdserver",,"FWRC1#USDINR#Month End Rates#0#BidPrice13")</f>
        <v>117</v>
      </c>
      <c r="N4" s="65">
        <f t="array" ref="N4">RTD("tickerplantrtdserver",,"FWRC1#USDINR#Month End Rates#0#BidPrice14")</f>
        <v>132</v>
      </c>
      <c r="O4" s="67">
        <f t="array" ref="O4">RTD("tickerplantrtdserver",,"FWRC1#USDINR#Month End Rates#0#BidPrice15")</f>
        <v>156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RTD("tickerplantrtdserver",,"FWRC1#USDINR#Month End Rates#0#AskPrice2")</f>
        <v>2</v>
      </c>
      <c r="D5" s="65">
        <f>RTD("tickerplantrtdserver",,"FWRC1#USDINR#Month End Rates#0#AskPrice4")</f>
        <v>4</v>
      </c>
      <c r="E5" s="65">
        <f t="array" ref="E5">RTD("tickerplantrtdserver",,"FWRC1#USDINR#Month End Rates#0#AskPrice5")</f>
        <v>14</v>
      </c>
      <c r="F5" s="65">
        <f t="array" ref="F5">RTD("tickerplantrtdserver",,"FWRC1#USDINR#Month End Rates#0#AskPrice6")</f>
        <v>26</v>
      </c>
      <c r="G5" s="65">
        <f t="array" ref="G5">RTD("tickerplantrtdserver",,"FWRC1#USDINR#Month End Rates#0#AskPrice7")</f>
        <v>37</v>
      </c>
      <c r="H5" s="65">
        <f t="array" ref="H5">RTD("tickerplantrtdserver",,"FWRC1#USDINR#Month End Rates#0#AskPrice8")</f>
        <v>49</v>
      </c>
      <c r="I5" s="65">
        <f t="array" ref="I5">RTD("tickerplantrtdserver",,"FWRC1#USDINR#Month End Rates#0#AskPrice9")</f>
        <v>62</v>
      </c>
      <c r="J5" s="65">
        <f t="array" ref="J5">RTD("tickerplantrtdserver",,"FWRC1#USDINR#Month End Rates#0#AskPrice10")</f>
        <v>76</v>
      </c>
      <c r="K5" s="65">
        <f t="array" ref="K5">RTD("tickerplantrtdserver",,"FWRC1#USDINR#Month End Rates#0#AskPrice11")</f>
        <v>89</v>
      </c>
      <c r="L5" s="65">
        <f t="array" ref="L5">RTD("tickerplantrtdserver",,"FWRC1#USDINR#Month End Rates#0#AskPrice12")</f>
        <v>105</v>
      </c>
      <c r="M5" s="65">
        <f t="array" ref="M5">RTD("tickerplantrtdserver",,"FWRC1#USDINR#Month End Rates#0#AskPrice13")</f>
        <v>119</v>
      </c>
      <c r="N5" s="65">
        <f t="array" ref="N5">RTD("tickerplantrtdserver",,"FWRC1#USDINR#Month End Rates#0#AskPrice14")</f>
        <v>134</v>
      </c>
      <c r="O5" s="67">
        <f t="array" ref="O5">RTD("tickerplantrtdserver",,"FWRC1#USDINR#Month End Rates#0#AskPrice15")</f>
        <v>158</v>
      </c>
      <c r="P5" s="20"/>
    </row>
    <row r="6" spans="1:18" s="14" customFormat="1" x14ac:dyDescent="0.25">
      <c r="A6" s="162" t="s">
        <v>3</v>
      </c>
      <c r="B6" s="163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  <c r="P6" s="20"/>
    </row>
    <row r="7" spans="1:18" s="14" customFormat="1" x14ac:dyDescent="0.25">
      <c r="A7" s="160" t="s">
        <v>47</v>
      </c>
      <c r="B7" s="161"/>
      <c r="C7" s="64">
        <f>USDINR!D2</f>
        <v>82.365000000000009</v>
      </c>
      <c r="D7" s="64">
        <f>USDINR!B2+(D4/100)</f>
        <v>82.405000000000001</v>
      </c>
      <c r="E7" s="64">
        <f>USDINR!B2+(E4/100)</f>
        <v>82.50500000000001</v>
      </c>
      <c r="F7" s="64">
        <f>USDINR!B2+(F4/100)</f>
        <v>82.625</v>
      </c>
      <c r="G7" s="64">
        <f>USDINR!B2+(G4/100)</f>
        <v>82.734999999999999</v>
      </c>
      <c r="H7" s="64">
        <f>USDINR!B2+(H4/100)</f>
        <v>82.855000000000004</v>
      </c>
      <c r="I7" s="64">
        <f>USDINR!B2+(I4/100)</f>
        <v>82.984999999999999</v>
      </c>
      <c r="J7" s="64">
        <f>USDINR!B2+(J4/100)</f>
        <v>83.125</v>
      </c>
      <c r="K7" s="64">
        <f>USDINR!B2+(K4/100)</f>
        <v>83.25500000000001</v>
      </c>
      <c r="L7" s="64">
        <f>USDINR!B2+(L4/100)</f>
        <v>83.415000000000006</v>
      </c>
      <c r="M7" s="64">
        <f>USDINR!B2+(M4/100)</f>
        <v>83.555000000000007</v>
      </c>
      <c r="N7" s="64">
        <f>USDINR!B2+(N4/100)</f>
        <v>83.704999999999998</v>
      </c>
      <c r="O7" s="68">
        <f>USDINR!B2+(O4/100)</f>
        <v>83.945000000000007</v>
      </c>
      <c r="P7" s="20"/>
    </row>
    <row r="8" spans="1:18" s="14" customFormat="1" x14ac:dyDescent="0.25">
      <c r="A8" s="160" t="s">
        <v>48</v>
      </c>
      <c r="B8" s="161"/>
      <c r="C8" s="64">
        <f>USDINR!D3</f>
        <v>82.390999999999991</v>
      </c>
      <c r="D8" s="64">
        <f>USDINR!B3+(D5/100)</f>
        <v>82.435000000000002</v>
      </c>
      <c r="E8" s="64">
        <f>USDINR!B3+(E5/100)</f>
        <v>82.534999999999997</v>
      </c>
      <c r="F8" s="64">
        <f>USDINR!B3+(F5/100)</f>
        <v>82.655000000000001</v>
      </c>
      <c r="G8" s="64">
        <f>USDINR!B3+(G5/100)</f>
        <v>82.765000000000001</v>
      </c>
      <c r="H8" s="64">
        <f>USDINR!B3+(H5/100)</f>
        <v>82.884999999999991</v>
      </c>
      <c r="I8" s="64">
        <f>USDINR!B3+(I5/100)</f>
        <v>83.015000000000001</v>
      </c>
      <c r="J8" s="64">
        <f>USDINR!B3+(J5/100)</f>
        <v>83.155000000000001</v>
      </c>
      <c r="K8" s="64">
        <f>USDINR!B3+(K5/100)</f>
        <v>83.284999999999997</v>
      </c>
      <c r="L8" s="64">
        <f>USDINR!B3+(L5/100)</f>
        <v>83.444999999999993</v>
      </c>
      <c r="M8" s="64">
        <f>USDINR!B3+(M5/100)</f>
        <v>83.584999999999994</v>
      </c>
      <c r="N8" s="64">
        <f>USDINR!B3+(N5/100)</f>
        <v>83.734999999999999</v>
      </c>
      <c r="O8" s="68">
        <f>USDINR!B3+(O5/100)</f>
        <v>83.974999999999994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6">
        <f t="array" ref="C10">RTD("tickerplantrtdserver",,"FWRC1#USDINR#Month End Rates#0#Bid%2")</f>
        <v>0.88590000000000002</v>
      </c>
      <c r="D10" s="66">
        <f t="array" ref="D10">RTD("tickerplantrtdserver",,"FWRC1#USDINR#Month End Rates#0#Bid%4")</f>
        <v>0.73819999999999997</v>
      </c>
      <c r="E10" s="65">
        <f t="array" ref="E10">RTD("tickerplantrtdserver",,"FWRC1#USDINR#Month End Rates#0#Bid%5")</f>
        <v>1.2655000000000001</v>
      </c>
      <c r="F10" s="65">
        <f t="array" ref="F10">RTD("tickerplantrtdserver",,"FWRC1#USDINR#Month End Rates#0#Bid%6")</f>
        <v>1.4561999999999999</v>
      </c>
      <c r="G10" s="65">
        <f t="array" ref="G10">RTD("tickerplantrtdserver",,"FWRC1#USDINR#Month End Rates#0#Bid%7")</f>
        <v>1.4905999999999999</v>
      </c>
      <c r="H10" s="65">
        <f t="array" ref="H10">RTD("tickerplantrtdserver",,"FWRC1#USDINR#Month End Rates#0#Bid%8")</f>
        <v>1.5652999999999999</v>
      </c>
      <c r="I10" s="65">
        <f t="array" ref="I10">RTD("tickerplantrtdserver",,"FWRC1#USDINR#Month End Rates#0#Bid%9")</f>
        <v>1.6107</v>
      </c>
      <c r="J10" s="65">
        <f t="array" ref="J10">RTD("tickerplantrtdserver",,"FWRC1#USDINR#Month End Rates#0#Bid%10")</f>
        <v>1.6809000000000001</v>
      </c>
      <c r="K10" s="65">
        <f t="array" ref="K10">RTD("tickerplantrtdserver",,"FWRC1#USDINR#Month End Rates#0#Bid%11")</f>
        <v>1.7202999999999999</v>
      </c>
      <c r="L10" s="65">
        <f t="array" ref="L10">RTD("tickerplantrtdserver",,"FWRC1#USDINR#Month End Rates#0#Bid%12")</f>
        <v>1.7751999999999999</v>
      </c>
      <c r="M10" s="65">
        <f t="array" ref="M10">RTD("tickerplantrtdserver",,"FWRC1#USDINR#Month End Rates#0#Bid%13")</f>
        <v>1.8120000000000001</v>
      </c>
      <c r="N10" s="65">
        <f t="array" ref="N10">RTD("tickerplantrtdserver",,"FWRC1#USDINR#Month End Rates#0#Bid%14")</f>
        <v>1.8620000000000001</v>
      </c>
      <c r="O10" s="67">
        <f t="array" ref="O10">RTD("tickerplantrtdserver",,"FWRC1#USDINR#Month End Rates#0#Bid%15")</f>
        <v>1.9913000000000001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RTD("tickerplantrtdserver",,"FWRC1#USDINR#Month End Rates#0#Ask%2")</f>
        <v>4.4295999999999998</v>
      </c>
      <c r="D11" s="69">
        <f t="array" ref="D11">RTD("tickerplantrtdserver",,"FWRC1#USDINR#Month End Rates#0#Ask%4")</f>
        <v>1.4764999999999999</v>
      </c>
      <c r="E11" s="69">
        <f t="array" ref="E11">RTD("tickerplantrtdserver",,"FWRC1#USDINR#Month End Rates#0#Ask%5")</f>
        <v>1.4764999999999999</v>
      </c>
      <c r="F11" s="69">
        <f t="array" ref="F11">RTD("tickerplantrtdserver",,"FWRC1#USDINR#Month End Rates#0#Ask%6")</f>
        <v>1.5777000000000001</v>
      </c>
      <c r="G11" s="69">
        <f t="array" ref="G11">RTD("tickerplantrtdserver",,"FWRC1#USDINR#Month End Rates#0#Ask%7")</f>
        <v>1.5759000000000001</v>
      </c>
      <c r="H11" s="69">
        <f t="array" ref="H11">RTD("tickerplantrtdserver",,"FWRC1#USDINR#Month End Rates#0#Ask%8")</f>
        <v>1.6319999999999999</v>
      </c>
      <c r="I11" s="69">
        <f t="array" ref="I11">RTD("tickerplantrtdserver",,"FWRC1#USDINR#Month End Rates#0#Ask%9")</f>
        <v>1.6645000000000001</v>
      </c>
      <c r="J11" s="69">
        <f t="array" ref="J11">RTD("tickerplantrtdserver",,"FWRC1#USDINR#Month End Rates#0#Ask%10")</f>
        <v>1.7263999999999999</v>
      </c>
      <c r="K11" s="69">
        <f t="array" ref="K11">RTD("tickerplantrtdserver",,"FWRC1#USDINR#Month End Rates#0#Ask%11")</f>
        <v>1.76</v>
      </c>
      <c r="L11" s="69">
        <f t="array" ref="L11">RTD("tickerplantrtdserver",,"FWRC1#USDINR#Month End Rates#0#Ask%12")</f>
        <v>1.8098000000000001</v>
      </c>
      <c r="M11" s="69">
        <f t="array" ref="M11">RTD("tickerplantrtdserver",,"FWRC1#USDINR#Month End Rates#0#Ask%13")</f>
        <v>1.8431</v>
      </c>
      <c r="N11" s="69">
        <f t="array" ref="N11">RTD("tickerplantrtdserver",,"FWRC1#USDINR#Month End Rates#0#Ask%14")</f>
        <v>1.8903000000000001</v>
      </c>
      <c r="O11" s="70">
        <f t="array" ref="O11">RTD("tickerplantrtdserver",,"FWRC1#USDINR#Month End Rates#0#Ask%15")</f>
        <v>2.0169000000000001</v>
      </c>
    </row>
    <row r="12" spans="1:18" s="14" customFormat="1" ht="15.75" customHeight="1" x14ac:dyDescent="0.25"/>
    <row r="13" spans="1:18" s="14" customFormat="1" x14ac:dyDescent="0.25"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Q13" s="23"/>
      <c r="R13" s="23"/>
    </row>
    <row r="14" spans="1:18" s="14" customFormat="1" x14ac:dyDescent="0.25"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31"/>
      <c r="Q14" s="31"/>
      <c r="R14" s="31"/>
    </row>
    <row r="15" spans="1:18" s="14" customFormat="1" x14ac:dyDescent="0.25"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s="14" customForma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6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6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6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6" s="2" customForma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6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6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6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6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6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6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6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6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x14ac:dyDescent="0.25">
      <c r="A36" s="1"/>
      <c r="B36" s="1"/>
    </row>
  </sheetData>
  <mergeCells count="12">
    <mergeCell ref="A10:B10"/>
    <mergeCell ref="A11:B11"/>
    <mergeCell ref="A8:B8"/>
    <mergeCell ref="A9:B9"/>
    <mergeCell ref="C9:O9"/>
    <mergeCell ref="A1:B1"/>
    <mergeCell ref="A7:B7"/>
    <mergeCell ref="A5:B5"/>
    <mergeCell ref="A4:B4"/>
    <mergeCell ref="A2:B2"/>
    <mergeCell ref="A6:B6"/>
    <mergeCell ref="A3:B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3"/>
  <sheetViews>
    <sheetView zoomScale="110" zoomScaleNormal="110" workbookViewId="0">
      <selection activeCell="C7" sqref="C7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3" t="str">
        <f t="array" ref="C1">RTD("tickerplantrtdserver",,"FWRC1#USDINR#Month Wise Rates#0#S#Desc.2")</f>
        <v>TN</v>
      </c>
      <c r="D1" s="73" t="str">
        <f t="array" ref="D1">RTD("tickerplantrtdserver",,"FWRC1#USDINR#Month Wise Rates#0#S#Desc.7")</f>
        <v>1M</v>
      </c>
      <c r="E1" s="73" t="str">
        <f t="array" ref="E1">RTD("tickerplantrtdserver",,"FWRC1#USDINR#Month Wise Rates#0#S#Desc.8")</f>
        <v>2M</v>
      </c>
      <c r="F1" s="73" t="str">
        <f t="array" ref="F1">RTD("tickerplantrtdserver",,"FWRC1#USDINR#Month Wise Rates#0#S#Desc.9")</f>
        <v>3M</v>
      </c>
      <c r="G1" s="73" t="str">
        <f t="array" ref="G1">RTD("tickerplantrtdserver",,"FWRC1#USDINR#Month Wise Rates#0#S#Desc.10")</f>
        <v>4M</v>
      </c>
      <c r="H1" s="73" t="str">
        <f t="array" ref="H1">RTD("tickerplantrtdserver",,"FWRC1#USDINR#Month Wise Rates#0#S#Desc.11")</f>
        <v>5M</v>
      </c>
      <c r="I1" s="73" t="str">
        <f t="array" ref="I1">RTD("tickerplantrtdserver",,"FWRC1#USDINR#Month Wise Rates#0#S#Desc.12")</f>
        <v>6M</v>
      </c>
      <c r="J1" s="73" t="str">
        <f t="array" ref="J1">RTD("tickerplantrtdserver",,"FWRC1#USDINR#Month Wise Rates#0#S#Desc.13")</f>
        <v>7M</v>
      </c>
      <c r="K1" s="73" t="str">
        <f t="array" ref="K1">RTD("tickerplantrtdserver",,"FWRC1#USDINR#Month Wise Rates#0#S#Desc.14")</f>
        <v>8M</v>
      </c>
      <c r="L1" s="73" t="str">
        <f t="array" ref="L1">RTD("tickerplantrtdserver",,"FWRC1#USDINR#Month Wise Rates#0#S#Desc.15")</f>
        <v>9M</v>
      </c>
      <c r="M1" s="73" t="str">
        <f t="array" ref="M1">RTD("tickerplantrtdserver",,"FWRC1#USDINR#Month Wise Rates#0#S#Desc.16")</f>
        <v>10M</v>
      </c>
      <c r="N1" s="73" t="str">
        <f t="array" ref="N1">RTD("tickerplantrtdserver",,"FWRC1#USDINR#Month Wise Rates#0#S#Desc.17")</f>
        <v>11M</v>
      </c>
      <c r="O1" s="74" t="str">
        <f t="array" ref="O1">RTD("tickerplantrtdserver",,"FWRC1#USDINR#Month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2" t="str">
        <f t="array" ref="C2">RTD("tickerplantrtdserver",,"FWRC1#USDINR#Month Wise Rates#0#S#PillarDate2")</f>
        <v>19-May-2023</v>
      </c>
      <c r="D2" s="71" t="str">
        <f t="array" ref="D2">RTD("tickerplantrtdserver",,"FWRC1#USDINR#Month Wise Rates#0#S#PillarDate7")</f>
        <v>20-Jun-2023</v>
      </c>
      <c r="E2" s="71" t="str">
        <f t="array" ref="E2">RTD("tickerplantrtdserver",,"FWRC1#USDINR#Month Wise Rates#0#S#PillarDate8")</f>
        <v>19-Jul-2023</v>
      </c>
      <c r="F2" s="71" t="str">
        <f t="array" ref="F2">RTD("tickerplantrtdserver",,"FWRC1#USDINR#Month Wise Rates#0#S#PillarDate9")</f>
        <v>21-Aug-2023</v>
      </c>
      <c r="G2" s="71" t="str">
        <f t="array" ref="G2">RTD("tickerplantrtdserver",,"FWRC1#USDINR#Month Wise Rates#0#S#PillarDate10")</f>
        <v>20-Sep-2023</v>
      </c>
      <c r="H2" s="71" t="str">
        <f t="array" ref="H2">RTD("tickerplantrtdserver",,"FWRC1#USDINR#Month Wise Rates#0#S#PillarDate11")</f>
        <v>19-Oct-2023</v>
      </c>
      <c r="I2" s="71" t="str">
        <f t="array" ref="I2">RTD("tickerplantrtdserver",,"FWRC1#USDINR#Month Wise Rates#0#S#PillarDate12")</f>
        <v>20-Nov-2023</v>
      </c>
      <c r="J2" s="71" t="str">
        <f t="array" ref="J2">RTD("tickerplantrtdserver",,"FWRC1#USDINR#Month Wise Rates#0#S#PillarDate13")</f>
        <v>19-Dec-2023</v>
      </c>
      <c r="K2" s="71" t="str">
        <f t="array" ref="K2">RTD("tickerplantrtdserver",,"FWRC1#USDINR#Month Wise Rates#0#S#PillarDate14")</f>
        <v>19-Jan-2024</v>
      </c>
      <c r="L2" s="71" t="str">
        <f t="array" ref="L2">RTD("tickerplantrtdserver",,"FWRC1#USDINR#Month Wise Rates#0#S#PillarDate15")</f>
        <v>20-Feb-2024</v>
      </c>
      <c r="M2" s="71" t="str">
        <f t="array" ref="M2">RTD("tickerplantrtdserver",,"FWRC1#USDINR#Month Wise Rates#0#S#PillarDate16")</f>
        <v>19-Mar-2024</v>
      </c>
      <c r="N2" s="71" t="str">
        <f t="array" ref="N2">RTD("tickerplantrtdserver",,"FWRC1#USDINR#Month Wise Rates#0#S#PillarDate17")</f>
        <v>19-Apr-2024</v>
      </c>
      <c r="O2" s="75" t="str">
        <f t="array" ref="O2">RTD("tickerplantrtdserver",,"FWRC1#USDINR#Month Wise Rates#0#S#PillarDate18")</f>
        <v>20-May-2024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RTD("tickerplantrtdserver",,"FWRC1#USDINR#Month Wise Rates#0#BidPrice3")</f>
        <v>0.5</v>
      </c>
      <c r="D4" s="65">
        <f>RTD("tickerplantrtdserver",,"FWRC1#USDINR#Month Wise Rates#0#BidPrice7")</f>
        <v>8.6667000000000005</v>
      </c>
      <c r="E4" s="65">
        <f t="array" ref="E4">RTD("tickerplantrtdserver",,"FWRC1#USDINR#Month Wise Rates#0#BidPrice8")</f>
        <v>19.354800000000001</v>
      </c>
      <c r="F4" s="65">
        <f t="array" ref="F4">RTD("tickerplantrtdserver",,"FWRC1#USDINR#Month Wise Rates#0#BidPrice9")</f>
        <v>31.451599999999999</v>
      </c>
      <c r="G4" s="65">
        <f>RTD("tickerplantrtdserver",,"FWRC1#USDINR#Month Wise Rates#0#BidPrice10")</f>
        <v>43.2759</v>
      </c>
      <c r="H4" s="65">
        <f t="array" ref="H4">RTD("tickerplantrtdserver",,"FWRC1#USDINR#Month Wise Rates#0#BidPrice11")</f>
        <v>55.125</v>
      </c>
      <c r="I4" s="65">
        <f t="array" ref="I4">RTD("tickerplantrtdserver",,"FWRC1#USDINR#Month Wise Rates#0#BidPrice12")</f>
        <v>69.333299999999994</v>
      </c>
      <c r="J4" s="65">
        <f t="array" ref="J4">RTD("tickerplantrtdserver",,"FWRC1#USDINR#Month Wise Rates#0#BidPrice13")</f>
        <v>82.517200000000003</v>
      </c>
      <c r="K4" s="65">
        <f t="array" ref="K4">RTD("tickerplantrtdserver",,"FWRC1#USDINR#Month Wise Rates#0#BidPrice14")</f>
        <v>97.181799999999996</v>
      </c>
      <c r="L4" s="65">
        <f t="array" ref="L4">RTD("tickerplantrtdserver",,"FWRC1#USDINR#Month Wise Rates#0#BidPrice15")</f>
        <v>112.65519999999999</v>
      </c>
      <c r="M4" s="65">
        <f t="array" ref="M4">RTD("tickerplantrtdserver",,"FWRC1#USDINR#Month Wise Rates#0#BidPrice16")</f>
        <v>127.1786</v>
      </c>
      <c r="N4" s="65">
        <f t="array" ref="N4">RTD("tickerplantrtdserver",,"FWRC1#USDINR#Month Wise Rates#0#BidPrice17")</f>
        <v>148</v>
      </c>
      <c r="O4" s="67">
        <f t="array" ref="O4">RTD("tickerplantrtdserver",,"FWRC1#USDINR#Month Wise Rates#0#BidPrice18")</f>
        <v>170.5455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RTD("tickerplantrtdserver",,"FWRC1#USDINR#Month Wise Rates#0#AskPrice3")</f>
        <v>1</v>
      </c>
      <c r="D5" s="65">
        <f t="array" ref="D5">RTD("tickerplantrtdserver",,"FWRC1#USDINR#Month Wise Rates#0#AskPrice7")</f>
        <v>10.666700000000001</v>
      </c>
      <c r="E5" s="65">
        <f t="array" ref="E5">RTD("tickerplantrtdserver",,"FWRC1#USDINR#Month Wise Rates#0#AskPrice8")</f>
        <v>21.354800000000001</v>
      </c>
      <c r="F5" s="65">
        <f t="array" ref="F5">RTD("tickerplantrtdserver",,"FWRC1#USDINR#Month Wise Rates#0#AskPrice9")</f>
        <v>33.451599999999999</v>
      </c>
      <c r="G5" s="65">
        <f t="array" ref="G5">RTD("tickerplantrtdserver",,"FWRC1#USDINR#Month Wise Rates#0#AskPrice10")</f>
        <v>45.2759</v>
      </c>
      <c r="H5" s="65">
        <f t="array" ref="H5">RTD("tickerplantrtdserver",,"FWRC1#USDINR#Month Wise Rates#0#AskPrice11")</f>
        <v>57.125</v>
      </c>
      <c r="I5" s="65">
        <f t="array" ref="I5">RTD("tickerplantrtdserver",,"FWRC1#USDINR#Month Wise Rates#0#AskPrice12")</f>
        <v>71.333299999999994</v>
      </c>
      <c r="J5" s="65">
        <f t="array" ref="J5">RTD("tickerplantrtdserver",,"FWRC1#USDINR#Month Wise Rates#0#AskPrice13")</f>
        <v>84.517200000000003</v>
      </c>
      <c r="K5" s="65">
        <f t="array" ref="K5">RTD("tickerplantrtdserver",,"FWRC1#USDINR#Month Wise Rates#0#AskPrice14")</f>
        <v>99.181799999999996</v>
      </c>
      <c r="L5" s="65">
        <f t="array" ref="L5">RTD("tickerplantrtdserver",,"FWRC1#USDINR#Month Wise Rates#0#AskPrice15")</f>
        <v>114.65519999999999</v>
      </c>
      <c r="M5" s="65">
        <f t="array" ref="M5">RTD("tickerplantrtdserver",,"FWRC1#USDINR#Month Wise Rates#0#AskPrice16")</f>
        <v>129.17859999999999</v>
      </c>
      <c r="N5" s="65">
        <f t="array" ref="N5">RTD("tickerplantrtdserver",,"FWRC1#USDINR#Month Wise Rates#0#AskPrice17")</f>
        <v>150</v>
      </c>
      <c r="O5" s="67">
        <f t="array" ref="O5">RTD("tickerplantrtdserver",,"FWRC1#USDINR#Month Wise Rates#0#AskPrice18")</f>
        <v>172.5455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USDINR!F2</f>
        <v>82.375</v>
      </c>
      <c r="D7" s="64">
        <f>USDINR!B2+(D4/100)</f>
        <v>82.471667000000011</v>
      </c>
      <c r="E7" s="64">
        <f>USDINR!B2+(E4/100)</f>
        <v>82.578548000000012</v>
      </c>
      <c r="F7" s="64">
        <f>USDINR!B2+(F4/100)</f>
        <v>82.699516000000003</v>
      </c>
      <c r="G7" s="64">
        <f>USDINR!B2+(G4/100)</f>
        <v>82.817759000000009</v>
      </c>
      <c r="H7" s="64">
        <f>USDINR!B2+(H4/100)</f>
        <v>82.936250000000001</v>
      </c>
      <c r="I7" s="64">
        <f>USDINR!B2+(I4/100)</f>
        <v>83.078333000000001</v>
      </c>
      <c r="J7" s="64">
        <f>USDINR!B2+(J4/100)</f>
        <v>83.210172</v>
      </c>
      <c r="K7" s="64">
        <f>USDINR!B2+(K4/100)</f>
        <v>83.356818000000004</v>
      </c>
      <c r="L7" s="64">
        <f>USDINR!B2+(L4/100)</f>
        <v>83.511552000000009</v>
      </c>
      <c r="M7" s="64">
        <f>USDINR!B2+(M4/100)</f>
        <v>83.656786000000011</v>
      </c>
      <c r="N7" s="64">
        <f>USDINR!B2+(N4/100)</f>
        <v>83.865000000000009</v>
      </c>
      <c r="O7" s="68">
        <f>USDINR!B2+(O4/100)</f>
        <v>84.090455000000006</v>
      </c>
      <c r="P7" s="20"/>
    </row>
    <row r="8" spans="1:18" s="14" customFormat="1" x14ac:dyDescent="0.25">
      <c r="A8" s="160" t="s">
        <v>48</v>
      </c>
      <c r="B8" s="161"/>
      <c r="C8" s="64">
        <f>USDINR!F3</f>
        <v>82.393000000000001</v>
      </c>
      <c r="D8" s="64">
        <f>USDINR!B3+(D5/100)</f>
        <v>82.501666999999998</v>
      </c>
      <c r="E8" s="64">
        <f>USDINR!B3+(E5/100)</f>
        <v>82.608547999999999</v>
      </c>
      <c r="F8" s="64">
        <f>USDINR!B3+(F5/100)</f>
        <v>82.72951599999999</v>
      </c>
      <c r="G8" s="64">
        <f>USDINR!B3+(G5/100)</f>
        <v>82.847758999999996</v>
      </c>
      <c r="H8" s="64">
        <f>USDINR!B3+(H5/100)</f>
        <v>82.966250000000002</v>
      </c>
      <c r="I8" s="64">
        <f>USDINR!B3+(I5/100)</f>
        <v>83.108333000000002</v>
      </c>
      <c r="J8" s="64">
        <f>USDINR!B3+(J5/100)</f>
        <v>83.240172000000001</v>
      </c>
      <c r="K8" s="64">
        <f>USDINR!B3+(K5/100)</f>
        <v>83.386817999999991</v>
      </c>
      <c r="L8" s="64">
        <f>USDINR!B3+(L5/100)</f>
        <v>83.541551999999996</v>
      </c>
      <c r="M8" s="64">
        <f>USDINR!B3+(M5/100)</f>
        <v>83.686785999999998</v>
      </c>
      <c r="N8" s="64">
        <f>USDINR!B3+(N5/100)</f>
        <v>83.894999999999996</v>
      </c>
      <c r="O8" s="68">
        <f>USDINR!B3+(O5/100)</f>
        <v>84.120454999999993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>RTD("tickerplantrtdserver",,"FWRC1#USDINR#Month Wise Rates#0#Bid%3")</f>
        <v>0.73819999999999997</v>
      </c>
      <c r="D10" s="65">
        <f t="array" ref="D10">RTD("tickerplantrtdserver",,"FWRC1#USDINR#Month Wise Rates#0#Bid%7")</f>
        <v>1.1996</v>
      </c>
      <c r="E10" s="65">
        <f t="array" ref="E10">RTD("tickerplantrtdserver",,"FWRC1#USDINR#Month Wise Rates#0#Bid%8")</f>
        <v>1.4054</v>
      </c>
      <c r="F10" s="65">
        <f t="array" ref="F10">RTD("tickerplantrtdserver",,"FWRC1#USDINR#Month Wise Rates#0#Bid%9")</f>
        <v>1.482</v>
      </c>
      <c r="G10" s="65">
        <f t="array" ref="G10">RTD("tickerplantrtdserver",,"FWRC1#USDINR#Month Wise Rates#0#Bid%10")</f>
        <v>1.5458000000000001</v>
      </c>
      <c r="H10" s="65">
        <f t="array" ref="H10">RTD("tickerplantrtdserver",,"FWRC1#USDINR#Month Wise Rates#0#Bid%11")</f>
        <v>1.5959000000000001</v>
      </c>
      <c r="I10" s="65">
        <f t="array" ref="I10">RTD("tickerplantrtdserver",,"FWRC1#USDINR#Month Wise Rates#0#Bid%12")</f>
        <v>1.66</v>
      </c>
      <c r="J10" s="65">
        <f t="array" ref="J10">RTD("tickerplantrtdserver",,"FWRC1#USDINR#Month Wise Rates#0#Bid%13")</f>
        <v>1.7079</v>
      </c>
      <c r="K10" s="65">
        <f t="array" ref="K10">RTD("tickerplantrtdserver",,"FWRC1#USDINR#Month Wise Rates#0#Bid%14")</f>
        <v>1.7568999999999999</v>
      </c>
      <c r="L10" s="65">
        <f t="array" ref="L10">RTD("tickerplantrtdserver",,"FWRC1#USDINR#Month Wise Rates#0#Bid%15")</f>
        <v>1.8013999999999999</v>
      </c>
      <c r="M10" s="65">
        <f t="array" ref="M10">RTD("tickerplantrtdserver",,"FWRC1#USDINR#Month Wise Rates#0#Bid%16")</f>
        <v>1.8469</v>
      </c>
      <c r="N10" s="65">
        <f t="array" ref="N10">RTD("tickerplantrtdserver",,"FWRC1#USDINR#Month Wise Rates#0#Bid%17")</f>
        <v>1.9510000000000001</v>
      </c>
      <c r="O10" s="67">
        <f t="array" ref="O10">RTD("tickerplantrtdserver",,"FWRC1#USDINR#Month Wise Rates#0#Bid%18")</f>
        <v>2.0583</v>
      </c>
    </row>
    <row r="11" spans="1:18" s="14" customFormat="1" ht="15.75" thickBot="1" x14ac:dyDescent="0.3">
      <c r="A11" s="164" t="s">
        <v>48</v>
      </c>
      <c r="B11" s="165"/>
      <c r="C11" s="69">
        <f>RTD("tickerplantrtdserver",,"FWRC1#USDINR#Month Wise Rates#0#Ask%3")</f>
        <v>1.4764999999999999</v>
      </c>
      <c r="D11" s="69">
        <f t="array" ref="D11">RTD("tickerplantrtdserver",,"FWRC1#USDINR#Month Wise Rates#0#Ask%7")</f>
        <v>1.4764999999999999</v>
      </c>
      <c r="E11" s="69">
        <f t="array" ref="E11">RTD("tickerplantrtdserver",,"FWRC1#USDINR#Month Wise Rates#0#Ask%8")</f>
        <v>1.5507</v>
      </c>
      <c r="F11" s="69">
        <f t="array" ref="F11">RTD("tickerplantrtdserver",,"FWRC1#USDINR#Month Wise Rates#0#Ask%9")</f>
        <v>1.5764</v>
      </c>
      <c r="G11" s="69">
        <f t="array" ref="G11">RTD("tickerplantrtdserver",,"FWRC1#USDINR#Month Wise Rates#0#Ask%10")</f>
        <v>1.6173999999999999</v>
      </c>
      <c r="H11" s="69">
        <f t="array" ref="H11">RTD("tickerplantrtdserver",,"FWRC1#USDINR#Month Wise Rates#0#Ask%11")</f>
        <v>1.6538999999999999</v>
      </c>
      <c r="I11" s="69">
        <f t="array" ref="I11">RTD("tickerplantrtdserver",,"FWRC1#USDINR#Month Wise Rates#0#Ask%12")</f>
        <v>1.708</v>
      </c>
      <c r="J11" s="69">
        <f t="array" ref="J11">RTD("tickerplantrtdserver",,"FWRC1#USDINR#Month Wise Rates#0#Ask%13")</f>
        <v>1.7494000000000001</v>
      </c>
      <c r="K11" s="69">
        <f t="array" ref="K11">RTD("tickerplantrtdserver",,"FWRC1#USDINR#Month Wise Rates#0#Ask%14")</f>
        <v>1.7931999999999999</v>
      </c>
      <c r="L11" s="69">
        <f t="array" ref="L11">RTD("tickerplantrtdserver",,"FWRC1#USDINR#Month Wise Rates#0#Ask%15")</f>
        <v>1.8334999999999999</v>
      </c>
      <c r="M11" s="69">
        <f t="array" ref="M11">RTD("tickerplantrtdserver",,"FWRC1#USDINR#Month Wise Rates#0#Ask%16")</f>
        <v>1.8761000000000001</v>
      </c>
      <c r="N11" s="69">
        <f t="array" ref="N11">RTD("tickerplantrtdserver",,"FWRC1#USDINR#Month Wise Rates#0#Ask%17")</f>
        <v>1.9775</v>
      </c>
      <c r="O11" s="70">
        <f t="array" ref="O11">RTD("tickerplantrtdserver",,"FWRC1#USDINR#Month Wise Rates#0#Ask%18")</f>
        <v>2.0825999999999998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33"/>
      <c r="G15" s="34"/>
      <c r="H15" s="34"/>
      <c r="I15" s="34"/>
      <c r="J15" s="21"/>
      <c r="L15" s="58"/>
      <c r="M15" s="58"/>
      <c r="N15" s="58"/>
      <c r="P15" s="31"/>
      <c r="Q15" s="31"/>
      <c r="R15" s="31"/>
    </row>
    <row r="16" spans="1:18" s="14" customFormat="1" x14ac:dyDescent="0.25">
      <c r="A16" s="13"/>
      <c r="B16" s="21"/>
      <c r="C16" s="21"/>
      <c r="D16" s="58"/>
      <c r="E16" s="21"/>
      <c r="F16" s="33"/>
      <c r="G16" s="34"/>
      <c r="H16" s="34"/>
      <c r="I16" s="34"/>
      <c r="J16" s="21"/>
      <c r="L16" s="58"/>
      <c r="M16" s="58"/>
      <c r="N16" s="58"/>
      <c r="P16" s="31"/>
      <c r="Q16" s="31"/>
      <c r="R16" s="31"/>
    </row>
    <row r="17" spans="1:18" s="14" customFormat="1" x14ac:dyDescent="0.25">
      <c r="A17" s="13"/>
      <c r="B17" s="21"/>
      <c r="C17" s="21"/>
      <c r="D17" s="58"/>
      <c r="E17" s="21"/>
      <c r="F17" s="33"/>
      <c r="G17" s="34"/>
      <c r="H17" s="34"/>
      <c r="I17" s="34"/>
      <c r="J17" s="21"/>
      <c r="L17" s="58"/>
      <c r="M17" s="58"/>
      <c r="N17" s="58"/>
      <c r="P17" s="31"/>
      <c r="Q17" s="31"/>
      <c r="R17" s="31"/>
    </row>
    <row r="18" spans="1:18" s="14" customFormat="1" x14ac:dyDescent="0.25">
      <c r="A18" s="13"/>
      <c r="B18" s="21"/>
      <c r="C18" s="21"/>
      <c r="D18" s="58"/>
      <c r="E18" s="21"/>
      <c r="F18" s="33"/>
      <c r="G18" s="34"/>
      <c r="H18" s="34"/>
      <c r="I18" s="34"/>
      <c r="J18" s="21"/>
      <c r="L18" s="58"/>
      <c r="M18" s="58"/>
      <c r="N18" s="58"/>
      <c r="P18" s="31"/>
      <c r="Q18" s="31"/>
      <c r="R18" s="31"/>
    </row>
    <row r="19" spans="1:18" s="14" customFormat="1" x14ac:dyDescent="0.25">
      <c r="A19" s="13"/>
      <c r="B19" s="21"/>
      <c r="C19" s="21"/>
      <c r="D19" s="58"/>
      <c r="E19" s="21"/>
      <c r="F19" s="33"/>
      <c r="G19" s="34"/>
      <c r="H19" s="34"/>
      <c r="I19" s="34"/>
      <c r="J19" s="21"/>
      <c r="L19" s="58"/>
      <c r="M19" s="58"/>
      <c r="N19" s="58"/>
      <c r="P19" s="31"/>
      <c r="Q19" s="31"/>
      <c r="R19" s="31"/>
    </row>
    <row r="20" spans="1:18" s="14" customFormat="1" x14ac:dyDescent="0.25">
      <c r="A20" s="13"/>
      <c r="B20" s="21"/>
      <c r="C20" s="21"/>
      <c r="D20" s="58"/>
      <c r="E20" s="21"/>
      <c r="F20" s="33"/>
      <c r="G20" s="34"/>
      <c r="H20" s="34"/>
      <c r="I20" s="34"/>
      <c r="J20" s="21"/>
      <c r="L20" s="58"/>
      <c r="M20" s="58"/>
      <c r="N20" s="58"/>
      <c r="P20" s="31"/>
      <c r="Q20" s="31"/>
      <c r="R20" s="31"/>
    </row>
    <row r="21" spans="1:18" x14ac:dyDescent="0.25">
      <c r="A21" s="13"/>
      <c r="B21" s="21"/>
      <c r="C21" s="21"/>
      <c r="D21" s="58"/>
      <c r="E21" s="21"/>
      <c r="F21" s="33"/>
      <c r="G21" s="34"/>
      <c r="H21" s="34"/>
      <c r="I21" s="34"/>
      <c r="J21" s="21"/>
      <c r="K21" s="14"/>
      <c r="L21" s="58"/>
      <c r="M21" s="58"/>
      <c r="N21" s="58"/>
      <c r="O21" s="14"/>
      <c r="P21" s="31"/>
      <c r="Q21" s="31"/>
      <c r="R21" s="31"/>
    </row>
    <row r="22" spans="1:18" x14ac:dyDescent="0.25">
      <c r="A22" s="13"/>
      <c r="B22" s="21"/>
      <c r="C22" s="21"/>
      <c r="D22" s="58"/>
      <c r="E22" s="21"/>
      <c r="F22" s="33"/>
      <c r="G22" s="34"/>
      <c r="H22" s="34"/>
      <c r="I22" s="34"/>
      <c r="J22" s="21"/>
      <c r="K22" s="14"/>
      <c r="L22" s="58"/>
      <c r="M22" s="58"/>
      <c r="N22" s="58"/>
      <c r="O22" s="14"/>
      <c r="P22" s="31"/>
      <c r="Q22" s="31"/>
      <c r="R22" s="31"/>
    </row>
    <row r="23" spans="1:18" x14ac:dyDescent="0.25">
      <c r="A23" s="13"/>
      <c r="B23" s="21"/>
      <c r="C23" s="21"/>
      <c r="D23" s="58"/>
      <c r="E23" s="21"/>
      <c r="F23" s="33"/>
      <c r="G23" s="34"/>
      <c r="H23" s="34"/>
      <c r="I23" s="34"/>
      <c r="J23" s="21"/>
      <c r="K23" s="14"/>
      <c r="L23" s="58"/>
      <c r="M23" s="58"/>
      <c r="N23" s="58"/>
      <c r="O23" s="14"/>
      <c r="P23" s="31"/>
      <c r="Q23" s="31"/>
      <c r="R23" s="31"/>
    </row>
    <row r="24" spans="1:18" s="2" customFormat="1" x14ac:dyDescent="0.25">
      <c r="A24" s="13"/>
      <c r="B24" s="21"/>
      <c r="C24" s="21"/>
      <c r="D24" s="58"/>
      <c r="E24" s="21"/>
      <c r="F24" s="33"/>
      <c r="G24" s="34"/>
      <c r="H24" s="34"/>
      <c r="I24" s="34"/>
      <c r="J24" s="21"/>
      <c r="K24" s="14"/>
      <c r="L24" s="58"/>
      <c r="M24" s="58"/>
      <c r="N24" s="58"/>
      <c r="O24" s="14"/>
      <c r="P24" s="31"/>
      <c r="Q24" s="31"/>
      <c r="R24" s="31"/>
    </row>
    <row r="25" spans="1:18" x14ac:dyDescent="0.25">
      <c r="A25" s="13"/>
      <c r="B25" s="21"/>
      <c r="C25" s="21"/>
      <c r="D25" s="58"/>
      <c r="E25" s="21"/>
      <c r="F25" s="33"/>
      <c r="G25" s="34"/>
      <c r="H25" s="34"/>
      <c r="I25" s="34"/>
      <c r="J25" s="21"/>
      <c r="K25" s="14"/>
      <c r="L25" s="58"/>
      <c r="M25" s="58"/>
      <c r="N25" s="58"/>
      <c r="O25" s="14"/>
      <c r="P25" s="31"/>
      <c r="Q25" s="31"/>
      <c r="R25" s="31"/>
    </row>
    <row r="26" spans="1:18" x14ac:dyDescent="0.25">
      <c r="A26" s="13"/>
      <c r="B26" s="21"/>
      <c r="C26" s="21"/>
      <c r="D26" s="58"/>
      <c r="E26" s="21"/>
      <c r="F26" s="33"/>
      <c r="G26" s="34"/>
      <c r="H26" s="34"/>
      <c r="I26" s="34"/>
      <c r="J26" s="21"/>
      <c r="K26" s="14"/>
      <c r="L26" s="58"/>
      <c r="M26" s="58"/>
      <c r="N26" s="58"/>
      <c r="O26" s="14"/>
      <c r="P26" s="31"/>
      <c r="Q26" s="31"/>
      <c r="R26" s="31"/>
    </row>
    <row r="27" spans="1:18" x14ac:dyDescent="0.25">
      <c r="A27" s="13"/>
      <c r="B27" s="21"/>
      <c r="C27" s="21"/>
      <c r="D27" s="58"/>
      <c r="E27" s="21"/>
      <c r="F27" s="33"/>
      <c r="G27" s="34"/>
      <c r="H27" s="34"/>
      <c r="I27" s="34"/>
      <c r="J27" s="21"/>
      <c r="K27" s="14"/>
      <c r="L27" s="58"/>
      <c r="M27" s="58"/>
      <c r="N27" s="58"/>
      <c r="O27" s="14"/>
      <c r="P27" s="31"/>
      <c r="Q27" s="31"/>
      <c r="R27" s="31"/>
    </row>
    <row r="28" spans="1:18" x14ac:dyDescent="0.25">
      <c r="A28" s="13"/>
      <c r="B28" s="21"/>
      <c r="C28" s="21"/>
      <c r="D28" s="58"/>
      <c r="E28" s="21"/>
      <c r="F28" s="33"/>
      <c r="G28" s="34"/>
      <c r="H28" s="34"/>
      <c r="I28" s="34"/>
      <c r="J28" s="21"/>
      <c r="K28" s="14"/>
      <c r="L28" s="58"/>
      <c r="M28" s="58"/>
      <c r="N28" s="58"/>
      <c r="O28" s="14"/>
      <c r="P28" s="31"/>
      <c r="Q28" s="31"/>
      <c r="R28" s="31"/>
    </row>
    <row r="29" spans="1:18" x14ac:dyDescent="0.25">
      <c r="A29" s="13"/>
      <c r="B29" s="21"/>
      <c r="C29" s="21"/>
      <c r="D29" s="58"/>
      <c r="E29" s="21"/>
      <c r="F29" s="33"/>
      <c r="G29" s="34"/>
      <c r="H29" s="34"/>
      <c r="I29" s="34"/>
      <c r="J29" s="21"/>
      <c r="K29" s="14"/>
      <c r="L29" s="58"/>
      <c r="M29" s="58"/>
      <c r="N29" s="58"/>
      <c r="O29" s="14"/>
      <c r="P29" s="31"/>
      <c r="Q29" s="31"/>
      <c r="R29" s="31"/>
    </row>
    <row r="30" spans="1:18" x14ac:dyDescent="0.25">
      <c r="A30" s="13"/>
      <c r="B30" s="21"/>
      <c r="C30" s="21"/>
      <c r="D30" s="58"/>
      <c r="E30" s="21"/>
      <c r="F30" s="33"/>
      <c r="G30" s="34"/>
      <c r="H30" s="34"/>
      <c r="I30" s="34"/>
      <c r="J30" s="21"/>
      <c r="K30" s="14"/>
      <c r="L30" s="58"/>
      <c r="M30" s="58"/>
      <c r="N30" s="58"/>
      <c r="O30" s="14"/>
      <c r="P30" s="31"/>
      <c r="Q30" s="31"/>
      <c r="R30" s="31"/>
    </row>
    <row r="31" spans="1:18" x14ac:dyDescent="0.25">
      <c r="A31" s="13"/>
      <c r="B31" s="21"/>
      <c r="C31" s="21"/>
      <c r="D31" s="58"/>
      <c r="E31" s="21"/>
      <c r="F31" s="33"/>
      <c r="G31" s="34"/>
      <c r="H31" s="34"/>
      <c r="I31" s="34"/>
      <c r="J31" s="21"/>
      <c r="K31" s="14"/>
      <c r="L31" s="58"/>
      <c r="M31" s="58"/>
      <c r="N31" s="58"/>
      <c r="O31" s="14"/>
      <c r="P31" s="31"/>
      <c r="Q31" s="31"/>
      <c r="R31" s="31"/>
    </row>
    <row r="32" spans="1:18" x14ac:dyDescent="0.25">
      <c r="A32" s="13"/>
      <c r="B32" s="21"/>
      <c r="C32" s="21"/>
      <c r="D32" s="58"/>
      <c r="E32" s="21"/>
      <c r="F32" s="33"/>
      <c r="G32" s="34"/>
      <c r="H32" s="34"/>
      <c r="I32" s="34"/>
      <c r="J32" s="21"/>
      <c r="K32" s="14"/>
      <c r="L32" s="58"/>
      <c r="M32" s="58"/>
      <c r="N32" s="58"/>
      <c r="O32" s="14"/>
      <c r="P32" s="31"/>
      <c r="Q32" s="31"/>
      <c r="R32" s="31"/>
    </row>
    <row r="33" spans="1:18" x14ac:dyDescent="0.25">
      <c r="A33" s="13"/>
      <c r="B33" s="21"/>
      <c r="C33" s="21"/>
      <c r="D33" s="58"/>
      <c r="E33" s="21"/>
      <c r="F33" s="33"/>
      <c r="G33" s="34"/>
      <c r="H33" s="34"/>
      <c r="I33" s="34"/>
      <c r="J33" s="21"/>
      <c r="K33" s="14"/>
      <c r="L33" s="58"/>
      <c r="M33" s="58"/>
      <c r="N33" s="58"/>
      <c r="O33" s="14"/>
      <c r="P33" s="31"/>
      <c r="Q33" s="31"/>
      <c r="R33" s="31"/>
    </row>
    <row r="36" spans="1:18" x14ac:dyDescent="0.25">
      <c r="A36" s="1"/>
      <c r="B36" s="1"/>
    </row>
    <row r="42" spans="1:18" x14ac:dyDescent="0.25">
      <c r="F42" s="56"/>
      <c r="G42" s="56"/>
    </row>
    <row r="43" spans="1:18" x14ac:dyDescent="0.25">
      <c r="F43" s="56"/>
      <c r="G43" s="56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0"/>
  <sheetViews>
    <sheetView zoomScale="110" zoomScaleNormal="110" workbookViewId="0">
      <selection activeCell="C4" sqref="C4"/>
    </sheetView>
  </sheetViews>
  <sheetFormatPr defaultRowHeight="15" x14ac:dyDescent="0.25"/>
  <cols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RTD("tickerplantrtdserver",,"FWRC1#EURINR#Month End Rates#0#S#Desc.2")</f>
        <v>CASH/SPOT</v>
      </c>
      <c r="D1" s="76" t="str">
        <f t="array" ref="D1">RTD("tickerplantrtdserver",,"FWRC1#EURINR#Month End Rates#0#S#Desc.4")</f>
        <v>MAY-2023</v>
      </c>
      <c r="E1" s="76" t="str">
        <f t="array" ref="E1">RTD("tickerplantrtdserver",,"FWRC1#EURINR#Month End Rates#0#S#Desc.5")</f>
        <v>JUN-2023</v>
      </c>
      <c r="F1" s="76" t="str">
        <f t="array" ref="F1">RTD("tickerplantrtdserver",,"FWRC1#EURINR#Month End Rates#0#S#Desc.6")</f>
        <v>JUL-2023</v>
      </c>
      <c r="G1" s="76" t="str">
        <f t="array" ref="G1">RTD("tickerplantrtdserver",,"FWRC1#EURINR#Month End Rates#0#S#Desc.7")</f>
        <v>AUG-2023</v>
      </c>
      <c r="H1" s="76" t="str">
        <f t="array" ref="H1">RTD("tickerplantrtdserver",,"FWRC1#EURINR#Month End Rates#0#S#Desc.8")</f>
        <v>SEP-2023</v>
      </c>
      <c r="I1" s="76" t="str">
        <f t="array" ref="I1">RTD("tickerplantrtdserver",,"FWRC1#EURINR#Month End Rates#0#S#Desc.9")</f>
        <v>OCT-2023</v>
      </c>
      <c r="J1" s="76" t="str">
        <f t="array" ref="J1">RTD("tickerplantrtdserver",,"FWRC1#EURINR#Month End Rates#0#S#Desc.10")</f>
        <v>NOV-2023</v>
      </c>
      <c r="K1" s="76" t="str">
        <f t="array" ref="K1">RTD("tickerplantrtdserver",,"FWRC1#EURINR#Month End Rates#0#S#Desc.11")</f>
        <v>DEC-2023</v>
      </c>
      <c r="L1" s="76" t="str">
        <f t="array" ref="L1">RTD("tickerplantrtdserver",,"FWRC1#EURINR#Month End Rates#0#S#Desc.12")</f>
        <v>JAN-2024</v>
      </c>
      <c r="M1" s="76" t="str">
        <f t="array" ref="M1">RTD("tickerplantrtdserver",,"FWRC1#EURINR#Month End Rates#0#S#Desc.13")</f>
        <v>FEB-2024</v>
      </c>
      <c r="N1" s="76" t="str">
        <f t="array" ref="N1">RTD("tickerplantrtdserver",,"FWRC1#EURINR#Month End Rates#0#S#Desc.14")</f>
        <v>MAR-2024</v>
      </c>
      <c r="O1" s="77" t="str">
        <f t="array" ref="O1">RTD("tickerplantrtdserver",,"FWRC1#EURINR#Month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RTD("tickerplantrtdserver",,"FWRC1#EURINR#Month End Rates#0#S#MonthEndDate2")</f>
        <v>19-May-2023</v>
      </c>
      <c r="D2" s="71" t="str">
        <f t="array" ref="D2">RTD("tickerplantrtdserver",,"FWRC1#EURINR#Month End Rates#0#S#MonthEndDate4")</f>
        <v>31-May-2023</v>
      </c>
      <c r="E2" s="71" t="str">
        <f t="array" ref="E2">RTD("tickerplantrtdserver",,"FWRC1#EURINR#Month End Rates#0#S#MonthEndDate5")</f>
        <v>30-Jun-2023</v>
      </c>
      <c r="F2" s="71" t="str">
        <f t="array" ref="F2">RTD("tickerplantrtdserver",,"FWRC1#EURINR#Month End Rates#0#S#MonthEndDate6")</f>
        <v>31-Jul-2023</v>
      </c>
      <c r="G2" s="71" t="str">
        <f t="array" ref="G2">RTD("tickerplantrtdserver",,"FWRC1#EURINR#Month End Rates#0#S#MonthEndDate7")</f>
        <v>31-Aug-2023</v>
      </c>
      <c r="H2" s="71" t="str">
        <f t="array" ref="H2">RTD("tickerplantrtdserver",,"FWRC1#EURINR#Month End Rates#0#S#MonthEndDate8")</f>
        <v>29-Sep-2023</v>
      </c>
      <c r="I2" s="71" t="str">
        <f t="array" ref="I2">RTD("tickerplantrtdserver",,"FWRC1#EURINR#Month End Rates#0#S#MonthEndDate9")</f>
        <v>31-Oct-2023</v>
      </c>
      <c r="J2" s="71" t="str">
        <f t="array" ref="J2">RTD("tickerplantrtdserver",,"FWRC1#EURINR#Month End Rates#0#S#MonthEndDate10")</f>
        <v>30-Nov-2023</v>
      </c>
      <c r="K2" s="71" t="str">
        <f t="array" ref="K2">RTD("tickerplantrtdserver",,"FWRC1#EURINR#Month End Rates#0#S#MonthEndDate11")</f>
        <v>29-Dec-2023</v>
      </c>
      <c r="L2" s="71" t="str">
        <f t="array" ref="L2">RTD("tickerplantrtdserver",,"FWRC1#EURINR#Month End Rates#0#S#MonthEndDate12")</f>
        <v>31-Jan-2024</v>
      </c>
      <c r="M2" s="71" t="str">
        <f t="array" ref="M2">RTD("tickerplantrtdserver",,"FWRC1#EURINR#Month End Rates#0#S#MonthEndDate13")</f>
        <v>29-Feb-2024</v>
      </c>
      <c r="N2" s="71" t="str">
        <f t="array" ref="N2">RTD("tickerplantrtdserver",,"FWRC1#EURINR#Month End Rates#0#S#MonthEndDate14")</f>
        <v>28-Mar-2024</v>
      </c>
      <c r="O2" s="75" t="str">
        <f t="array" ref="O2">RTD("tickerplantrtdserver",,"FWRC1#EURINR#Month End Rates#0#S#MonthEndDate15")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RTD("tickerplantrtdserver",,"FWRC1#EURINR#Month End Rates#0#BidPrice2")</f>
        <v>1.3954</v>
      </c>
      <c r="D4" s="65">
        <f t="array" ref="D4">RTD("tickerplantrtdserver",,"FWRC1#EURINR#Month End Rates#0#BidPrice4")</f>
        <v>9.6024999999999991</v>
      </c>
      <c r="E4" s="65">
        <f>RTD("tickerplantrtdserver",,"FWRC1#EURINR#Month End Rates#0#BidPrice5")</f>
        <v>35.72</v>
      </c>
      <c r="F4" s="65">
        <f t="array" ref="F4">RTD("tickerplantrtdserver",,"FWRC1#EURINR#Month End Rates#0#BidPrice6")</f>
        <v>62.085000000000001</v>
      </c>
      <c r="G4" s="65">
        <f t="array" ref="G4">RTD("tickerplantrtdserver",,"FWRC1#EURINR#Month End Rates#0#BidPrice7")</f>
        <v>88.307500000000005</v>
      </c>
      <c r="H4" s="65">
        <f t="array" ref="H4">RTD("tickerplantrtdserver",,"FWRC1#EURINR#Month End Rates#0#BidPrice8")</f>
        <v>113.5775</v>
      </c>
      <c r="I4" s="65">
        <f t="array" ref="I4">RTD("tickerplantrtdserver",,"FWRC1#EURINR#Month End Rates#0#BidPrice9")</f>
        <v>140.715</v>
      </c>
      <c r="J4" s="65">
        <f t="array" ref="J4">RTD("tickerplantrtdserver",,"FWRC1#EURINR#Month End Rates#0#BidPrice10")</f>
        <v>165.21250000000001</v>
      </c>
      <c r="K4" s="65">
        <f t="array" ref="K4">RTD("tickerplantrtdserver",,"FWRC1#EURINR#Month End Rates#0#BidPrice11")</f>
        <v>196.16749999999999</v>
      </c>
      <c r="L4" s="65">
        <f t="array" ref="L4">RTD("tickerplantrtdserver",,"FWRC1#EURINR#Month End Rates#0#BidPrice12")</f>
        <v>223.24</v>
      </c>
      <c r="M4" s="65">
        <f t="array" ref="M4">RTD("tickerplantrtdserver",,"FWRC1#EURINR#Month End Rates#0#BidPrice13")</f>
        <v>246.72499999999999</v>
      </c>
      <c r="N4" s="65">
        <f t="array" ref="N4">RTD("tickerplantrtdserver",,"FWRC1#EURINR#Month End Rates#0#BidPrice14")</f>
        <v>276.13499999999999</v>
      </c>
      <c r="O4" s="67">
        <f t="array" ref="O4">RTD("tickerplantrtdserver",,"FWRC1#EURINR#Month End Rates#0#BidPrice15")</f>
        <v>308.59500000000003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RTD("tickerplantrtdserver",,"FWRC1#EURINR#Month End Rates#0#AskPrice2")</f>
        <v>3.1499000000000001</v>
      </c>
      <c r="D5" s="65">
        <f t="array" ref="D5">RTD("tickerplantrtdserver",,"FWRC1#EURINR#Month End Rates#0#AskPrice4")</f>
        <v>10.48</v>
      </c>
      <c r="E5" s="65">
        <f t="array" ref="E5">RTD("tickerplantrtdserver",,"FWRC1#EURINR#Month End Rates#0#AskPrice5")</f>
        <v>37.335000000000001</v>
      </c>
      <c r="F5" s="65">
        <f t="array" ref="F5">RTD("tickerplantrtdserver",,"FWRC1#EURINR#Month End Rates#0#AskPrice6")</f>
        <v>63.942500000000003</v>
      </c>
      <c r="G5" s="65">
        <f t="array" ref="G5">RTD("tickerplantrtdserver",,"FWRC1#EURINR#Month End Rates#0#AskPrice7")</f>
        <v>90.65</v>
      </c>
      <c r="H5" s="65">
        <f t="array" ref="H5">RTD("tickerplantrtdserver",,"FWRC1#EURINR#Month End Rates#0#AskPrice8")</f>
        <v>116.175</v>
      </c>
      <c r="I5" s="65">
        <f t="array" ref="I5">RTD("tickerplantrtdserver",,"FWRC1#EURINR#Month End Rates#0#AskPrice9")</f>
        <v>143.26750000000001</v>
      </c>
      <c r="J5" s="65">
        <f t="array" ref="J5">RTD("tickerplantrtdserver",,"FWRC1#EURINR#Month End Rates#0#AskPrice10")</f>
        <v>169.8725</v>
      </c>
      <c r="K5" s="65">
        <f t="array" ref="K5">RTD("tickerplantrtdserver",,"FWRC1#EURINR#Month End Rates#0#AskPrice11")</f>
        <v>199.86250000000001</v>
      </c>
      <c r="L5" s="65">
        <f t="array" ref="L5">RTD("tickerplantrtdserver",,"FWRC1#EURINR#Month End Rates#0#AskPrice12")</f>
        <v>227.23249999999999</v>
      </c>
      <c r="M5" s="65">
        <f t="array" ref="M5">RTD("tickerplantrtdserver",,"FWRC1#EURINR#Month End Rates#0#AskPrice13")</f>
        <v>252.72499999999999</v>
      </c>
      <c r="N5" s="65">
        <f t="array" ref="N5">RTD("tickerplantrtdserver",,"FWRC1#EURINR#Month End Rates#0#AskPrice14")</f>
        <v>282.54000000000002</v>
      </c>
      <c r="O5" s="67">
        <f t="array" ref="O5">RTD("tickerplantrtdserver",,"FWRC1#EURINR#Month End Rates#0#AskPrice15")</f>
        <v>313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RTD("tickerplantrtdserver",,"FWRC1#EURINR#Month End Rates#0#FwdOutrightBid2")</f>
        <v>89.45</v>
      </c>
      <c r="D7" s="64">
        <f>RTD("tickerplantrtdserver",,"FWRC1#EURINR#Month End Rates#0#FwdOutrightBid4")</f>
        <v>89.546000000000006</v>
      </c>
      <c r="E7" s="64">
        <f t="array" ref="E7">RTD("tickerplantrtdserver",,"FWRC1#EURINR#Month End Rates#0#FwdOutrightBid5")</f>
        <v>89.807199999999995</v>
      </c>
      <c r="F7" s="64">
        <f>RTD("tickerplantrtdserver",,"FWRC1#EURINR#Month End Rates#0#FwdOutrightBid6")</f>
        <v>90.070899999999995</v>
      </c>
      <c r="G7" s="64">
        <f t="array" ref="G7">RTD("tickerplantrtdserver",,"FWRC1#EURINR#Month End Rates#0#FwdOutrightBid7")</f>
        <v>90.333100000000002</v>
      </c>
      <c r="H7" s="64">
        <f t="array" ref="H7">RTD("tickerplantrtdserver",,"FWRC1#EURINR#Month End Rates#0#FwdOutrightBid8")</f>
        <v>90.585800000000006</v>
      </c>
      <c r="I7" s="64">
        <f t="array" ref="I7">RTD("tickerplantrtdserver",,"FWRC1#EURINR#Month End Rates#0#FwdOutrightBid9")</f>
        <v>90.857200000000006</v>
      </c>
      <c r="J7" s="64">
        <f t="array" ref="J7">RTD("tickerplantrtdserver",,"FWRC1#EURINR#Month End Rates#0#FwdOutrightBid10")</f>
        <v>91.102099999999993</v>
      </c>
      <c r="K7" s="64">
        <f t="array" ref="K7">RTD("tickerplantrtdserver",,"FWRC1#EURINR#Month End Rates#0#FwdOutrightBid11")</f>
        <v>91.411699999999996</v>
      </c>
      <c r="L7" s="64">
        <f t="array" ref="L7">RTD("tickerplantrtdserver",,"FWRC1#EURINR#Month End Rates#0#FwdOutrightBid12")</f>
        <v>91.682400000000001</v>
      </c>
      <c r="M7" s="64">
        <f t="array" ref="M7">RTD("tickerplantrtdserver",,"FWRC1#EURINR#Month End Rates#0#FwdOutrightBid13")</f>
        <v>91.917299999999997</v>
      </c>
      <c r="N7" s="64">
        <f t="array" ref="N7">RTD("tickerplantrtdserver",,"FWRC1#EURINR#Month End Rates#0#FwdOutrightBid14")</f>
        <v>92.211399999999998</v>
      </c>
      <c r="O7" s="68">
        <f t="array" ref="O7">RTD("tickerplantrtdserver",,"FWRC1#EURINR#Month End Rates#0#FwdOutrightBid15")</f>
        <v>92.536000000000001</v>
      </c>
      <c r="P7" s="20"/>
    </row>
    <row r="8" spans="1:18" s="14" customFormat="1" x14ac:dyDescent="0.25">
      <c r="A8" s="160" t="s">
        <v>48</v>
      </c>
      <c r="B8" s="161"/>
      <c r="C8" s="64">
        <f>RTD("tickerplantrtdserver",,"FWRC1#EURINR#Month End Rates#0#FwdOutrightAsk2")</f>
        <v>89.462500000000006</v>
      </c>
      <c r="D8" s="64">
        <f t="array" ref="D8">RTD("tickerplantrtdserver",,"FWRC1#EURINR#Month End Rates#0#FwdOutrightAsk4")</f>
        <v>89.567300000000003</v>
      </c>
      <c r="E8" s="64">
        <f t="array" ref="E8">RTD("tickerplantrtdserver",,"FWRC1#EURINR#Month End Rates#0#FwdOutrightAsk5")</f>
        <v>89.835899999999995</v>
      </c>
      <c r="F8" s="64">
        <f t="array" ref="F8">RTD("tickerplantrtdserver",,"FWRC1#EURINR#Month End Rates#0#FwdOutrightAsk6")</f>
        <v>90.101900000000001</v>
      </c>
      <c r="G8" s="64">
        <f t="array" ref="G8">RTD("tickerplantrtdserver",,"FWRC1#EURINR#Month End Rates#0#FwdOutrightAsk7")</f>
        <v>90.369</v>
      </c>
      <c r="H8" s="64">
        <f t="array" ref="H8">RTD("tickerplantrtdserver",,"FWRC1#EURINR#Month End Rates#0#FwdOutrightAsk8")</f>
        <v>90.624300000000005</v>
      </c>
      <c r="I8" s="64">
        <f t="array" ref="I8">RTD("tickerplantrtdserver",,"FWRC1#EURINR#Month End Rates#0#FwdOutrightAsk9")</f>
        <v>90.895200000000003</v>
      </c>
      <c r="J8" s="64">
        <f t="array" ref="J8">RTD("tickerplantrtdserver",,"FWRC1#EURINR#Month End Rates#0#FwdOutrightAsk10")</f>
        <v>91.161199999999994</v>
      </c>
      <c r="K8" s="64">
        <f t="array" ref="K8">RTD("tickerplantrtdserver",,"FWRC1#EURINR#Month End Rates#0#FwdOutrightAsk11")</f>
        <v>91.461100000000002</v>
      </c>
      <c r="L8" s="64">
        <f t="array" ref="L8">RTD("tickerplantrtdserver",,"FWRC1#EURINR#Month End Rates#0#FwdOutrightAsk12")</f>
        <v>91.734800000000007</v>
      </c>
      <c r="M8" s="64">
        <f t="array" ref="M8">RTD("tickerplantrtdserver",,"FWRC1#EURINR#Month End Rates#0#FwdOutrightAsk13")</f>
        <v>91.989800000000002</v>
      </c>
      <c r="N8" s="64">
        <f t="array" ref="N8">RTD("tickerplantrtdserver",,"FWRC1#EURINR#Month End Rates#0#FwdOutrightAsk14")</f>
        <v>92.287899999999993</v>
      </c>
      <c r="O8" s="68">
        <f t="array" ref="O8">RTD("tickerplantrtdserver",,"FWRC1#EURINR#Month End Rates#0#FwdOutrightAsk15")</f>
        <v>92.592500000000001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RTD("tickerplantrtdserver",,"FWRC1#EURINR#Month End Rates#0#Bid%2")</f>
        <v>2.8466</v>
      </c>
      <c r="D10" s="65">
        <f t="array" ref="D10">RTD("tickerplantrtdserver",,"FWRC1#EURINR#Month End Rates#0#Bid%4")</f>
        <v>3.2648000000000001</v>
      </c>
      <c r="E10" s="65">
        <f t="array" ref="E10">RTD("tickerplantrtdserver",,"FWRC1#EURINR#Month End Rates#0#Bid%5")</f>
        <v>3.4699</v>
      </c>
      <c r="F10" s="65">
        <f t="array" ref="F10">RTD("tickerplantrtdserver",,"FWRC1#EURINR#Month End Rates#0#Bid%6")</f>
        <v>3.4699</v>
      </c>
      <c r="G10" s="65">
        <f t="array" ref="G10">RTD("tickerplantrtdserver",,"FWRC1#EURINR#Month End Rates#0#Bid%7")</f>
        <v>3.4643000000000002</v>
      </c>
      <c r="H10" s="65">
        <f t="array" ref="H10">RTD("tickerplantrtdserver",,"FWRC1#EURINR#Month End Rates#0#Bid%8")</f>
        <v>3.4841000000000002</v>
      </c>
      <c r="I10" s="65">
        <f t="array" ref="I10">RTD("tickerplantrtdserver",,"FWRC1#EURINR#Month End Rates#0#Bid%9")</f>
        <v>3.4794</v>
      </c>
      <c r="J10" s="65">
        <f t="array" ref="J10">RTD("tickerplantrtdserver",,"FWRC1#EURINR#Month End Rates#0#Bid%10")</f>
        <v>3.4567000000000001</v>
      </c>
      <c r="K10" s="65">
        <f t="array" ref="K10">RTD("tickerplantrtdserver",,"FWRC1#EURINR#Month End Rates#0#Bid%11")</f>
        <v>3.573</v>
      </c>
      <c r="L10" s="65">
        <f t="array" ref="L10">RTD("tickerplantrtdserver",,"FWRC1#EURINR#Month End Rates#0#Bid%12")</f>
        <v>3.544</v>
      </c>
      <c r="M10" s="65">
        <f t="array" ref="M10">RTD("tickerplantrtdserver",,"FWRC1#EURINR#Month End Rates#0#Bid%13")</f>
        <v>3.5196000000000001</v>
      </c>
      <c r="N10" s="65">
        <f t="array" ref="N10">RTD("tickerplantrtdserver",,"FWRC1#EURINR#Month End Rates#0#Bid%14")</f>
        <v>3.5878999999999999</v>
      </c>
      <c r="O10" s="67">
        <f t="array" ref="O10">RTD("tickerplantrtdserver",,"FWRC1#EURINR#Month End Rates#0#Bid%15")</f>
        <v>3.6284000000000001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RTD("tickerplantrtdserver",,"FWRC1#EURINR#Month End Rates#0#Ask%2")</f>
        <v>6.4265999999999996</v>
      </c>
      <c r="D11" s="69">
        <f t="array" ref="D11">RTD("tickerplantrtdserver",,"FWRC1#EURINR#Month End Rates#0#Ask%4")</f>
        <v>3.5636000000000001</v>
      </c>
      <c r="E11" s="69">
        <f t="array" ref="E11">RTD("tickerplantrtdserver",,"FWRC1#EURINR#Month End Rates#0#Ask%5")</f>
        <v>3.6273</v>
      </c>
      <c r="F11" s="69">
        <f t="array" ref="F11">RTD("tickerplantrtdserver",,"FWRC1#EURINR#Month End Rates#0#Ask%6")</f>
        <v>3.5741999999999998</v>
      </c>
      <c r="G11" s="69">
        <f t="array" ref="G11">RTD("tickerplantrtdserver",,"FWRC1#EURINR#Month End Rates#0#Ask%7")</f>
        <v>3.5567000000000002</v>
      </c>
      <c r="H11" s="69">
        <f t="array" ref="H11">RTD("tickerplantrtdserver",,"FWRC1#EURINR#Month End Rates#0#Ask%8")</f>
        <v>3.5642999999999998</v>
      </c>
      <c r="I11" s="69">
        <f t="array" ref="I11">RTD("tickerplantrtdserver",,"FWRC1#EURINR#Month End Rates#0#Ask%9")</f>
        <v>3.5430000000000001</v>
      </c>
      <c r="J11" s="69">
        <f t="array" ref="J11">RTD("tickerplantrtdserver",,"FWRC1#EURINR#Month End Rates#0#Ask%10")</f>
        <v>3.5547</v>
      </c>
      <c r="K11" s="69">
        <f t="array" ref="K11">RTD("tickerplantrtdserver",,"FWRC1#EURINR#Month End Rates#0#Ask%11")</f>
        <v>3.6408</v>
      </c>
      <c r="L11" s="69">
        <f t="array" ref="L11">RTD("tickerplantrtdserver",,"FWRC1#EURINR#Month End Rates#0#Ask%12")</f>
        <v>3.6078999999999999</v>
      </c>
      <c r="M11" s="69">
        <f t="array" ref="M11">RTD("tickerplantrtdserver",,"FWRC1#EURINR#Month End Rates#0#Ask%13")</f>
        <v>3.6057000000000001</v>
      </c>
      <c r="N11" s="69">
        <f t="array" ref="N11">RTD("tickerplantrtdserver",,"FWRC1#EURINR#Month End Rates#0#Ask%14")</f>
        <v>3.6717</v>
      </c>
      <c r="O11" s="70">
        <f t="array" ref="O11">RTD("tickerplantrtdserver",,"FWRC1#EURINR#Month End Rates#0#Ask%15")</f>
        <v>3.6806999999999999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P15" s="15"/>
      <c r="Q15" s="15"/>
      <c r="R15" s="15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P16" s="13"/>
    </row>
    <row r="17" spans="1:16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P17" s="13"/>
    </row>
    <row r="18" spans="1:16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P18" s="13"/>
    </row>
    <row r="19" spans="1:16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P19" s="15"/>
    </row>
    <row r="20" spans="1:16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</row>
    <row r="21" spans="1:16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</row>
    <row r="22" spans="1:16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</row>
    <row r="23" spans="1:16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</row>
    <row r="24" spans="1:16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</row>
    <row r="25" spans="1:16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</row>
    <row r="26" spans="1:16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</row>
    <row r="27" spans="1:16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</row>
    <row r="28" spans="1:16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</row>
    <row r="29" spans="1:16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</row>
    <row r="30" spans="1:16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</row>
    <row r="31" spans="1:16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</row>
    <row r="36" spans="1:5" x14ac:dyDescent="0.25">
      <c r="A36" s="1"/>
      <c r="B36" s="1"/>
    </row>
    <row r="40" spans="1:5" x14ac:dyDescent="0.25">
      <c r="E40" s="55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39"/>
  <sheetViews>
    <sheetView workbookViewId="0">
      <selection activeCell="I7" sqref="I7"/>
    </sheetView>
  </sheetViews>
  <sheetFormatPr defaultColWidth="8.85546875" defaultRowHeight="15" x14ac:dyDescent="0.25"/>
  <cols>
    <col min="3" max="4" width="9.42578125" bestFit="1" customWidth="1"/>
    <col min="5" max="5" width="9.28515625" bestFit="1" customWidth="1"/>
    <col min="6" max="6" width="9" bestFit="1" customWidth="1"/>
    <col min="7" max="7" width="9.42578125" bestFit="1" customWidth="1"/>
    <col min="8" max="8" width="9" bestFit="1" customWidth="1"/>
    <col min="9" max="9" width="9.28515625" bestFit="1" customWidth="1"/>
    <col min="10" max="10" width="9.42578125" bestFit="1" customWidth="1"/>
    <col min="11" max="11" width="9.28515625" bestFit="1" customWidth="1"/>
    <col min="12" max="12" width="9.140625" bestFit="1" customWidth="1"/>
    <col min="13" max="13" width="9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RTD("tickerplantrtdserver",,"FWRC1#GBPINR#Month End Rates#0#S#Desc.2")</f>
        <v>CASH/SPOT</v>
      </c>
      <c r="D1" s="76" t="str">
        <f t="array" ref="D1">RTD("tickerplantrtdserver",,"FWRC1#GBPINR#Month End Rates#0#S#Desc.4")</f>
        <v>MAY-2023</v>
      </c>
      <c r="E1" s="76" t="str">
        <f t="array" ref="E1">RTD("tickerplantrtdserver",,"FWRC1#GBPINR#Month End Rates#0#S#Desc.5")</f>
        <v>JUN-2023</v>
      </c>
      <c r="F1" s="76" t="str">
        <f t="array" ref="F1">RTD("tickerplantrtdserver",,"FWRC1#GBPINR#Month End Rates#0#S#Desc.6")</f>
        <v>JUL-2023</v>
      </c>
      <c r="G1" s="76" t="str">
        <f t="array" ref="G1">RTD("tickerplantrtdserver",,"FWRC1#GBPINR#Month End Rates#0#S#Desc.7")</f>
        <v>AUG-2023</v>
      </c>
      <c r="H1" s="76" t="str">
        <f t="array" ref="H1">RTD("tickerplantrtdserver",,"FWRC1#GBPINR#Month End Rates#0#S#Desc.8")</f>
        <v>SEP-2023</v>
      </c>
      <c r="I1" s="76" t="str">
        <f t="array" ref="I1">RTD("tickerplantrtdserver",,"FWRC1#GBPINR#Month End Rates#0#S#Desc.9")</f>
        <v>OCT-2023</v>
      </c>
      <c r="J1" s="76" t="str">
        <f t="array" ref="J1">RTD("tickerplantrtdserver",,"FWRC1#GBPINR#Month End Rates#0#S#Desc.10")</f>
        <v>NOV-2023</v>
      </c>
      <c r="K1" s="76" t="str">
        <f t="array" ref="K1">RTD("tickerplantrtdserver",,"FWRC1#GBPINR#Month End Rates#0#S#Desc.11")</f>
        <v>DEC-2023</v>
      </c>
      <c r="L1" s="76" t="str">
        <f t="array" ref="L1">RTD("tickerplantrtdserver",,"FWRC1#GBPINR#Month End Rates#0#S#Desc.12")</f>
        <v>JAN-2024</v>
      </c>
      <c r="M1" s="76" t="str">
        <f t="array" ref="M1">RTD("tickerplantrtdserver",,"FWRC1#GBPINR#Month End Rates#0#S#Desc.13")</f>
        <v>FEB-2024</v>
      </c>
      <c r="N1" s="76" t="str">
        <f t="array" ref="N1">RTD("tickerplantrtdserver",,"FWRC1#GBPINR#Month End Rates#0#S#Desc.14")</f>
        <v>MAR-2024</v>
      </c>
      <c r="O1" s="77" t="str">
        <f t="array" ref="O1">RTD("tickerplantrtdserver",,"FWRC1#GBPINR#Month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RTD("tickerplantrtdserver",,"FWRC1#GBPINR#Month End Rates#0#S#PillarDate2")</f>
        <v>19-May-2023</v>
      </c>
      <c r="D2" s="71" t="str">
        <f t="array" ref="D2">RTD("tickerplantrtdserver",,"FWRC1#GBPINR#Month End Rates#0#S#PillarDate4")</f>
        <v>31-May-2023</v>
      </c>
      <c r="E2" s="71" t="str">
        <f t="array" ref="E2">RTD("tickerplantrtdserver",,"FWRC1#GBPINR#Month End Rates#0#S#PillarDate5")</f>
        <v>30-Jun-2023</v>
      </c>
      <c r="F2" s="71" t="str">
        <f t="array" ref="F2">RTD("tickerplantrtdserver",,"FWRC1#GBPINR#Month End Rates#0#S#PillarDate6")</f>
        <v>31-Jul-2023</v>
      </c>
      <c r="G2" s="71" t="str">
        <f t="array" ref="G2">RTD("tickerplantrtdserver",,"FWRC1#GBPINR#Month End Rates#0#S#PillarDate7")</f>
        <v>31-Aug-2023</v>
      </c>
      <c r="H2" s="71" t="str">
        <f t="array" ref="H2">RTD("tickerplantrtdserver",,"FWRC1#GBPINR#Month End Rates#0#S#PillarDate8")</f>
        <v>29-Sep-2023</v>
      </c>
      <c r="I2" s="71" t="str">
        <f t="array" ref="I2">RTD("tickerplantrtdserver",,"FWRC1#GBPINR#Month End Rates#0#S#PillarDate9")</f>
        <v>31-Oct-2023</v>
      </c>
      <c r="J2" s="71" t="str">
        <f t="array" ref="J2">RTD("tickerplantrtdserver",,"FWRC1#GBPINR#Month End Rates#0#S#PillarDate10")</f>
        <v>29-Nov-2023</v>
      </c>
      <c r="K2" s="71" t="str">
        <f t="array" ref="K2">RTD("tickerplantrtdserver",,"FWRC1#GBPINR#Month End Rates#0#S#PillarDate11")</f>
        <v>29-Dec-2023</v>
      </c>
      <c r="L2" s="71" t="str">
        <f t="array" ref="L2">RTD("tickerplantrtdserver",,"FWRC1#GBPINR#Month End Rates#0#S#PillarDate12")</f>
        <v>31-Jan-2024</v>
      </c>
      <c r="M2" s="71" t="str">
        <f t="array" ref="M2">RTD("tickerplantrtdserver",,"FWRC1#GBPINR#Month End Rates#0#S#PillarDate13")</f>
        <v>29-Feb-2024</v>
      </c>
      <c r="N2" s="71" t="str">
        <f t="array" ref="N2">RTD("tickerplantrtdserver",,"FWRC1#GBPINR#Month End Rates#0#S#PillarDate14")</f>
        <v>28-Mar-2024</v>
      </c>
      <c r="O2" s="75" t="str">
        <f t="array" ref="O2">RTD("tickerplantrtdserver",,"FWRC1#GBPINR#Month End Rates#0#S#PillarDate15")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RTD("tickerplantrtdserver",,"FWRC1#GBPINR#Month End Rates#0#BidPrice2")/100</f>
        <v>0.86864799999999998</v>
      </c>
      <c r="D4" s="65">
        <f>RTD("tickerplantrtdserver",,"FWRC1#GBPINR#Month End Rates#0#BidPrice4")/100</f>
        <v>6.6206250000000004</v>
      </c>
      <c r="E4" s="65">
        <f>RTD("tickerplantrtdserver",,"FWRC1#GBPINR#Month End Rates#0#BidPrice5")/100</f>
        <v>25.230149999999998</v>
      </c>
      <c r="F4" s="65">
        <f>RTD("tickerplantrtdserver",,"FWRC1#GBPINR#Month End Rates#0#BidPrice6")/100</f>
        <v>44.119624999999999</v>
      </c>
      <c r="G4" s="65">
        <f>RTD("tickerplantrtdserver",,"FWRC1#GBPINR#Month End Rates#0#BidPrice7")/100</f>
        <v>63.202974999999995</v>
      </c>
      <c r="H4" s="65">
        <f>RTD("tickerplantrtdserver",,"FWRC1#GBPINR#Month End Rates#0#BidPrice8")/100</f>
        <v>80.475075000000004</v>
      </c>
      <c r="I4" s="65">
        <f>RTD("tickerplantrtdserver",,"FWRC1#GBPINR#Month End Rates#0#BidPrice9")/100</f>
        <v>99.636375000000001</v>
      </c>
      <c r="J4" s="65">
        <f>RTD("tickerplantrtdserver",,"FWRC1#GBPINR#Month End Rates#0#BidPrice10")/100</f>
        <v>116.510525</v>
      </c>
      <c r="K4" s="65">
        <f>RTD("tickerplantrtdserver",,"FWRC1#GBPINR#Month End Rates#0#BidPrice11")/100</f>
        <v>137.63742500000001</v>
      </c>
      <c r="L4" s="65">
        <f>RTD("tickerplantrtdserver",,"FWRC1#GBPINR#Month End Rates#0#BidPrice12")/100</f>
        <v>155.19334999999998</v>
      </c>
      <c r="M4" s="65">
        <f>RTD("tickerplantrtdserver",,"FWRC1#GBPINR#Month End Rates#0#BidPrice13")/100</f>
        <v>171.49764999999999</v>
      </c>
      <c r="N4" s="65">
        <f>RTD("tickerplantrtdserver",,"FWRC1#GBPINR#Month End Rates#0#BidPrice14")/100</f>
        <v>193.42907500000001</v>
      </c>
      <c r="O4" s="67">
        <f>RTD("tickerplantrtdserver",,"FWRC1#GBPINR#Month End Rates#0#BidPrice15")/100</f>
        <v>217.87677500000001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RTD("tickerplantrtdserver",,"FWRC1#GBPINR#Month End Rates#0#AskPrice2")/100</f>
        <v>2.9098640000000002</v>
      </c>
      <c r="D5" s="65">
        <f>RTD("tickerplantrtdserver",,"FWRC1#GBPINR#Month End Rates#0#AskPrice4")/100</f>
        <v>7.5699500000000004</v>
      </c>
      <c r="E5" s="65">
        <f>RTD("tickerplantrtdserver",,"FWRC1#GBPINR#Month End Rates#0#AskPrice5")/100</f>
        <v>27.011199999999999</v>
      </c>
      <c r="F5" s="65">
        <f>RTD("tickerplantrtdserver",,"FWRC1#GBPINR#Month End Rates#0#AskPrice6")/100</f>
        <v>46.150775000000003</v>
      </c>
      <c r="G5" s="65">
        <f>RTD("tickerplantrtdserver",,"FWRC1#GBPINR#Month End Rates#0#AskPrice7")/100</f>
        <v>65.436999999999998</v>
      </c>
      <c r="H5" s="65">
        <f>RTD("tickerplantrtdserver",,"FWRC1#GBPINR#Month End Rates#0#AskPrice8")/100</f>
        <v>83.428299999999993</v>
      </c>
      <c r="I5" s="65">
        <f>RTD("tickerplantrtdserver",,"FWRC1#GBPINR#Month End Rates#0#AskPrice9")/100</f>
        <v>102.31319999999999</v>
      </c>
      <c r="J5" s="65">
        <f>RTD("tickerplantrtdserver",,"FWRC1#GBPINR#Month End Rates#0#AskPrice10")/100</f>
        <v>120.39202499999999</v>
      </c>
      <c r="K5" s="65">
        <f>RTD("tickerplantrtdserver",,"FWRC1#GBPINR#Month End Rates#0#AskPrice11")/100</f>
        <v>140.32129999999998</v>
      </c>
      <c r="L5" s="65">
        <f>RTD("tickerplantrtdserver",,"FWRC1#GBPINR#Month End Rates#0#AskPrice12")/100</f>
        <v>159.180475</v>
      </c>
      <c r="M5" s="65">
        <f>RTD("tickerplantrtdserver",,"FWRC1#GBPINR#Month End Rates#0#AskPrice13")/100</f>
        <v>175.68009999999998</v>
      </c>
      <c r="N5" s="65">
        <f>RTD("tickerplantrtdserver",,"FWRC1#GBPINR#Month End Rates#0#AskPrice14")/100</f>
        <v>196.65392500000002</v>
      </c>
      <c r="O5" s="67">
        <f>RTD("tickerplantrtdserver",,"FWRC1#GBPINR#Month End Rates#0#AskPrice15")/100</f>
        <v>221.77802500000001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72">
        <f>RTD("tickerplantrtdserver",,"FWRC1#GBPINR#Month End Rates#0#FwdOutrightBid2")</f>
        <v>102.765</v>
      </c>
      <c r="D7" s="64">
        <f t="array" ref="D7">RTD("tickerplantrtdserver",,"FWRC1#GBPINR#Month End Rates#0#FwdOutrightBid4")</f>
        <v>102.8312</v>
      </c>
      <c r="E7" s="64">
        <f t="array" ref="E7">RTD("tickerplantrtdserver",,"FWRC1#GBPINR#Month End Rates#0#FwdOutrightBid5")</f>
        <v>103.01730000000001</v>
      </c>
      <c r="F7" s="64">
        <f t="array" ref="F7">RTD("tickerplantrtdserver",,"FWRC1#GBPINR#Month End Rates#0#FwdOutrightBid6")</f>
        <v>103.2062</v>
      </c>
      <c r="G7" s="64">
        <f t="array" ref="G7">RTD("tickerplantrtdserver",,"FWRC1#GBPINR#Month End Rates#0#FwdOutrightBid7")</f>
        <v>103.39700000000001</v>
      </c>
      <c r="H7" s="64">
        <f t="array" ref="H7">RTD("tickerplantrtdserver",,"FWRC1#GBPINR#Month End Rates#0#FwdOutrightBid8")</f>
        <v>103.5698</v>
      </c>
      <c r="I7" s="64">
        <f>RTD("tickerplantrtdserver",,"FWRC1#GBPINR#Month End Rates#0#FwdOutrightBid9")</f>
        <v>103.76139999999999</v>
      </c>
      <c r="J7" s="64">
        <f t="array" ref="J7">RTD("tickerplantrtdserver",,"FWRC1#GBPINR#Month End Rates#0#FwdOutrightBid10")</f>
        <v>103.9301</v>
      </c>
      <c r="K7" s="64">
        <f t="array" ref="K7">RTD("tickerplantrtdserver",,"FWRC1#GBPINR#Month End Rates#0#FwdOutrightBid11")</f>
        <v>104.1414</v>
      </c>
      <c r="L7" s="64">
        <f t="array" ref="L7">RTD("tickerplantrtdserver",,"FWRC1#GBPINR#Month End Rates#0#FwdOutrightBid12")</f>
        <v>104.3169</v>
      </c>
      <c r="M7" s="64">
        <f t="array" ref="M7">RTD("tickerplantrtdserver",,"FWRC1#GBPINR#Month End Rates#0#FwdOutrightBid13")</f>
        <v>104.48</v>
      </c>
      <c r="N7" s="64">
        <f t="array" ref="N7">RTD("tickerplantrtdserver",,"FWRC1#GBPINR#Month End Rates#0#FwdOutrightBid14")</f>
        <v>104.69929999999999</v>
      </c>
      <c r="O7" s="68">
        <f t="array" ref="O7">RTD("tickerplantrtdserver",,"FWRC1#GBPINR#Month End Rates#0#FwdOutrightBid15")</f>
        <v>104.9438</v>
      </c>
      <c r="P7" s="20"/>
    </row>
    <row r="8" spans="1:18" s="14" customFormat="1" x14ac:dyDescent="0.25">
      <c r="A8" s="160" t="s">
        <v>48</v>
      </c>
      <c r="B8" s="161"/>
      <c r="C8" s="72">
        <f>RTD("tickerplantrtdserver",,"FWRC1#GBPINR#Month End Rates#0#FwdOutrightAsk2")</f>
        <v>102.83</v>
      </c>
      <c r="D8" s="64">
        <f t="array" ref="D8">RTD("tickerplantrtdserver",,"FWRC1#GBPINR#Month End Rates#0#FwdOutrightAsk4")</f>
        <v>102.9057</v>
      </c>
      <c r="E8" s="64">
        <f t="array" ref="E8">RTD("tickerplantrtdserver",,"FWRC1#GBPINR#Month End Rates#0#FwdOutrightAsk5")</f>
        <v>103.1001</v>
      </c>
      <c r="F8" s="64">
        <f t="array" ref="F8">RTD("tickerplantrtdserver",,"FWRC1#GBPINR#Month End Rates#0#FwdOutrightAsk6")</f>
        <v>103.2915</v>
      </c>
      <c r="G8" s="64">
        <f t="array" ref="G8">RTD("tickerplantrtdserver",,"FWRC1#GBPINR#Month End Rates#0#FwdOutrightAsk7")</f>
        <v>103.48439999999999</v>
      </c>
      <c r="H8" s="64">
        <f t="array" ref="H8">RTD("tickerplantrtdserver",,"FWRC1#GBPINR#Month End Rates#0#FwdOutrightAsk8")</f>
        <v>103.6643</v>
      </c>
      <c r="I8" s="64">
        <f t="array" ref="I8">RTD("tickerplantrtdserver",,"FWRC1#GBPINR#Month End Rates#0#FwdOutrightAsk9")</f>
        <v>103.8531</v>
      </c>
      <c r="J8" s="64">
        <f t="array" ref="J8">RTD("tickerplantrtdserver",,"FWRC1#GBPINR#Month End Rates#0#FwdOutrightAsk10")</f>
        <v>104.0339</v>
      </c>
      <c r="K8" s="64">
        <f t="array" ref="K8">RTD("tickerplantrtdserver",,"FWRC1#GBPINR#Month End Rates#0#FwdOutrightAsk11")</f>
        <v>104.2332</v>
      </c>
      <c r="L8" s="64">
        <f t="array" ref="L8">RTD("tickerplantrtdserver",,"FWRC1#GBPINR#Month End Rates#0#FwdOutrightAsk12")</f>
        <v>104.4218</v>
      </c>
      <c r="M8" s="64">
        <f t="array" ref="M8">RTD("tickerplantrtdserver",,"FWRC1#GBPINR#Month End Rates#0#FwdOutrightAsk13")</f>
        <v>104.5868</v>
      </c>
      <c r="N8" s="64">
        <f t="array" ref="N8">RTD("tickerplantrtdserver",,"FWRC1#GBPINR#Month End Rates#0#FwdOutrightAsk14")</f>
        <v>104.79649999999999</v>
      </c>
      <c r="O8" s="68">
        <f t="array" ref="O8">RTD("tickerplantrtdserver",,"FWRC1#GBPINR#Month End Rates#0#FwdOutrightAsk15")</f>
        <v>105.0478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RTD("tickerplantrtdserver",,"FWRC1#GBPINR#Month End Rates#0#Bid%2")</f>
        <v>1.5417000000000001</v>
      </c>
      <c r="D10" s="65">
        <f t="array" ref="D10">RTD("tickerplantrtdserver",,"FWRC1#GBPINR#Month End Rates#0#Bid%4")</f>
        <v>1.9583999999999999</v>
      </c>
      <c r="E10" s="65">
        <f t="array" ref="E10">RTD("tickerplantrtdserver",,"FWRC1#GBPINR#Month End Rates#0#Bid%5")</f>
        <v>2.1322999999999999</v>
      </c>
      <c r="F10" s="65">
        <f t="array" ref="F10">RTD("tickerplantrtdserver",,"FWRC1#GBPINR#Month End Rates#0#Bid%6")</f>
        <v>2.1453000000000002</v>
      </c>
      <c r="G10" s="65">
        <f t="array" ref="G10">RTD("tickerplantrtdserver",,"FWRC1#GBPINR#Month End Rates#0#Bid%7")</f>
        <v>2.1570999999999998</v>
      </c>
      <c r="H10" s="65">
        <f t="array" ref="H10">RTD("tickerplantrtdserver",,"FWRC1#GBPINR#Month End Rates#0#Bid%8")</f>
        <v>2.1476999999999999</v>
      </c>
      <c r="I10" s="65">
        <f t="array" ref="I10">RTD("tickerplantrtdserver",,"FWRC1#GBPINR#Month End Rates#0#Bid%9")</f>
        <v>2.1434000000000002</v>
      </c>
      <c r="J10" s="65">
        <f t="array" ref="J10">RTD("tickerplantrtdserver",,"FWRC1#GBPINR#Month End Rates#0#Bid%10")</f>
        <v>2.1318000000000001</v>
      </c>
      <c r="K10" s="65">
        <f t="array" ref="K10">RTD("tickerplantrtdserver",,"FWRC1#GBPINR#Month End Rates#0#Bid%11")</f>
        <v>2.181</v>
      </c>
      <c r="L10" s="65">
        <f t="array" ref="L10">RTD("tickerplantrtdserver",,"FWRC1#GBPINR#Month End Rates#0#Bid%12")</f>
        <v>2.1434000000000002</v>
      </c>
      <c r="M10" s="65">
        <f t="array" ref="M10">RTD("tickerplantrtdserver",,"FWRC1#GBPINR#Month End Rates#0#Bid%13")</f>
        <v>2.1284999999999998</v>
      </c>
      <c r="N10" s="65">
        <f t="array" ref="N10">RTD("tickerplantrtdserver",,"FWRC1#GBPINR#Month End Rates#0#Bid%14")</f>
        <v>2.1865999999999999</v>
      </c>
      <c r="O10" s="67">
        <f t="array" ref="O10">RTD("tickerplantrtdserver",,"FWRC1#GBPINR#Month End Rates#0#Bid%15")</f>
        <v>2.2286999999999999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RTD("tickerplantrtdserver",,"FWRC1#GBPINR#Month End Rates#0#Ask%2")</f>
        <v>5.1676000000000002</v>
      </c>
      <c r="D11" s="69">
        <f t="array" ref="D11">RTD("tickerplantrtdserver",,"FWRC1#GBPINR#Month End Rates#0#Ask%4")</f>
        <v>2.2406000000000001</v>
      </c>
      <c r="E11" s="69">
        <f t="array" ref="E11">RTD("tickerplantrtdserver",,"FWRC1#GBPINR#Month End Rates#0#Ask%5")</f>
        <v>2.2841999999999998</v>
      </c>
      <c r="F11" s="69">
        <f t="array" ref="F11">RTD("tickerplantrtdserver",,"FWRC1#GBPINR#Month End Rates#0#Ask%6")</f>
        <v>2.2454999999999998</v>
      </c>
      <c r="G11" s="69">
        <f t="array" ref="G11">RTD("tickerplantrtdserver",,"FWRC1#GBPINR#Month End Rates#0#Ask%7")</f>
        <v>2.2347999999999999</v>
      </c>
      <c r="H11" s="69">
        <f t="array" ref="H11">RTD("tickerplantrtdserver",,"FWRC1#GBPINR#Month End Rates#0#Ask%8")</f>
        <v>2.2280000000000002</v>
      </c>
      <c r="I11" s="69">
        <f t="array" ref="I11">RTD("tickerplantrtdserver",,"FWRC1#GBPINR#Month End Rates#0#Ask%9")</f>
        <v>2.2023999999999999</v>
      </c>
      <c r="J11" s="69">
        <f t="array" ref="J11">RTD("tickerplantrtdserver",,"FWRC1#GBPINR#Month End Rates#0#Ask%10")</f>
        <v>2.2042000000000002</v>
      </c>
      <c r="K11" s="69">
        <f t="array" ref="K11">RTD("tickerplantrtdserver",,"FWRC1#GBPINR#Month End Rates#0#Ask%11")</f>
        <v>2.2250000000000001</v>
      </c>
      <c r="L11" s="69">
        <f t="array" ref="L11">RTD("tickerplantrtdserver",,"FWRC1#GBPINR#Month End Rates#0#Ask%12")</f>
        <v>2.1999</v>
      </c>
      <c r="M11" s="69">
        <f t="array" ref="M11">RTD("tickerplantrtdserver",,"FWRC1#GBPINR#Month End Rates#0#Ask%13")</f>
        <v>2.1817000000000002</v>
      </c>
      <c r="N11" s="69">
        <f t="array" ref="N11">RTD("tickerplantrtdserver",,"FWRC1#GBPINR#Month End Rates#0#Ask%14")</f>
        <v>2.2244000000000002</v>
      </c>
      <c r="O11" s="70">
        <f t="array" ref="O11">RTD("tickerplantrtdserver",,"FWRC1#GBPINR#Month End Rates#0#Ask%15")</f>
        <v>2.2700999999999998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Q14" s="23"/>
      <c r="R14" s="23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Q15" s="23"/>
      <c r="R15" s="23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Q16" s="23"/>
      <c r="R16" s="23"/>
    </row>
    <row r="17" spans="1:19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Q17" s="23"/>
      <c r="R17" s="23"/>
    </row>
    <row r="18" spans="1:19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Q18" s="23"/>
      <c r="R18" s="23"/>
    </row>
    <row r="19" spans="1:19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Q19" s="23"/>
      <c r="R19" s="23"/>
    </row>
    <row r="20" spans="1:19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  <c r="Q20" s="23"/>
      <c r="R20" s="23"/>
    </row>
    <row r="21" spans="1:19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  <c r="P21" s="14"/>
      <c r="Q21" s="23"/>
      <c r="R21" s="23"/>
      <c r="S21" s="14"/>
    </row>
    <row r="22" spans="1:19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  <c r="P22" s="14"/>
      <c r="Q22" s="23"/>
      <c r="R22" s="23"/>
      <c r="S22" s="14"/>
    </row>
    <row r="23" spans="1:19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  <c r="P23" s="14"/>
      <c r="Q23" s="23"/>
      <c r="R23" s="23"/>
      <c r="S23" s="14"/>
    </row>
    <row r="24" spans="1:19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  <c r="P24" s="14"/>
      <c r="Q24" s="23"/>
      <c r="R24" s="23"/>
      <c r="S24" s="14"/>
    </row>
    <row r="25" spans="1:19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  <c r="P25" s="14"/>
      <c r="Q25" s="23"/>
      <c r="R25" s="23"/>
      <c r="S25" s="14"/>
    </row>
    <row r="26" spans="1:19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  <c r="P26" s="14"/>
      <c r="Q26" s="23"/>
      <c r="R26" s="23"/>
      <c r="S26" s="14"/>
    </row>
    <row r="27" spans="1:19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  <c r="P27" s="14"/>
      <c r="Q27" s="23"/>
      <c r="R27" s="23"/>
      <c r="S27" s="14"/>
    </row>
    <row r="28" spans="1:19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  <c r="P28" s="14"/>
      <c r="Q28" s="23"/>
      <c r="R28" s="23"/>
      <c r="S28" s="14"/>
    </row>
    <row r="29" spans="1:19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  <c r="P29" s="14"/>
      <c r="Q29" s="23"/>
      <c r="R29" s="23"/>
      <c r="S29" s="14"/>
    </row>
    <row r="30" spans="1:19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  <c r="P30" s="14"/>
      <c r="Q30" s="23"/>
      <c r="R30" s="23"/>
      <c r="S30" s="14"/>
    </row>
    <row r="31" spans="1:19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  <c r="P31" s="14"/>
      <c r="Q31" s="23"/>
      <c r="R31" s="23"/>
      <c r="S31" s="14"/>
    </row>
    <row r="32" spans="1:19" x14ac:dyDescent="0.25">
      <c r="A32" s="13"/>
      <c r="B32" s="21"/>
      <c r="C32" s="21"/>
      <c r="D32" s="58"/>
      <c r="E32" s="21"/>
      <c r="F32" s="21"/>
      <c r="G32" s="21"/>
      <c r="H32" s="32"/>
      <c r="I32" s="32"/>
      <c r="J32" s="32"/>
      <c r="K32" s="14"/>
      <c r="L32" s="31"/>
      <c r="M32" s="31"/>
      <c r="N32" s="31"/>
      <c r="O32" s="14"/>
      <c r="P32" s="14"/>
      <c r="Q32" s="23"/>
      <c r="R32" s="23"/>
      <c r="S32" s="14"/>
    </row>
    <row r="33" spans="1:19" x14ac:dyDescent="0.25">
      <c r="A33" s="13"/>
      <c r="B33" s="21"/>
      <c r="C33" s="21"/>
      <c r="D33" s="58"/>
      <c r="E33" s="21"/>
      <c r="F33" s="21"/>
      <c r="G33" s="21"/>
      <c r="H33" s="32"/>
      <c r="I33" s="32"/>
      <c r="J33" s="32"/>
      <c r="K33" s="14"/>
      <c r="L33" s="31"/>
      <c r="M33" s="31"/>
      <c r="N33" s="31"/>
      <c r="O33" s="14"/>
      <c r="P33" s="14"/>
      <c r="Q33" s="23"/>
      <c r="R33" s="23"/>
      <c r="S33" s="14"/>
    </row>
    <row r="34" spans="1:19" x14ac:dyDescent="0.25">
      <c r="A34" s="13"/>
      <c r="B34" s="21"/>
      <c r="C34" s="21"/>
      <c r="D34" s="58"/>
      <c r="E34" s="21"/>
      <c r="F34" s="21"/>
      <c r="G34" s="21"/>
      <c r="H34" s="32"/>
      <c r="I34" s="32"/>
      <c r="J34" s="32"/>
      <c r="K34" s="14"/>
      <c r="L34" s="31"/>
      <c r="M34" s="31"/>
      <c r="N34" s="31"/>
      <c r="O34" s="14"/>
      <c r="P34" s="14"/>
      <c r="Q34" s="23"/>
      <c r="R34" s="23"/>
      <c r="S34" s="14"/>
    </row>
    <row r="35" spans="1:19" x14ac:dyDescent="0.25">
      <c r="A35" s="13"/>
      <c r="B35" s="21"/>
      <c r="C35" s="21"/>
      <c r="D35" s="58"/>
      <c r="E35" s="21"/>
      <c r="F35" s="21"/>
      <c r="G35" s="21"/>
      <c r="H35" s="32"/>
      <c r="I35" s="32"/>
      <c r="J35" s="32"/>
      <c r="K35" s="14"/>
      <c r="L35" s="31"/>
      <c r="M35" s="31"/>
      <c r="N35" s="31"/>
      <c r="O35" s="14"/>
      <c r="P35" s="14"/>
      <c r="Q35" s="23"/>
      <c r="R35" s="23"/>
      <c r="S35" s="14"/>
    </row>
    <row r="36" spans="1:19" x14ac:dyDescent="0.25">
      <c r="A36" s="13"/>
      <c r="B36" s="21"/>
      <c r="C36" s="21"/>
      <c r="D36" s="58"/>
      <c r="E36" s="21"/>
      <c r="F36" s="21"/>
      <c r="G36" s="21"/>
      <c r="H36" s="32"/>
      <c r="I36" s="32"/>
      <c r="J36" s="32"/>
      <c r="K36" s="14"/>
      <c r="L36" s="31"/>
      <c r="M36" s="31"/>
      <c r="N36" s="31"/>
      <c r="O36" s="14"/>
      <c r="P36" s="14"/>
      <c r="Q36" s="23"/>
      <c r="R36" s="23"/>
      <c r="S36" s="14"/>
    </row>
    <row r="37" spans="1:19" x14ac:dyDescent="0.25">
      <c r="A37" s="13"/>
      <c r="B37" s="21"/>
      <c r="C37" s="21"/>
      <c r="D37" s="58"/>
      <c r="E37" s="21"/>
      <c r="F37" s="21"/>
      <c r="G37" s="21"/>
      <c r="H37" s="32"/>
      <c r="I37" s="32"/>
      <c r="J37" s="32"/>
      <c r="K37" s="14"/>
      <c r="L37" s="31"/>
      <c r="M37" s="31"/>
      <c r="N37" s="31"/>
      <c r="O37" s="14"/>
      <c r="P37" s="14"/>
      <c r="Q37" s="23"/>
      <c r="R37" s="23"/>
      <c r="S37" s="14"/>
    </row>
    <row r="38" spans="1:19" x14ac:dyDescent="0.25">
      <c r="A38" s="13"/>
      <c r="B38" s="21"/>
      <c r="C38" s="21"/>
      <c r="D38" s="58"/>
      <c r="E38" s="21"/>
      <c r="F38" s="21"/>
      <c r="G38" s="21"/>
      <c r="H38" s="32"/>
      <c r="I38" s="32"/>
      <c r="J38" s="32"/>
      <c r="K38" s="14"/>
      <c r="L38" s="31"/>
      <c r="M38" s="31"/>
      <c r="N38" s="31"/>
      <c r="O38" s="14"/>
      <c r="P38" s="14"/>
      <c r="Q38" s="23"/>
      <c r="R38" s="23"/>
      <c r="S38" s="14"/>
    </row>
    <row r="39" spans="1:19" x14ac:dyDescent="0.25">
      <c r="A39" s="13"/>
      <c r="B39" s="21"/>
      <c r="C39" s="21"/>
      <c r="D39" s="58"/>
      <c r="E39" s="21"/>
      <c r="F39" s="21"/>
      <c r="G39" s="21"/>
      <c r="H39" s="32"/>
      <c r="I39" s="32"/>
      <c r="J39" s="32"/>
      <c r="K39" s="14"/>
      <c r="L39" s="31"/>
      <c r="M39" s="31"/>
      <c r="N39" s="31"/>
      <c r="O39" s="14"/>
      <c r="P39" s="14"/>
      <c r="Q39" s="23"/>
      <c r="R39" s="23"/>
      <c r="S39" s="14"/>
    </row>
  </sheetData>
  <mergeCells count="14">
    <mergeCell ref="A9:B9"/>
    <mergeCell ref="C9:O9"/>
    <mergeCell ref="A10:B10"/>
    <mergeCell ref="A11:B11"/>
    <mergeCell ref="A5:B5"/>
    <mergeCell ref="A6:B6"/>
    <mergeCell ref="C6:O6"/>
    <mergeCell ref="A7:B7"/>
    <mergeCell ref="A8:B8"/>
    <mergeCell ref="A1:B1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6"/>
  <sheetViews>
    <sheetView workbookViewId="0">
      <selection activeCell="C4" sqref="C4"/>
    </sheetView>
  </sheetViews>
  <sheetFormatPr defaultColWidth="8.85546875"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RTD("tickerplantrtdserver",,"FWRC1#JPYINR#Month End Rates#0#S#Desc.2")</f>
        <v>CASH/SPOT</v>
      </c>
      <c r="D1" s="76" t="str">
        <f t="array" ref="D1">RTD("tickerplantrtdserver",,"FWRC1#JPYINR#Month End Rates#0#S#Desc.4")</f>
        <v>MAY-2023</v>
      </c>
      <c r="E1" s="76" t="str">
        <f t="array" ref="E1">RTD("tickerplantrtdserver",,"FWRC1#JPYINR#Month End Rates#0#S#Desc.5")</f>
        <v>JUN-2023</v>
      </c>
      <c r="F1" s="76" t="str">
        <f t="array" ref="F1">RTD("tickerplantrtdserver",,"FWRC1#JPYINR#Month End Rates#0#S#Desc.6")</f>
        <v>JUL-2023</v>
      </c>
      <c r="G1" s="76" t="str">
        <f t="array" ref="G1">RTD("tickerplantrtdserver",,"FWRC1#JPYINR#Month End Rates#0#S#Desc.7")</f>
        <v>AUG-2023</v>
      </c>
      <c r="H1" s="76" t="str">
        <f t="array" ref="H1">RTD("tickerplantrtdserver",,"FWRC1#JPYINR#Month End Rates#0#S#Desc.8")</f>
        <v>SEP-2023</v>
      </c>
      <c r="I1" s="76" t="str">
        <f t="array" ref="I1">RTD("tickerplantrtdserver",,"FWRC1#JPYINR#Month End Rates#0#S#Desc.9")</f>
        <v>OCT-2023</v>
      </c>
      <c r="J1" s="76" t="str">
        <f t="array" ref="J1">RTD("tickerplantrtdserver",,"FWRC1#JPYINR#Month End Rates#0#S#Desc.10")</f>
        <v>NOV-2023</v>
      </c>
      <c r="K1" s="76" t="str">
        <f t="array" ref="K1">RTD("tickerplantrtdserver",,"FWRC1#JPYINR#Month End Rates#0#S#Desc.11")</f>
        <v>DEC-2023</v>
      </c>
      <c r="L1" s="76" t="str">
        <f t="array" ref="L1">RTD("tickerplantrtdserver",,"FWRC1#JPYINR#Month End Rates#0#S#Desc.12")</f>
        <v>JAN-2024</v>
      </c>
      <c r="M1" s="76" t="str">
        <f t="array" ref="M1">RTD("tickerplantrtdserver",,"FWRC1#JPYINR#Month End Rates#0#S#Desc.13")</f>
        <v>FEB-2024</v>
      </c>
      <c r="N1" s="76" t="str">
        <f t="array" ref="N1">RTD("tickerplantrtdserver",,"FWRC1#JPYINR#Month End Rates#0#S#Desc.14")</f>
        <v>MAR-2024</v>
      </c>
      <c r="O1" s="77" t="str">
        <f t="array" ref="O1">RTD("tickerplantrtdserver",,"FWRC1#JPYINR#Month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RTD("tickerplantrtdserver",,"FWRC1#JPYINR#Month End Rates#0#S#PillarDate2")</f>
        <v>19-May-2023</v>
      </c>
      <c r="D2" s="71" t="str">
        <f t="array" ref="D2">RTD("tickerplantrtdserver",,"FWRC1#JPYINR#Month End Rates#0#S#PillarDate4")</f>
        <v>31-May-2023</v>
      </c>
      <c r="E2" s="71" t="str">
        <f t="array" ref="E2">RTD("tickerplantrtdserver",,"FWRC1#JPYINR#Month End Rates#0#S#PillarDate5")</f>
        <v>30-Jun-2023</v>
      </c>
      <c r="F2" s="71" t="str">
        <f t="array" ref="F2">RTD("tickerplantrtdserver",,"FWRC1#JPYINR#Month End Rates#0#S#PillarDate6")</f>
        <v>31-Jul-2023</v>
      </c>
      <c r="G2" s="71" t="str">
        <f t="array" ref="G2">RTD("tickerplantrtdserver",,"FWRC1#JPYINR#Month End Rates#0#S#PillarDate7")</f>
        <v>31-Aug-2023</v>
      </c>
      <c r="H2" s="71" t="str">
        <f t="array" ref="H2">RTD("tickerplantrtdserver",,"FWRC1#JPYINR#Month End Rates#0#S#PillarDate8")</f>
        <v>29-Sep-2023</v>
      </c>
      <c r="I2" s="71" t="str">
        <f t="array" ref="I2">RTD("tickerplantrtdserver",,"FWRC1#JPYINR#Month End Rates#0#S#PillarDate9")</f>
        <v>31-Oct-2023</v>
      </c>
      <c r="J2" s="71" t="str">
        <f t="array" ref="J2">RTD("tickerplantrtdserver",,"FWRC1#JPYINR#Month End Rates#0#S#PillarDate10")</f>
        <v>30-Nov-2023</v>
      </c>
      <c r="K2" s="71" t="str">
        <f t="array" ref="K2">RTD("tickerplantrtdserver",,"FWRC1#JPYINR#Month End Rates#0#S#PillarDate11")</f>
        <v>29-Dec-2023</v>
      </c>
      <c r="L2" s="71" t="str">
        <f t="array" ref="L2">RTD("tickerplantrtdserver",,"FWRC1#JPYINR#Month End Rates#0#S#PillarDate12")</f>
        <v>31-Jan-2024</v>
      </c>
      <c r="M2" s="71" t="str">
        <f t="array" ref="M2">RTD("tickerplantrtdserver",,"FWRC1#JPYINR#Month End Rates#0#S#PillarDate13")</f>
        <v>29-Feb-2024</v>
      </c>
      <c r="N2" s="71" t="str">
        <f t="array" ref="N2">RTD("tickerplantrtdserver",,"FWRC1#JPYINR#Month End Rates#0#S#PillarDate14")</f>
        <v>28-Mar-2024</v>
      </c>
      <c r="O2" s="75" t="str">
        <f t="array" ref="O2">RTD("tickerplantrtdserver",,"FWRC1#JPYINR#Month End Rates#0#S#PillarDate15")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RTD("tickerplantrtdserver",,"FWRC1#JPYINR#Month End Rates#0#BidPrice2")/100</f>
        <v>1.972296</v>
      </c>
      <c r="D4" s="65">
        <f>RTD("tickerplantrtdserver",,"FWRC1#JPYINR#Month End Rates#0#BidPrice4")/100</f>
        <v>13.162425000000001</v>
      </c>
      <c r="E4" s="65">
        <f>RTD("tickerplantrtdserver",,"FWRC1#JPYINR#Month End Rates#0#BidPrice5")/100</f>
        <v>48.431625000000004</v>
      </c>
      <c r="F4" s="65">
        <f>RTD("tickerplantrtdserver",,"FWRC1#JPYINR#Month End Rates#0#BidPrice6")/100</f>
        <v>85.529225000000011</v>
      </c>
      <c r="G4" s="65">
        <f>RTD("tickerplantrtdserver",,"FWRC1#JPYINR#Month End Rates#0#BidPrice7")/100</f>
        <v>122.18782499999999</v>
      </c>
      <c r="H4" s="65">
        <f>RTD("tickerplantrtdserver",,"FWRC1#JPYINR#Month End Rates#0#BidPrice8")/100</f>
        <v>159.12582499999999</v>
      </c>
      <c r="I4" s="65">
        <f>RTD("tickerplantrtdserver",,"FWRC1#JPYINR#Month End Rates#0#BidPrice9")/100</f>
        <v>198.78082499999999</v>
      </c>
      <c r="J4" s="65">
        <f>RTD("tickerplantrtdserver",,"FWRC1#JPYINR#Month End Rates#0#BidPrice10")/100</f>
        <v>235.41787499999998</v>
      </c>
      <c r="K4" s="65">
        <f>RTD("tickerplantrtdserver",,"FWRC1#JPYINR#Month End Rates#0#BidPrice11")/100</f>
        <v>277.527625</v>
      </c>
      <c r="L4" s="65">
        <f>RTD("tickerplantrtdserver",,"FWRC1#JPYINR#Month End Rates#0#BidPrice12")/100</f>
        <v>317.91467499999999</v>
      </c>
      <c r="M4" s="65">
        <f>RTD("tickerplantrtdserver",,"FWRC1#JPYINR#Month End Rates#0#BidPrice13")/100</f>
        <v>353.78547500000002</v>
      </c>
      <c r="N4" s="65">
        <f>RTD("tickerplantrtdserver",,"FWRC1#JPYINR#Month End Rates#0#BidPrice14")/100</f>
        <v>391.46595000000002</v>
      </c>
      <c r="O4" s="67">
        <f>RTD("tickerplantrtdserver",,"FWRC1#JPYINR#Month End Rates#0#BidPrice15")/100</f>
        <v>435.38485000000003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RTD("tickerplantrtdserver",,"FWRC1#JPYINR#Month End Rates#0#AskPrice2")/100</f>
        <v>3.2323520000000001</v>
      </c>
      <c r="D5" s="65">
        <f>RTD("tickerplantrtdserver",,"FWRC1#JPYINR#Month End Rates#0#AskPrice4")/100</f>
        <v>13.7971</v>
      </c>
      <c r="E5" s="65">
        <f>RTD("tickerplantrtdserver",,"FWRC1#JPYINR#Month End Rates#0#AskPrice5")/100</f>
        <v>49.729300000000002</v>
      </c>
      <c r="F5" s="65">
        <f>RTD("tickerplantrtdserver",,"FWRC1#JPYINR#Month End Rates#0#AskPrice6")/100</f>
        <v>86.778724999999994</v>
      </c>
      <c r="G5" s="65">
        <f>RTD("tickerplantrtdserver",,"FWRC1#JPYINR#Month End Rates#0#AskPrice7")/100</f>
        <v>124.1797</v>
      </c>
      <c r="H5" s="65">
        <f>RTD("tickerplantrtdserver",,"FWRC1#JPYINR#Month End Rates#0#AskPrice8")/100</f>
        <v>160.924825</v>
      </c>
      <c r="I5" s="65">
        <f>RTD("tickerplantrtdserver",,"FWRC1#JPYINR#Month End Rates#0#AskPrice9")/100</f>
        <v>200.9014</v>
      </c>
      <c r="J5" s="65">
        <f>RTD("tickerplantrtdserver",,"FWRC1#JPYINR#Month End Rates#0#AskPrice10")/100</f>
        <v>237.97492500000001</v>
      </c>
      <c r="K5" s="65">
        <f>RTD("tickerplantrtdserver",,"FWRC1#JPYINR#Month End Rates#0#AskPrice11")/100</f>
        <v>280.1687</v>
      </c>
      <c r="L5" s="65">
        <f>RTD("tickerplantrtdserver",,"FWRC1#JPYINR#Month End Rates#0#AskPrice12")/100</f>
        <v>320.43407500000001</v>
      </c>
      <c r="M5" s="65">
        <f>RTD("tickerplantrtdserver",,"FWRC1#JPYINR#Month End Rates#0#AskPrice13")/100</f>
        <v>356.38669999999996</v>
      </c>
      <c r="N5" s="65">
        <f>RTD("tickerplantrtdserver",,"FWRC1#JPYINR#Month End Rates#0#AskPrice14")/100</f>
        <v>395.05257499999999</v>
      </c>
      <c r="O5" s="67">
        <f>RTD("tickerplantrtdserver",,"FWRC1#JPYINR#Month End Rates#0#AskPrice15")/100</f>
        <v>438.36802499999999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RTD("tickerplantrtdserver",,"FWRC1#JPYINR#Month End Rates#0#FwdOutrightBid2")</f>
        <v>60.314999999999998</v>
      </c>
      <c r="D7" s="64">
        <f t="array" ref="D7">RTD("tickerplantrtdserver",,"FWRC1#JPYINR#Month End Rates#0#FwdOutrightBid4")</f>
        <v>60.446599999999997</v>
      </c>
      <c r="E7" s="64">
        <f t="array" ref="E7">RTD("tickerplantrtdserver",,"FWRC1#JPYINR#Month End Rates#0#FwdOutrightBid5")</f>
        <v>60.799300000000002</v>
      </c>
      <c r="F7" s="64">
        <f t="array" ref="F7">RTD("tickerplantrtdserver",,"FWRC1#JPYINR#Month End Rates#0#FwdOutrightBid6")</f>
        <v>61.170299999999997</v>
      </c>
      <c r="G7" s="64">
        <f t="array" ref="G7">RTD("tickerplantrtdserver",,"FWRC1#JPYINR#Month End Rates#0#FwdOutrightBid7")</f>
        <v>61.536900000000003</v>
      </c>
      <c r="H7" s="64">
        <f t="array" ref="H7">RTD("tickerplantrtdserver",,"FWRC1#JPYINR#Month End Rates#0#FwdOutrightBid8")</f>
        <v>61.906300000000002</v>
      </c>
      <c r="I7" s="64">
        <f t="array" ref="I7">RTD("tickerplantrtdserver",,"FWRC1#JPYINR#Month End Rates#0#FwdOutrightBid9")</f>
        <v>62.302799999999998</v>
      </c>
      <c r="J7" s="64">
        <f t="array" ref="J7">RTD("tickerplantrtdserver",,"FWRC1#JPYINR#Month End Rates#0#FwdOutrightBid10")</f>
        <v>62.669199999999996</v>
      </c>
      <c r="K7" s="64">
        <f t="array" ref="K7">RTD("tickerplantrtdserver",,"FWRC1#JPYINR#Month End Rates#0#FwdOutrightBid11")</f>
        <v>63.090299999999999</v>
      </c>
      <c r="L7" s="64">
        <f t="array" ref="L7">RTD("tickerplantrtdserver",,"FWRC1#JPYINR#Month End Rates#0#FwdOutrightBid12")</f>
        <v>63.494100000000003</v>
      </c>
      <c r="M7" s="64">
        <f t="array" ref="M7">RTD("tickerplantrtdserver",,"FWRC1#JPYINR#Month End Rates#0#FwdOutrightBid13")</f>
        <v>63.852899999999998</v>
      </c>
      <c r="N7" s="64">
        <f t="array" ref="N7">RTD("tickerplantrtdserver",,"FWRC1#JPYINR#Month End Rates#0#FwdOutrightBid14")</f>
        <v>64.229699999999994</v>
      </c>
      <c r="O7" s="68">
        <f t="array" ref="O7">RTD("tickerplantrtdserver",,"FWRC1#JPYINR#Month End Rates#0#FwdOutrightBid15")</f>
        <v>64.668800000000005</v>
      </c>
      <c r="P7" s="20"/>
    </row>
    <row r="8" spans="1:18" s="14" customFormat="1" x14ac:dyDescent="0.25">
      <c r="A8" s="160" t="s">
        <v>48</v>
      </c>
      <c r="B8" s="161"/>
      <c r="C8" s="64">
        <f>RTD("tickerplantrtdserver",,"FWRC1#JPYINR#Month End Rates#0#FwdOutrightAsk2")</f>
        <v>60.325000000000003</v>
      </c>
      <c r="D8" s="64">
        <f t="array" ref="D8">RTD("tickerplantrtdserver",,"FWRC1#JPYINR#Month End Rates#0#FwdOutrightAsk4")</f>
        <v>60.463000000000001</v>
      </c>
      <c r="E8" s="64">
        <f t="array" ref="E8">RTD("tickerplantrtdserver",,"FWRC1#JPYINR#Month End Rates#0#FwdOutrightAsk5")</f>
        <v>60.822299999999998</v>
      </c>
      <c r="F8" s="64">
        <f t="array" ref="F8">RTD("tickerplantrtdserver",,"FWRC1#JPYINR#Month End Rates#0#FwdOutrightAsk6")</f>
        <v>61.192799999999998</v>
      </c>
      <c r="G8" s="64">
        <f t="array" ref="G8">RTD("tickerplantrtdserver",,"FWRC1#JPYINR#Month End Rates#0#FwdOutrightAsk7")</f>
        <v>61.566800000000001</v>
      </c>
      <c r="H8" s="64">
        <f t="array" ref="H8">RTD("tickerplantrtdserver",,"FWRC1#JPYINR#Month End Rates#0#FwdOutrightAsk8")</f>
        <v>61.934199999999997</v>
      </c>
      <c r="I8" s="64">
        <f t="array" ref="I8">RTD("tickerplantrtdserver",,"FWRC1#JPYINR#Month End Rates#0#FwdOutrightAsk9")</f>
        <v>62.334000000000003</v>
      </c>
      <c r="J8" s="64">
        <f t="array" ref="J8">RTD("tickerplantrtdserver",,"FWRC1#JPYINR#Month End Rates#0#FwdOutrightAsk10")</f>
        <v>62.704700000000003</v>
      </c>
      <c r="K8" s="64">
        <f t="array" ref="K8">RTD("tickerplantrtdserver",,"FWRC1#JPYINR#Month End Rates#0#FwdOutrightAsk11")</f>
        <v>63.1267</v>
      </c>
      <c r="L8" s="64">
        <f t="array" ref="L8">RTD("tickerplantrtdserver",,"FWRC1#JPYINR#Month End Rates#0#FwdOutrightAsk12")</f>
        <v>63.529299999999999</v>
      </c>
      <c r="M8" s="64">
        <f t="array" ref="M8">RTD("tickerplantrtdserver",,"FWRC1#JPYINR#Month End Rates#0#FwdOutrightAsk13")</f>
        <v>63.8889</v>
      </c>
      <c r="N8" s="64">
        <f t="array" ref="N8">RTD("tickerplantrtdserver",,"FWRC1#JPYINR#Month End Rates#0#FwdOutrightAsk14")</f>
        <v>64.275499999999994</v>
      </c>
      <c r="O8" s="68">
        <f t="array" ref="O8">RTD("tickerplantrtdserver",,"FWRC1#JPYINR#Month End Rates#0#FwdOutrightAsk15")</f>
        <v>64.708699999999993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RTD("tickerplantrtdserver",,"FWRC1#JPYINR#Month End Rates#0#Bid%2")</f>
        <v>5.9667000000000003</v>
      </c>
      <c r="D10" s="65">
        <f t="array" ref="D10">RTD("tickerplantrtdserver",,"FWRC1#JPYINR#Month End Rates#0#Bid%4")</f>
        <v>6.6367000000000003</v>
      </c>
      <c r="E10" s="65">
        <f t="array" ref="E10">RTD("tickerplantrtdserver",,"FWRC1#JPYINR#Month End Rates#0#Bid%5")</f>
        <v>6.9771000000000001</v>
      </c>
      <c r="F10" s="65">
        <f t="array" ref="F10">RTD("tickerplantrtdserver",,"FWRC1#JPYINR#Month End Rates#0#Bid%6")</f>
        <v>7.0890000000000004</v>
      </c>
      <c r="G10" s="65">
        <f t="array" ref="G10">RTD("tickerplantrtdserver",,"FWRC1#JPYINR#Month End Rates#0#Bid%7")</f>
        <v>7.1086999999999998</v>
      </c>
      <c r="H10" s="65">
        <f t="array" ref="H10">RTD("tickerplantrtdserver",,"FWRC1#JPYINR#Month End Rates#0#Bid%8")</f>
        <v>7.2390999999999996</v>
      </c>
      <c r="I10" s="65">
        <f t="array" ref="I10">RTD("tickerplantrtdserver",,"FWRC1#JPYINR#Month End Rates#0#Bid%9")</f>
        <v>7.2892999999999999</v>
      </c>
      <c r="J10" s="65">
        <f t="array" ref="J10">RTD("tickerplantrtdserver",,"FWRC1#JPYINR#Month End Rates#0#Bid%10")</f>
        <v>7.3047000000000004</v>
      </c>
      <c r="K10" s="65">
        <f t="array" ref="K10">RTD("tickerplantrtdserver",,"FWRC1#JPYINR#Month End Rates#0#Bid%11")</f>
        <v>7.4964000000000004</v>
      </c>
      <c r="L10" s="65">
        <f t="array" ref="L10">RTD("tickerplantrtdserver",,"FWRC1#JPYINR#Month End Rates#0#Bid%12")</f>
        <v>7.4847000000000001</v>
      </c>
      <c r="M10" s="65">
        <f t="array" ref="M10">RTD("tickerplantrtdserver",,"FWRC1#JPYINR#Month End Rates#0#Bid%13")</f>
        <v>7.4846000000000004</v>
      </c>
      <c r="N10" s="65">
        <f t="array" ref="N10">RTD("tickerplantrtdserver",,"FWRC1#JPYINR#Month End Rates#0#Bid%14")</f>
        <v>7.5433000000000003</v>
      </c>
      <c r="O10" s="67">
        <f t="array" ref="O10">RTD("tickerplantrtdserver",,"FWRC1#JPYINR#Month End Rates#0#Bid%15")</f>
        <v>7.5917000000000003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RTD("tickerplantrtdserver",,"FWRC1#JPYINR#Month End Rates#0#Ask%2")</f>
        <v>9.7804000000000002</v>
      </c>
      <c r="D11" s="69">
        <f t="array" ref="D11">RTD("tickerplantrtdserver",,"FWRC1#JPYINR#Month End Rates#0#Ask%4")</f>
        <v>6.9577999999999998</v>
      </c>
      <c r="E11" s="69">
        <f t="array" ref="E11">RTD("tickerplantrtdserver",,"FWRC1#JPYINR#Month End Rates#0#Ask%5")</f>
        <v>7.1651999999999996</v>
      </c>
      <c r="F11" s="69">
        <f t="array" ref="F11">RTD("tickerplantrtdserver",,"FWRC1#JPYINR#Month End Rates#0#Ask%6")</f>
        <v>7.1938000000000004</v>
      </c>
      <c r="G11" s="69">
        <f t="array" ref="G11">RTD("tickerplantrtdserver",,"FWRC1#JPYINR#Month End Rates#0#Ask%7")</f>
        <v>7.2257999999999996</v>
      </c>
      <c r="H11" s="69">
        <f t="array" ref="H11">RTD("tickerplantrtdserver",,"FWRC1#JPYINR#Month End Rates#0#Ask%8")</f>
        <v>7.3221999999999996</v>
      </c>
      <c r="I11" s="69">
        <f t="array" ref="I11">RTD("tickerplantrtdserver",,"FWRC1#JPYINR#Month End Rates#0#Ask%9")</f>
        <v>7.3682999999999996</v>
      </c>
      <c r="J11" s="69">
        <f t="array" ref="J11">RTD("tickerplantrtdserver",,"FWRC1#JPYINR#Month End Rates#0#Ask%10")</f>
        <v>7.3852000000000002</v>
      </c>
      <c r="K11" s="69">
        <f t="array" ref="K11">RTD("tickerplantrtdserver",,"FWRC1#JPYINR#Month End Rates#0#Ask%11")</f>
        <v>7.569</v>
      </c>
      <c r="L11" s="69">
        <f t="array" ref="L11">RTD("tickerplantrtdserver",,"FWRC1#JPYINR#Month End Rates#0#Ask%12")</f>
        <v>7.5452000000000004</v>
      </c>
      <c r="M11" s="69">
        <f t="array" ref="M11">RTD("tickerplantrtdserver",,"FWRC1#JPYINR#Month End Rates#0#Ask%13")</f>
        <v>7.5408999999999997</v>
      </c>
      <c r="N11" s="69">
        <f t="array" ref="N11">RTD("tickerplantrtdserver",,"FWRC1#JPYINR#Month End Rates#0#Ask%14")</f>
        <v>7.6135999999999999</v>
      </c>
      <c r="O11" s="70">
        <f t="array" ref="O11">RTD("tickerplantrtdserver",,"FWRC1#JPYINR#Month End Rates#0#Ask%15")</f>
        <v>7.6449999999999996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6" spans="1:2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6"/>
  <sheetViews>
    <sheetView workbookViewId="0">
      <selection sqref="A1:B1"/>
    </sheetView>
  </sheetViews>
  <sheetFormatPr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RTD("tickerplantrtdserver",,"FWRC1#EURUSD#Month Wise Rates#0#S#Desc.2")</f>
        <v>TN</v>
      </c>
      <c r="D1" s="76" t="str">
        <f t="array" ref="D1">RTD("tickerplantrtdserver",,"FWRC1#EURUSD#Month Wise Rates#0#S#Desc.7")</f>
        <v>1M</v>
      </c>
      <c r="E1" s="76" t="str">
        <f t="array" ref="E1">RTD("tickerplantrtdserver",,"FWRC1#EURUSD#Month Wise Rates#0#S#Desc.8")</f>
        <v>2M</v>
      </c>
      <c r="F1" s="76" t="str">
        <f t="array" ref="F1">RTD("tickerplantrtdserver",,"FWRC1#EURUSD#Month Wise Rates#0#S#Desc.9")</f>
        <v>3M</v>
      </c>
      <c r="G1" s="76" t="str">
        <f t="array" ref="G1">RTD("tickerplantrtdserver",,"FWRC1#EURUSD#Month Wise Rates#0#S#Desc.10")</f>
        <v>4M</v>
      </c>
      <c r="H1" s="76" t="str">
        <f t="array" ref="H1">RTD("tickerplantrtdserver",,"FWRC1#EURUSD#Month Wise Rates#0#S#Desc.11")</f>
        <v>5M</v>
      </c>
      <c r="I1" s="76" t="str">
        <f t="array" ref="I1">RTD("tickerplantrtdserver",,"FWRC1#EURUSD#Month Wise Rates#0#S#Desc.12")</f>
        <v>6M</v>
      </c>
      <c r="J1" s="76" t="str">
        <f t="array" ref="J1">RTD("tickerplantrtdserver",,"FWRC1#EURUSD#Month Wise Rates#0#S#Desc.13")</f>
        <v>7M</v>
      </c>
      <c r="K1" s="76" t="str">
        <f t="array" ref="K1">RTD("tickerplantrtdserver",,"FWRC1#EURUSD#Month Wise Rates#0#S#Desc.14")</f>
        <v>8M</v>
      </c>
      <c r="L1" s="76" t="str">
        <f t="array" ref="L1">RTD("tickerplantrtdserver",,"FWRC1#EURUSD#Month Wise Rates#0#S#Desc.15")</f>
        <v>9M</v>
      </c>
      <c r="M1" s="76" t="str">
        <f t="array" ref="M1">RTD("tickerplantrtdserver",,"FWRC1#EURUSD#Month Wise Rates#0#S#Desc.16")</f>
        <v>10M</v>
      </c>
      <c r="N1" s="76" t="str">
        <f t="array" ref="N1">RTD("tickerplantrtdserver",,"FWRC1#EURUSD#Month Wise Rates#0#S#Desc.17")</f>
        <v>11M</v>
      </c>
      <c r="O1" s="77" t="str">
        <f t="array" ref="O1">RTD("tickerplantrtdserver",,"FWRC1#EURUSD#Month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RTD("tickerplantrtdserver",,"FWRC1#EURUSD#Month Wise Rates#0#S#PillarDate2")</f>
        <v>19-May-2023</v>
      </c>
      <c r="D2" s="71" t="str">
        <f t="array" ref="D2">RTD("tickerplantrtdserver",,"FWRC1#EURUSD#Month Wise Rates#0#S#PillarDate7")</f>
        <v>20-Jun-2023</v>
      </c>
      <c r="E2" s="71" t="str">
        <f t="array" ref="E2">RTD("tickerplantrtdserver",,"FWRC1#EURUSD#Month Wise Rates#0#S#PillarDate8")</f>
        <v>19-Jul-2023</v>
      </c>
      <c r="F2" s="71" t="str">
        <f t="array" ref="F2">RTD("tickerplantrtdserver",,"FWRC1#EURUSD#Month Wise Rates#0#S#PillarDate9")</f>
        <v>21-Aug-2023</v>
      </c>
      <c r="G2" s="71" t="str">
        <f t="array" ref="G2">RTD("tickerplantrtdserver",,"FWRC1#EURUSD#Month Wise Rates#0#S#PillarDate10")</f>
        <v>19-Sep-2023</v>
      </c>
      <c r="H2" s="71" t="str">
        <f t="array" ref="H2">RTD("tickerplantrtdserver",,"FWRC1#EURUSD#Month Wise Rates#0#S#PillarDate11")</f>
        <v>19-Oct-2023</v>
      </c>
      <c r="I2" s="71" t="str">
        <f t="array" ref="I2">RTD("tickerplantrtdserver",,"FWRC1#EURUSD#Month Wise Rates#0#S#PillarDate12")</f>
        <v>20-Nov-2023</v>
      </c>
      <c r="J2" s="71" t="str">
        <f t="array" ref="J2">RTD("tickerplantrtdserver",,"FWRC1#EURUSD#Month Wise Rates#0#S#PillarDate13")</f>
        <v>19-Dec-2023</v>
      </c>
      <c r="K2" s="71" t="str">
        <f t="array" ref="K2">RTD("tickerplantrtdserver",,"FWRC1#EURUSD#Month Wise Rates#0#S#PillarDate14")</f>
        <v>19-Jan-2024</v>
      </c>
      <c r="L2" s="71" t="str">
        <f t="array" ref="L2">RTD("tickerplantrtdserver",,"FWRC1#EURUSD#Month Wise Rates#0#S#PillarDate15")</f>
        <v>20-Feb-2024</v>
      </c>
      <c r="M2" s="71" t="str">
        <f t="array" ref="M2">RTD("tickerplantrtdserver",,"FWRC1#EURUSD#Month Wise Rates#0#S#PillarDate16")</f>
        <v>19-Mar-2024</v>
      </c>
      <c r="N2" s="71" t="str">
        <f t="array" ref="N2">RTD("tickerplantrtdserver",,"FWRC1#EURUSD#Month Wise Rates#0#S#PillarDate17")</f>
        <v>19-Apr-2024</v>
      </c>
      <c r="O2" s="75" t="str">
        <f t="array" ref="O2">RTD("tickerplantrtdserver",,"FWRC1#EURUSD#Month Wise Rates#0#S#PillarDate18")</f>
        <v>20-May-2024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RTD("tickerplantrtdserver",,"FWRC1#EURUSD#Month Wise Rates#0#BidPrice2")</f>
        <v>0.58099999999999996</v>
      </c>
      <c r="D4" s="65">
        <f t="array" ref="D4">RTD("tickerplantrtdserver",,"FWRC1#EURUSD#Month Wise Rates#0#BidPrice7")</f>
        <v>19.68</v>
      </c>
      <c r="E4" s="65">
        <f t="array" ref="E4">RTD("tickerplantrtdserver",,"FWRC1#EURUSD#Month Wise Rates#0#BidPrice8")</f>
        <v>37.51</v>
      </c>
      <c r="F4" s="65">
        <f t="array" ref="F4">RTD("tickerplantrtdserver",,"FWRC1#EURUSD#Month Wise Rates#0#BidPrice9")</f>
        <v>55.73</v>
      </c>
      <c r="G4" s="65">
        <f t="array" ref="G4">RTD("tickerplantrtdserver",,"FWRC1#EURUSD#Month Wise Rates#0#BidPrice10")</f>
        <v>71.239999999999995</v>
      </c>
      <c r="H4" s="65">
        <f t="array" ref="H4">RTD("tickerplantrtdserver",,"FWRC1#EURUSD#Month Wise Rates#0#BidPrice11")</f>
        <v>85.97</v>
      </c>
      <c r="I4" s="65">
        <f t="array" ref="I4">RTD("tickerplantrtdserver",,"FWRC1#EURUSD#Month Wise Rates#0#BidPrice12")</f>
        <v>100.15</v>
      </c>
      <c r="J4" s="65">
        <f t="array" ref="J4">RTD("tickerplantrtdserver",,"FWRC1#EURUSD#Month Wise Rates#0#BidPrice13")</f>
        <v>112.03</v>
      </c>
      <c r="K4" s="65">
        <f t="array" ref="K4">RTD("tickerplantrtdserver",,"FWRC1#EURUSD#Month Wise Rates#0#BidPrice14")</f>
        <v>132.72999999999999</v>
      </c>
      <c r="L4" s="65">
        <f t="array" ref="L4">RTD("tickerplantrtdserver",,"FWRC1#EURUSD#Month Wise Rates#0#BidPrice15")</f>
        <v>142.72999999999999</v>
      </c>
      <c r="M4" s="65">
        <f t="array" ref="M4">RTD("tickerplantrtdserver",,"FWRC1#EURUSD#Month Wise Rates#0#BidPrice16")</f>
        <v>152.80000000000001</v>
      </c>
      <c r="N4" s="65">
        <f t="array" ref="N4">RTD("tickerplantrtdserver",,"FWRC1#EURUSD#Month Wise Rates#0#BidPrice17")</f>
        <v>163.47999999999999</v>
      </c>
      <c r="O4" s="67">
        <f t="array" ref="O4">RTD("tickerplantrtdserver",,"FWRC1#EURUSD#Month Wise Rates#0#BidPrice18")</f>
        <v>169.74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RTD("tickerplantrtdserver",,"FWRC1#EURUSD#Month Wise Rates#0#AskPrice2")</f>
        <v>0.60099999999999998</v>
      </c>
      <c r="D5" s="65">
        <f t="array" ref="D5">RTD("tickerplantrtdserver",,"FWRC1#EURUSD#Month Wise Rates#0#AskPrice7")</f>
        <v>19.88</v>
      </c>
      <c r="E5" s="65">
        <f t="array" ref="E5">RTD("tickerplantrtdserver",,"FWRC1#EURUSD#Month Wise Rates#0#AskPrice8")</f>
        <v>37.799999999999997</v>
      </c>
      <c r="F5" s="65">
        <f t="array" ref="F5">RTD("tickerplantrtdserver",,"FWRC1#EURUSD#Month Wise Rates#0#AskPrice9")</f>
        <v>55.98</v>
      </c>
      <c r="G5" s="65">
        <f t="array" ref="G5">RTD("tickerplantrtdserver",,"FWRC1#EURUSD#Month Wise Rates#0#AskPrice10")</f>
        <v>71.64</v>
      </c>
      <c r="H5" s="65">
        <f t="array" ref="H5">RTD("tickerplantrtdserver",,"FWRC1#EURUSD#Month Wise Rates#0#AskPrice11")</f>
        <v>87.48</v>
      </c>
      <c r="I5" s="65">
        <f t="array" ref="I5">RTD("tickerplantrtdserver",,"FWRC1#EURUSD#Month Wise Rates#0#AskPrice12")</f>
        <v>100.95</v>
      </c>
      <c r="J5" s="65">
        <f t="array" ref="J5">RTD("tickerplantrtdserver",,"FWRC1#EURUSD#Month Wise Rates#0#AskPrice13")</f>
        <v>115.53</v>
      </c>
      <c r="K5" s="65">
        <f t="array" ref="K5">RTD("tickerplantrtdserver",,"FWRC1#EURUSD#Month Wise Rates#0#AskPrice14")</f>
        <v>134.93</v>
      </c>
      <c r="L5" s="65">
        <f t="array" ref="L5">RTD("tickerplantrtdserver",,"FWRC1#EURUSD#Month Wise Rates#0#AskPrice15")</f>
        <v>145.22999999999999</v>
      </c>
      <c r="M5" s="65">
        <f t="array" ref="M5">RTD("tickerplantrtdserver",,"FWRC1#EURUSD#Month Wise Rates#0#AskPrice16")</f>
        <v>157.80000000000001</v>
      </c>
      <c r="N5" s="65">
        <f t="array" ref="N5">RTD("tickerplantrtdserver",,"FWRC1#EURUSD#Month Wise Rates#0#AskPrice17")</f>
        <v>168.98</v>
      </c>
      <c r="O5" s="67">
        <f t="array" ref="O5">RTD("tickerplantrtdserver",,"FWRC1#EURUSD#Month Wise Rates#0#AskPrice18")</f>
        <v>172.64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 t="array" ref="C7">RTD("tickerplantrtdserver",,"FWRC1#EURUSD#Month Wise Rates#0#FwdOutrightBid2")</f>
        <v>1.0822000000000001</v>
      </c>
      <c r="D7" s="64">
        <f t="array" ref="D7">RTD("tickerplantrtdserver",,"FWRC1#EURUSD#Month Wise Rates#0#FwdOutrightBid7")</f>
        <v>1.0843</v>
      </c>
      <c r="E7" s="64">
        <f t="array" ref="E7">RTD("tickerplantrtdserver",,"FWRC1#EURUSD#Month Wise Rates#0#FwdOutrightBid8")</f>
        <v>1.0861000000000001</v>
      </c>
      <c r="F7" s="64">
        <f t="array" ref="F7">RTD("tickerplantrtdserver",,"FWRC1#EURUSD#Month Wise Rates#0#FwdOutrightBid9")</f>
        <v>1.0878000000000001</v>
      </c>
      <c r="G7" s="64">
        <f t="array" ref="G7">RTD("tickerplantrtdserver",,"FWRC1#EURUSD#Month Wise Rates#0#FwdOutrightBid10")</f>
        <v>1.0893999999999999</v>
      </c>
      <c r="H7" s="64">
        <f t="array" ref="H7">RTD("tickerplantrtdserver",,"FWRC1#EURUSD#Month Wise Rates#0#FwdOutrightBid11")</f>
        <v>1.0909</v>
      </c>
      <c r="I7" s="64">
        <f t="array" ref="I7">RTD("tickerplantrtdserver",,"FWRC1#EURUSD#Month Wise Rates#0#FwdOutrightBid12")</f>
        <v>1.0923</v>
      </c>
      <c r="J7" s="64">
        <f t="array" ref="J7">RTD("tickerplantrtdserver",,"FWRC1#EURUSD#Month Wise Rates#0#FwdOutrightBid13")</f>
        <v>1.0934999999999999</v>
      </c>
      <c r="K7" s="64">
        <f t="array" ref="K7">RTD("tickerplantrtdserver",,"FWRC1#EURUSD#Month Wise Rates#0#FwdOutrightBid14")</f>
        <v>1.0955999999999999</v>
      </c>
      <c r="L7" s="64">
        <f t="array" ref="L7">RTD("tickerplantrtdserver",,"FWRC1#EURUSD#Month Wise Rates#0#FwdOutrightBid15")</f>
        <v>1.0966</v>
      </c>
      <c r="M7" s="64">
        <f t="array" ref="M7">RTD("tickerplantrtdserver",,"FWRC1#EURUSD#Month Wise Rates#0#FwdOutrightBid16")</f>
        <v>1.0975999999999999</v>
      </c>
      <c r="N7" s="64">
        <f t="array" ref="N7">RTD("tickerplantrtdserver",,"FWRC1#EURUSD#Month Wise Rates#0#FwdOutrightBid17")</f>
        <v>1.0987</v>
      </c>
      <c r="O7" s="68">
        <f t="array" ref="O7">RTD("tickerplantrtdserver",,"FWRC1#EURUSD#Month Wise Rates#0#FwdOutrightBid18")</f>
        <v>1.0992999999999999</v>
      </c>
      <c r="P7" s="20"/>
    </row>
    <row r="8" spans="1:18" s="14" customFormat="1" x14ac:dyDescent="0.25">
      <c r="A8" s="160" t="s">
        <v>48</v>
      </c>
      <c r="B8" s="161"/>
      <c r="C8" s="64">
        <f t="array" ref="C8">RTD("tickerplantrtdserver",,"FWRC1#EURUSD#Month Wise Rates#0#FwdOutrightAsk2")</f>
        <v>1.0822000000000001</v>
      </c>
      <c r="D8" s="64">
        <f t="array" ref="D8">RTD("tickerplantrtdserver",,"FWRC1#EURUSD#Month Wise Rates#0#FwdOutrightAsk7")</f>
        <v>1.0843</v>
      </c>
      <c r="E8" s="64">
        <f t="array" ref="E8">RTD("tickerplantrtdserver",,"FWRC1#EURUSD#Month Wise Rates#0#FwdOutrightAsk8")</f>
        <v>1.0861000000000001</v>
      </c>
      <c r="F8" s="64">
        <f t="array" ref="F8">RTD("tickerplantrtdserver",,"FWRC1#EURUSD#Month Wise Rates#0#FwdOutrightAsk9")</f>
        <v>1.0879000000000001</v>
      </c>
      <c r="G8" s="64">
        <f t="array" ref="G8">RTD("tickerplantrtdserver",,"FWRC1#EURUSD#Month Wise Rates#0#FwdOutrightAsk10")</f>
        <v>1.0894999999999999</v>
      </c>
      <c r="H8" s="64">
        <f t="array" ref="H8">RTD("tickerplantrtdserver",,"FWRC1#EURUSD#Month Wise Rates#0#FwdOutrightAsk11")</f>
        <v>1.0911</v>
      </c>
      <c r="I8" s="64">
        <f t="array" ref="I8">RTD("tickerplantrtdserver",,"FWRC1#EURUSD#Month Wise Rates#0#FwdOutrightAsk12")</f>
        <v>1.0924</v>
      </c>
      <c r="J8" s="64">
        <f t="array" ref="J8">RTD("tickerplantrtdserver",,"FWRC1#EURUSD#Month Wise Rates#0#FwdOutrightAsk13")</f>
        <v>1.0939000000000001</v>
      </c>
      <c r="K8" s="64">
        <f t="array" ref="K8">RTD("tickerplantrtdserver",,"FWRC1#EURUSD#Month Wise Rates#0#FwdOutrightAsk14")</f>
        <v>1.0958000000000001</v>
      </c>
      <c r="L8" s="64">
        <f t="array" ref="L8">RTD("tickerplantrtdserver",,"FWRC1#EURUSD#Month Wise Rates#0#FwdOutrightAsk15")</f>
        <v>1.0968</v>
      </c>
      <c r="M8" s="64">
        <f t="array" ref="M8">RTD("tickerplantrtdserver",,"FWRC1#EURUSD#Month Wise Rates#0#FwdOutrightAsk16")</f>
        <v>1.0981000000000001</v>
      </c>
      <c r="N8" s="64">
        <f t="array" ref="N8">RTD("tickerplantrtdserver",,"FWRC1#EURUSD#Month Wise Rates#0#FwdOutrightAsk17")</f>
        <v>1.0992</v>
      </c>
      <c r="O8" s="68">
        <f t="array" ref="O8">RTD("tickerplantrtdserver",,"FWRC1#EURUSD#Month Wise Rates#0#FwdOutrightAsk18")</f>
        <v>1.0995999999999999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>RTD("tickerplantrtdserver",,"FWRC1#EURUSD#Month Wise Rates#0#Bid%2")</f>
        <v>1.9594</v>
      </c>
      <c r="D10" s="65">
        <f t="array" ref="D10">RTD("tickerplantrtdserver",,"FWRC1#EURUSD#Month Wise Rates#0#Bid%7")</f>
        <v>2.0739999999999998</v>
      </c>
      <c r="E10" s="65">
        <f t="array" ref="E10">RTD("tickerplantrtdserver",,"FWRC1#EURUSD#Month Wise Rates#0#Bid%8")</f>
        <v>2.0737999999999999</v>
      </c>
      <c r="F10" s="65">
        <f t="array" ref="F10">RTD("tickerplantrtdserver",,"FWRC1#EURUSD#Month Wise Rates#0#Bid%9")</f>
        <v>1.9994000000000001</v>
      </c>
      <c r="G10" s="65">
        <f t="array" ref="G10">RTD("tickerplantrtdserver",,"FWRC1#EURUSD#Month Wise Rates#0#Bid%10")</f>
        <v>1.9532</v>
      </c>
      <c r="H10" s="65">
        <f t="array" ref="H10">RTD("tickerplantrtdserver",,"FWRC1#EURUSD#Month Wise Rates#0#Bid%11")</f>
        <v>1.8949</v>
      </c>
      <c r="I10" s="65">
        <f t="array" ref="I10">RTD("tickerplantrtdserver",,"FWRC1#EURUSD#Month Wise Rates#0#Bid%12")</f>
        <v>1.8255999999999999</v>
      </c>
      <c r="J10" s="65">
        <f t="array" ref="J10">RTD("tickerplantrtdserver",,"FWRC1#EURUSD#Month Wise Rates#0#Bid%13")</f>
        <v>1.7655000000000001</v>
      </c>
      <c r="K10" s="65">
        <f t="array" ref="K10">RTD("tickerplantrtdserver",,"FWRC1#EURUSD#Month Wise Rates#0#Bid%14")</f>
        <v>1.827</v>
      </c>
      <c r="L10" s="65">
        <f t="array" ref="L10">RTD("tickerplantrtdserver",,"FWRC1#EURUSD#Month Wise Rates#0#Bid%15")</f>
        <v>1.7377</v>
      </c>
      <c r="M10" s="65">
        <f t="array" ref="M10">RTD("tickerplantrtdserver",,"FWRC1#EURUSD#Month Wise Rates#0#Bid%16")</f>
        <v>1.6895</v>
      </c>
      <c r="N10" s="65">
        <f t="array" ref="N10">RTD("tickerplantrtdserver",,"FWRC1#EURUSD#Month Wise Rates#0#Bid%17")</f>
        <v>1.6408</v>
      </c>
      <c r="O10" s="67">
        <f t="array" ref="O10">RTD("tickerplantrtdserver",,"FWRC1#EURUSD#Month Wise Rates#0#Bid%18")</f>
        <v>1.5598000000000001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RTD("tickerplantrtdserver",,"FWRC1#EURUSD#Month Wise Rates#0#Ask%2")</f>
        <v>2.0268000000000002</v>
      </c>
      <c r="D11" s="69">
        <f t="array" ref="D11">RTD("tickerplantrtdserver",,"FWRC1#EURUSD#Month Wise Rates#0#Ask%7")</f>
        <v>2.0951</v>
      </c>
      <c r="E11" s="69">
        <f t="array" ref="E11">RTD("tickerplantrtdserver",,"FWRC1#EURUSD#Month Wise Rates#0#Ask%8")</f>
        <v>2.0897999999999999</v>
      </c>
      <c r="F11" s="69">
        <f t="array" ref="F11">RTD("tickerplantrtdserver",,"FWRC1#EURUSD#Month Wise Rates#0#Ask%9")</f>
        <v>2.0085000000000002</v>
      </c>
      <c r="G11" s="69">
        <f t="array" ref="G11">RTD("tickerplantrtdserver",,"FWRC1#EURUSD#Month Wise Rates#0#Ask%10")</f>
        <v>1.9642999999999999</v>
      </c>
      <c r="H11" s="69">
        <f t="array" ref="H11">RTD("tickerplantrtdserver",,"FWRC1#EURUSD#Month Wise Rates#0#Ask%11")</f>
        <v>1.9281999999999999</v>
      </c>
      <c r="I11" s="69">
        <f t="array" ref="I11">RTD("tickerplantrtdserver",,"FWRC1#EURUSD#Month Wise Rates#0#Ask%12")</f>
        <v>1.8403</v>
      </c>
      <c r="J11" s="69">
        <f t="array" ref="J11">RTD("tickerplantrtdserver",,"FWRC1#EURUSD#Month Wise Rates#0#Ask%13")</f>
        <v>1.8206</v>
      </c>
      <c r="K11" s="69">
        <f t="array" ref="K11">RTD("tickerplantrtdserver",,"FWRC1#EURUSD#Month Wise Rates#0#Ask%14")</f>
        <v>1.8573</v>
      </c>
      <c r="L11" s="69">
        <f t="array" ref="L11">RTD("tickerplantrtdserver",,"FWRC1#EURUSD#Month Wise Rates#0#Ask%15")</f>
        <v>1.7681</v>
      </c>
      <c r="M11" s="69">
        <f t="array" ref="M11">RTD("tickerplantrtdserver",,"FWRC1#EURUSD#Month Wise Rates#0#Ask%16")</f>
        <v>1.7447999999999999</v>
      </c>
      <c r="N11" s="69">
        <f t="array" ref="N11">RTD("tickerplantrtdserver",,"FWRC1#EURUSD#Month Wise Rates#0#Ask%17")</f>
        <v>1.696</v>
      </c>
      <c r="O11" s="70">
        <f t="array" ref="O11">RTD("tickerplantrtdserver",,"FWRC1#EURUSD#Month Wise Rates#0#Ask%18")</f>
        <v>1.5864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58"/>
      <c r="G15" s="13"/>
      <c r="H15" s="58"/>
      <c r="I15" s="58"/>
      <c r="J15" s="58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58"/>
      <c r="E16" s="58"/>
      <c r="G16" s="15"/>
      <c r="H16" s="58"/>
      <c r="I16" s="58"/>
      <c r="J16" s="58"/>
      <c r="L16" s="13"/>
      <c r="P16" s="13"/>
    </row>
    <row r="17" spans="1:20" s="14" customFormat="1" x14ac:dyDescent="0.25">
      <c r="A17" s="13"/>
      <c r="B17" s="21"/>
      <c r="C17" s="21"/>
      <c r="D17" s="58"/>
      <c r="E17" s="58"/>
      <c r="G17" s="13"/>
      <c r="H17" s="58"/>
      <c r="I17" s="58"/>
      <c r="J17" s="58"/>
      <c r="L17" s="15"/>
      <c r="M17" s="15"/>
      <c r="N17" s="15"/>
      <c r="P17" s="15"/>
      <c r="Q17" s="15"/>
      <c r="R17" s="15"/>
    </row>
    <row r="18" spans="1:20" s="14" customFormat="1" x14ac:dyDescent="0.25">
      <c r="A18" s="15"/>
      <c r="B18" s="21"/>
      <c r="C18" s="21"/>
      <c r="D18" s="58"/>
      <c r="E18" s="58"/>
      <c r="G18" s="15"/>
      <c r="H18" s="58"/>
      <c r="I18" s="58"/>
      <c r="J18" s="58"/>
      <c r="L18" s="13"/>
      <c r="P18" s="13"/>
    </row>
    <row r="19" spans="1:20" s="14" customFormat="1" x14ac:dyDescent="0.25">
      <c r="A19" s="13"/>
      <c r="B19" s="21"/>
      <c r="C19" s="21"/>
      <c r="D19" s="58"/>
      <c r="E19" s="58"/>
      <c r="G19" s="13"/>
      <c r="H19" s="58"/>
      <c r="I19" s="58"/>
      <c r="J19" s="58"/>
      <c r="L19" s="15"/>
      <c r="M19" s="15"/>
      <c r="N19" s="15"/>
      <c r="P19" s="15"/>
      <c r="Q19" s="15"/>
      <c r="R19" s="15"/>
    </row>
    <row r="20" spans="1:20" s="14" customFormat="1" x14ac:dyDescent="0.25">
      <c r="A20" s="15"/>
      <c r="B20" s="21"/>
      <c r="C20" s="21"/>
      <c r="D20" s="58"/>
      <c r="E20" s="58"/>
      <c r="G20" s="15"/>
      <c r="H20" s="58"/>
      <c r="I20" s="58"/>
      <c r="J20" s="58"/>
      <c r="L20" s="13"/>
      <c r="P20" s="13"/>
    </row>
    <row r="21" spans="1:20" x14ac:dyDescent="0.25">
      <c r="A21" s="13"/>
      <c r="B21" s="21"/>
      <c r="C21" s="21"/>
      <c r="D21" s="58"/>
      <c r="E21" s="58"/>
      <c r="F21" s="14"/>
      <c r="G21" s="13"/>
      <c r="H21" s="58"/>
      <c r="I21" s="58"/>
      <c r="J21" s="58"/>
      <c r="K21" s="14"/>
      <c r="L21" s="15"/>
      <c r="M21" s="15"/>
      <c r="N21" s="15"/>
      <c r="O21" s="14"/>
      <c r="P21" s="15"/>
      <c r="Q21" s="15"/>
      <c r="R21" s="15"/>
      <c r="S21" s="14"/>
      <c r="T21" s="14"/>
    </row>
    <row r="22" spans="1:20" x14ac:dyDescent="0.25">
      <c r="A22" s="15"/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3"/>
      <c r="M22" s="14"/>
      <c r="N22" s="14"/>
      <c r="O22" s="14"/>
      <c r="P22" s="13"/>
      <c r="Q22" s="14"/>
      <c r="R22" s="14"/>
      <c r="S22" s="14"/>
      <c r="T22" s="14"/>
    </row>
    <row r="23" spans="1:20" x14ac:dyDescent="0.25">
      <c r="A23" s="13"/>
      <c r="B23" s="21"/>
      <c r="C23" s="21"/>
      <c r="D23" s="58"/>
      <c r="E23" s="58"/>
      <c r="F23" s="14"/>
      <c r="G23" s="13"/>
      <c r="H23" s="58"/>
      <c r="I23" s="58"/>
      <c r="J23" s="58"/>
      <c r="K23" s="14"/>
      <c r="L23" s="15"/>
      <c r="M23" s="15"/>
      <c r="N23" s="15"/>
      <c r="O23" s="14"/>
      <c r="P23" s="15"/>
      <c r="Q23" s="15"/>
      <c r="R23" s="15"/>
      <c r="S23" s="14"/>
      <c r="T23" s="14"/>
    </row>
    <row r="24" spans="1:20" s="2" customFormat="1" x14ac:dyDescent="0.25">
      <c r="A24" s="15"/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14"/>
      <c r="P24" s="13"/>
      <c r="Q24" s="14"/>
      <c r="R24" s="14"/>
      <c r="S24" s="14"/>
      <c r="T24" s="14"/>
    </row>
    <row r="25" spans="1:20" x14ac:dyDescent="0.25">
      <c r="A25" s="13"/>
      <c r="B25" s="21"/>
      <c r="C25" s="21"/>
      <c r="D25" s="58"/>
      <c r="E25" s="58"/>
      <c r="F25" s="14"/>
      <c r="G25" s="13"/>
      <c r="H25" s="58"/>
      <c r="I25" s="58"/>
      <c r="J25" s="58"/>
      <c r="K25" s="14"/>
      <c r="L25" s="15"/>
      <c r="M25" s="15"/>
      <c r="N25" s="15"/>
      <c r="O25" s="14"/>
      <c r="P25" s="15"/>
      <c r="Q25" s="15"/>
      <c r="R25" s="15"/>
      <c r="S25" s="14"/>
      <c r="T25" s="14"/>
    </row>
    <row r="26" spans="1:20" x14ac:dyDescent="0.25">
      <c r="A26" s="15"/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  <c r="O26" s="14"/>
      <c r="P26" s="13"/>
      <c r="Q26" s="14"/>
      <c r="R26" s="14"/>
      <c r="S26" s="14"/>
      <c r="T26" s="14"/>
    </row>
    <row r="27" spans="1:20" x14ac:dyDescent="0.25">
      <c r="A27" s="13"/>
      <c r="B27" s="21"/>
      <c r="C27" s="21"/>
      <c r="D27" s="58"/>
      <c r="E27" s="58"/>
      <c r="F27" s="14"/>
      <c r="G27" s="13"/>
      <c r="H27" s="58"/>
      <c r="I27" s="58"/>
      <c r="J27" s="58"/>
      <c r="K27" s="14"/>
      <c r="L27" s="15"/>
      <c r="M27" s="15"/>
      <c r="N27" s="15"/>
      <c r="O27" s="14"/>
      <c r="P27" s="15"/>
      <c r="Q27" s="15"/>
      <c r="R27" s="15"/>
      <c r="S27" s="14"/>
      <c r="T27" s="14"/>
    </row>
    <row r="28" spans="1:20" x14ac:dyDescent="0.25">
      <c r="A28" s="15"/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3"/>
      <c r="M28" s="14"/>
      <c r="N28" s="14"/>
      <c r="O28" s="14"/>
      <c r="P28" s="13"/>
      <c r="Q28" s="14"/>
      <c r="R28" s="14"/>
      <c r="S28" s="14"/>
      <c r="T28" s="14"/>
    </row>
    <row r="29" spans="1:20" x14ac:dyDescent="0.25">
      <c r="A29" s="13"/>
      <c r="B29" s="21"/>
      <c r="C29" s="21"/>
      <c r="D29" s="58"/>
      <c r="E29" s="58"/>
      <c r="F29" s="14"/>
      <c r="G29" s="13"/>
      <c r="H29" s="58"/>
      <c r="I29" s="58"/>
      <c r="J29" s="58"/>
      <c r="K29" s="14"/>
      <c r="L29" s="15"/>
      <c r="M29" s="15"/>
      <c r="N29" s="15"/>
      <c r="O29" s="14"/>
      <c r="P29" s="15"/>
      <c r="Q29" s="15"/>
      <c r="R29" s="15"/>
      <c r="S29" s="14"/>
      <c r="T29" s="14"/>
    </row>
    <row r="30" spans="1:20" x14ac:dyDescent="0.25">
      <c r="A30" s="15"/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  <c r="O30" s="14"/>
      <c r="P30" s="13"/>
      <c r="Q30" s="14"/>
      <c r="R30" s="14"/>
      <c r="S30" s="14"/>
      <c r="T30" s="14"/>
    </row>
    <row r="31" spans="1:20" x14ac:dyDescent="0.25">
      <c r="A31" s="13"/>
      <c r="B31" s="21"/>
      <c r="C31" s="21"/>
      <c r="D31" s="58"/>
      <c r="E31" s="58"/>
      <c r="F31" s="14"/>
      <c r="G31" s="13"/>
      <c r="H31" s="58"/>
      <c r="I31" s="58"/>
      <c r="J31" s="58"/>
      <c r="K31" s="14"/>
      <c r="L31" s="15"/>
      <c r="M31" s="15"/>
      <c r="N31" s="15"/>
      <c r="O31" s="14"/>
      <c r="P31" s="15"/>
      <c r="Q31" s="15"/>
      <c r="R31" s="15"/>
      <c r="S31" s="14"/>
      <c r="T31" s="14"/>
    </row>
    <row r="32" spans="1:20" x14ac:dyDescent="0.25">
      <c r="A32" s="15"/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  <c r="O32" s="14"/>
      <c r="P32" s="13"/>
      <c r="Q32" s="14"/>
      <c r="R32" s="14"/>
      <c r="S32" s="14"/>
      <c r="T32" s="14"/>
    </row>
    <row r="33" spans="1:20" x14ac:dyDescent="0.25">
      <c r="A33" s="13"/>
      <c r="B33" s="21"/>
      <c r="C33" s="21"/>
      <c r="D33" s="58"/>
      <c r="E33" s="58"/>
      <c r="F33" s="14"/>
      <c r="G33" s="13"/>
      <c r="H33" s="58"/>
      <c r="I33" s="58"/>
      <c r="J33" s="58"/>
      <c r="K33" s="14"/>
      <c r="L33" s="15"/>
      <c r="M33" s="15"/>
      <c r="N33" s="15"/>
      <c r="O33" s="14"/>
      <c r="P33" s="15"/>
      <c r="Q33" s="15"/>
      <c r="R33" s="15"/>
      <c r="S33" s="14"/>
      <c r="T33" s="14"/>
    </row>
    <row r="34" spans="1:20" x14ac:dyDescent="0.25">
      <c r="A34" s="15"/>
      <c r="B34" s="21"/>
      <c r="C34" s="21"/>
      <c r="D34" s="58"/>
      <c r="E34" s="58"/>
      <c r="F34" s="14"/>
      <c r="G34" s="15"/>
      <c r="H34" s="58"/>
      <c r="I34" s="58"/>
      <c r="J34" s="58"/>
      <c r="K34" s="14"/>
      <c r="L34" s="13"/>
      <c r="M34" s="14"/>
      <c r="N34" s="14"/>
      <c r="O34" s="14"/>
      <c r="P34" s="13"/>
      <c r="Q34" s="14"/>
      <c r="R34" s="14"/>
      <c r="S34" s="14"/>
      <c r="T34" s="14"/>
    </row>
    <row r="36" spans="1:20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36"/>
  <sheetViews>
    <sheetView workbookViewId="0">
      <selection sqref="A1:B1"/>
    </sheetView>
  </sheetViews>
  <sheetFormatPr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RTD("tickerplantrtdserver",,"FWRC1#GBPUSD#Month Wise Rates#0#S#Desc.2")</f>
        <v>TN</v>
      </c>
      <c r="D1" s="76" t="str">
        <f t="array" ref="D1">RTD("tickerplantrtdserver",,"FWRC1#GBPUSD#Month Wise Rates#0#S#Desc.7")</f>
        <v>1M</v>
      </c>
      <c r="E1" s="76" t="str">
        <f t="array" ref="E1">RTD("tickerplantrtdserver",,"FWRC1#GBPUSD#Month Wise Rates#0#S#Desc.8")</f>
        <v>2M</v>
      </c>
      <c r="F1" s="76" t="str">
        <f t="array" ref="F1">RTD("tickerplantrtdserver",,"FWRC1#GBPUSD#Month Wise Rates#0#S#Desc.9")</f>
        <v>3M</v>
      </c>
      <c r="G1" s="76" t="str">
        <f t="array" ref="G1">RTD("tickerplantrtdserver",,"FWRC1#GBPUSD#Month Wise Rates#0#S#Desc.10")</f>
        <v>4M</v>
      </c>
      <c r="H1" s="76" t="str">
        <f t="array" ref="H1">RTD("tickerplantrtdserver",,"FWRC1#GBPUSD#Month Wise Rates#0#S#Desc.11")</f>
        <v>5M</v>
      </c>
      <c r="I1" s="76" t="str">
        <f t="array" ref="I1">RTD("tickerplantrtdserver",,"FWRC1#GBPUSD#Month Wise Rates#0#S#Desc.12")</f>
        <v>6M</v>
      </c>
      <c r="J1" s="76" t="str">
        <f t="array" ref="J1">RTD("tickerplantrtdserver",,"FWRC1#GBPUSD#Month Wise Rates#0#S#Desc.13")</f>
        <v>7M</v>
      </c>
      <c r="K1" s="76" t="str">
        <f t="array" ref="K1">RTD("tickerplantrtdserver",,"FWRC1#GBPUSD#Month Wise Rates#0#S#Desc.14")</f>
        <v>8M</v>
      </c>
      <c r="L1" s="76" t="str">
        <f t="array" ref="L1">RTD("tickerplantrtdserver",,"FWRC1#GBPUSD#Month Wise Rates#0#S#Desc.15")</f>
        <v>9M</v>
      </c>
      <c r="M1" s="76" t="str">
        <f t="array" ref="M1">RTD("tickerplantrtdserver",,"FWRC1#GBPUSD#Month Wise Rates#0#S#Desc.16")</f>
        <v>10M</v>
      </c>
      <c r="N1" s="76" t="str">
        <f t="array" ref="N1">RTD("tickerplantrtdserver",,"FWRC1#GBPUSD#Month Wise Rates#0#S#Desc.17")</f>
        <v>11M</v>
      </c>
      <c r="O1" s="77" t="str">
        <f t="array" ref="O1">RTD("tickerplantrtdserver",,"FWRC1#GBPUSD#Month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RTD("tickerplantrtdserver",,"FWRC1#GBPUSD#Month Wise Rates#0#S#PillarDate2")</f>
        <v>19-May-2023</v>
      </c>
      <c r="D2" s="71" t="str">
        <f t="array" ref="D2">RTD("tickerplantrtdserver",,"FWRC1#GBPUSD#Month Wise Rates#0#S#PillarDate7")</f>
        <v>20-Jun-2023</v>
      </c>
      <c r="E2" s="71" t="str">
        <f t="array" ref="E2">RTD("tickerplantrtdserver",,"FWRC1#GBPUSD#Month Wise Rates#0#S#PillarDate8")</f>
        <v>19-Jul-2023</v>
      </c>
      <c r="F2" s="71" t="str">
        <f t="array" ref="F2">RTD("tickerplantrtdserver",,"FWRC1#GBPUSD#Month Wise Rates#0#S#PillarDate9")</f>
        <v>21-Aug-2023</v>
      </c>
      <c r="G2" s="71" t="str">
        <f t="array" ref="G2">RTD("tickerplantrtdserver",,"FWRC1#GBPUSD#Month Wise Rates#0#S#PillarDate10")</f>
        <v>19-Sep-2023</v>
      </c>
      <c r="H2" s="71" t="str">
        <f t="array" ref="H2">RTD("tickerplantrtdserver",,"FWRC1#GBPUSD#Month Wise Rates#0#S#PillarDate11")</f>
        <v>19-Oct-2023</v>
      </c>
      <c r="I2" s="71" t="str">
        <f t="array" ref="I2">RTD("tickerplantrtdserver",,"FWRC1#GBPUSD#Month Wise Rates#0#S#PillarDate12")</f>
        <v>20-Nov-2023</v>
      </c>
      <c r="J2" s="71" t="str">
        <f t="array" ref="J2">RTD("tickerplantrtdserver",,"FWRC1#GBPUSD#Month Wise Rates#0#S#PillarDate13")</f>
        <v>19-Dec-2023</v>
      </c>
      <c r="K2" s="71" t="str">
        <f t="array" ref="K2">RTD("tickerplantrtdserver",,"FWRC1#GBPUSD#Month Wise Rates#0#S#PillarDate14")</f>
        <v>19-Jan-2024</v>
      </c>
      <c r="L2" s="71" t="str">
        <f t="array" ref="L2">RTD("tickerplantrtdserver",,"FWRC1#GBPUSD#Month Wise Rates#0#S#PillarDate15")</f>
        <v>20-Feb-2024</v>
      </c>
      <c r="M2" s="71" t="str">
        <f t="array" ref="M2">RTD("tickerplantrtdserver",,"FWRC1#GBPUSD#Month Wise Rates#0#S#PillarDate16")</f>
        <v>19-Mar-2024</v>
      </c>
      <c r="N2" s="71" t="str">
        <f t="array" ref="N2">RTD("tickerplantrtdserver",,"FWRC1#GBPUSD#Month Wise Rates#0#S#PillarDate17")</f>
        <v>19-Apr-2024</v>
      </c>
      <c r="O2" s="75" t="str">
        <f t="array" ref="O2">RTD("tickerplantrtdserver",,"FWRC1#GBPUSD#Month Wise Rates#0#S#PillarDate18")</f>
        <v>20-May-2024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RTD("tickerplantrtdserver",,"FWRC1#GBPUSD#Month Wise Rates#0#BidPrice2")</f>
        <v>0.222</v>
      </c>
      <c r="D4" s="65">
        <f t="array" ref="D4">RTD("tickerplantrtdserver",,"FWRC1#GBPUSD#Month Wise Rates#0#BidPrice7")</f>
        <v>8.3000000000000007</v>
      </c>
      <c r="E4" s="65">
        <f t="array" ref="E4">RTD("tickerplantrtdserver",,"FWRC1#GBPUSD#Month Wise Rates#0#BidPrice8")</f>
        <v>15.19</v>
      </c>
      <c r="F4" s="65">
        <f t="array" ref="F4">RTD("tickerplantrtdserver",,"FWRC1#GBPUSD#Month Wise Rates#0#BidPrice9")</f>
        <v>21.568999999999999</v>
      </c>
      <c r="G4" s="65">
        <f t="array" ref="G4">RTD("tickerplantrtdserver",,"FWRC1#GBPUSD#Month Wise Rates#0#BidPrice10")</f>
        <v>26.355</v>
      </c>
      <c r="H4" s="65">
        <f t="array" ref="H4">RTD("tickerplantrtdserver",,"FWRC1#GBPUSD#Month Wise Rates#0#BidPrice11")</f>
        <v>29.81</v>
      </c>
      <c r="I4" s="65">
        <f t="array" ref="I4">RTD("tickerplantrtdserver",,"FWRC1#GBPUSD#Month Wise Rates#0#BidPrice12")</f>
        <v>31.535</v>
      </c>
      <c r="J4" s="65">
        <f t="array" ref="J4">RTD("tickerplantrtdserver",,"FWRC1#GBPUSD#Month Wise Rates#0#BidPrice13")</f>
        <v>31.07</v>
      </c>
      <c r="K4" s="65">
        <f t="array" ref="K4">RTD("tickerplantrtdserver",,"FWRC1#GBPUSD#Month Wise Rates#0#BidPrice14")</f>
        <v>35.74</v>
      </c>
      <c r="L4" s="65">
        <f t="array" ref="L4">RTD("tickerplantrtdserver",,"FWRC1#GBPUSD#Month Wise Rates#0#BidPrice15")</f>
        <v>33.79</v>
      </c>
      <c r="M4" s="65">
        <f t="array" ref="M4">RTD("tickerplantrtdserver",,"FWRC1#GBPUSD#Month Wise Rates#0#BidPrice16")</f>
        <v>32.07</v>
      </c>
      <c r="N4" s="65">
        <f t="array" ref="N4">RTD("tickerplantrtdserver",,"FWRC1#GBPUSD#Month Wise Rates#0#BidPrice17")</f>
        <v>28.22</v>
      </c>
      <c r="O4" s="67">
        <f t="array" ref="O4">RTD("tickerplantrtdserver",,"FWRC1#GBPUSD#Month Wise Rates#0#BidPrice18")</f>
        <v>22.68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RTD("tickerplantrtdserver",,"FWRC1#GBPUSD#Month Wise Rates#0#AskPrice2")</f>
        <v>0.26</v>
      </c>
      <c r="D5" s="65">
        <f t="array" ref="D5">RTD("tickerplantrtdserver",,"FWRC1#GBPUSD#Month Wise Rates#0#AskPrice7")</f>
        <v>8.5399999999999991</v>
      </c>
      <c r="E5" s="65">
        <f t="array" ref="E5">RTD("tickerplantrtdserver",,"FWRC1#GBPUSD#Month Wise Rates#0#AskPrice8")</f>
        <v>15.61</v>
      </c>
      <c r="F5" s="65">
        <f t="array" ref="F5">RTD("tickerplantrtdserver",,"FWRC1#GBPUSD#Month Wise Rates#0#AskPrice9")</f>
        <v>21.713000000000001</v>
      </c>
      <c r="G5" s="65">
        <f t="array" ref="G5">RTD("tickerplantrtdserver",,"FWRC1#GBPUSD#Month Wise Rates#0#AskPrice10")</f>
        <v>26.555</v>
      </c>
      <c r="H5" s="65">
        <f t="array" ref="H5">RTD("tickerplantrtdserver",,"FWRC1#GBPUSD#Month Wise Rates#0#AskPrice11")</f>
        <v>30.05</v>
      </c>
      <c r="I5" s="65">
        <f t="array" ref="I5">RTD("tickerplantrtdserver",,"FWRC1#GBPUSD#Month Wise Rates#0#AskPrice12")</f>
        <v>31.815000000000001</v>
      </c>
      <c r="J5" s="65">
        <f t="array" ref="J5">RTD("tickerplantrtdserver",,"FWRC1#GBPUSD#Month Wise Rates#0#AskPrice13")</f>
        <v>32.909999999999997</v>
      </c>
      <c r="K5" s="65">
        <f t="array" ref="K5">RTD("tickerplantrtdserver",,"FWRC1#GBPUSD#Month Wise Rates#0#AskPrice14")</f>
        <v>37.5</v>
      </c>
      <c r="L5" s="65">
        <f t="array" ref="L5">RTD("tickerplantrtdserver",,"FWRC1#GBPUSD#Month Wise Rates#0#AskPrice15")</f>
        <v>35.94</v>
      </c>
      <c r="M5" s="65">
        <f t="array" ref="M5">RTD("tickerplantrtdserver",,"FWRC1#GBPUSD#Month Wise Rates#0#AskPrice16")</f>
        <v>32.869999999999997</v>
      </c>
      <c r="N5" s="65">
        <f t="array" ref="N5">RTD("tickerplantrtdserver",,"FWRC1#GBPUSD#Month Wise Rates#0#AskPrice17")</f>
        <v>29.97</v>
      </c>
      <c r="O5" s="67">
        <f t="array" ref="O5">RTD("tickerplantrtdserver",,"FWRC1#GBPUSD#Month Wise Rates#0#AskPrice18")</f>
        <v>24.51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 t="array" ref="C7">RTD("tickerplantrtdserver",,"FWRC1#GBPUSD#Month Wise Rates#0#FwdOutrightBid2")</f>
        <v>1.2465999999999999</v>
      </c>
      <c r="D7" s="64">
        <f t="array" ref="D7">RTD("tickerplantrtdserver",,"FWRC1#GBPUSD#Month Wise Rates#0#FwdOutrightBid7")</f>
        <v>1.2472000000000001</v>
      </c>
      <c r="E7" s="64">
        <f t="array" ref="E7">RTD("tickerplantrtdserver",,"FWRC1#GBPUSD#Month Wise Rates#0#FwdOutrightBid8")</f>
        <v>1.248</v>
      </c>
      <c r="F7" s="64">
        <f t="array" ref="F7">RTD("tickerplantrtdserver",,"FWRC1#GBPUSD#Month Wise Rates#0#FwdOutrightBid9")</f>
        <v>1.2485999999999999</v>
      </c>
      <c r="G7" s="64">
        <f t="array" ref="G7">RTD("tickerplantrtdserver",,"FWRC1#GBPUSD#Month Wise Rates#0#FwdOutrightBid10")</f>
        <v>1.2491000000000001</v>
      </c>
      <c r="H7" s="64">
        <f t="array" ref="H7">RTD("tickerplantrtdserver",,"FWRC1#GBPUSD#Month Wise Rates#0#FwdOutrightBid11")</f>
        <v>1.2493000000000001</v>
      </c>
      <c r="I7" s="64">
        <f t="array" ref="I7">RTD("tickerplantrtdserver",,"FWRC1#GBPUSD#Month Wise Rates#0#FwdOutrightBid12")</f>
        <v>1.2494000000000001</v>
      </c>
      <c r="J7" s="64">
        <f t="array" ref="J7">RTD("tickerplantrtdserver",,"FWRC1#GBPUSD#Month Wise Rates#0#FwdOutrightBid13")</f>
        <v>1.2497</v>
      </c>
      <c r="K7" s="64">
        <f t="array" ref="K7">RTD("tickerplantrtdserver",,"FWRC1#GBPUSD#Month Wise Rates#0#FwdOutrightBid14")</f>
        <v>1.2499</v>
      </c>
      <c r="L7" s="64">
        <f t="array" ref="L7">RTD("tickerplantrtdserver",,"FWRC1#GBPUSD#Month Wise Rates#0#FwdOutrightBid15")</f>
        <v>1.2497</v>
      </c>
      <c r="M7" s="64">
        <f t="array" ref="M7">RTD("tickerplantrtdserver",,"FWRC1#GBPUSD#Month Wise Rates#0#FwdOutrightBid16")</f>
        <v>1.2496</v>
      </c>
      <c r="N7" s="64">
        <f t="array" ref="N7">RTD("tickerplantrtdserver",,"FWRC1#GBPUSD#Month Wise Rates#0#FwdOutrightBid17")</f>
        <v>1.2491000000000001</v>
      </c>
      <c r="O7" s="68">
        <f t="array" ref="O7">RTD("tickerplantrtdserver",,"FWRC1#GBPUSD#Month Wise Rates#0#FwdOutrightBid18")</f>
        <v>1.2485999999999999</v>
      </c>
      <c r="P7" s="20"/>
    </row>
    <row r="8" spans="1:18" s="14" customFormat="1" x14ac:dyDescent="0.25">
      <c r="A8" s="160" t="s">
        <v>48</v>
      </c>
      <c r="B8" s="161"/>
      <c r="C8" s="64">
        <f t="array" ref="C8">RTD("tickerplantrtdserver",,"FWRC1#GBPUSD#Month Wise Rates#0#FwdOutrightAsk2")</f>
        <v>1.2466999999999999</v>
      </c>
      <c r="D8" s="64">
        <f t="array" ref="D8">RTD("tickerplantrtdserver",,"FWRC1#GBPUSD#Month Wise Rates#0#FwdOutrightAsk7")</f>
        <v>1.2473000000000001</v>
      </c>
      <c r="E8" s="64">
        <f t="array" ref="E8">RTD("tickerplantrtdserver",,"FWRC1#GBPUSD#Month Wise Rates#0#FwdOutrightAsk8")</f>
        <v>1.248</v>
      </c>
      <c r="F8" s="64">
        <f t="array" ref="F8">RTD("tickerplantrtdserver",,"FWRC1#GBPUSD#Month Wise Rates#0#FwdOutrightAsk9")</f>
        <v>1.2486999999999999</v>
      </c>
      <c r="G8" s="64">
        <f t="array" ref="G8">RTD("tickerplantrtdserver",,"FWRC1#GBPUSD#Month Wise Rates#0#FwdOutrightAsk10")</f>
        <v>1.2492000000000001</v>
      </c>
      <c r="H8" s="64">
        <f t="array" ref="H8">RTD("tickerplantrtdserver",,"FWRC1#GBPUSD#Month Wise Rates#0#FwdOutrightAsk11")</f>
        <v>1.2494000000000001</v>
      </c>
      <c r="I8" s="64">
        <f t="array" ref="I8">RTD("tickerplantrtdserver",,"FWRC1#GBPUSD#Month Wise Rates#0#FwdOutrightAsk12")</f>
        <v>1.2496</v>
      </c>
      <c r="J8" s="64">
        <f t="array" ref="J8">RTD("tickerplantrtdserver",,"FWRC1#GBPUSD#Month Wise Rates#0#FwdOutrightAsk13")</f>
        <v>1.2499</v>
      </c>
      <c r="K8" s="64">
        <f t="array" ref="K8">RTD("tickerplantrtdserver",,"FWRC1#GBPUSD#Month Wise Rates#0#FwdOutrightAsk14")</f>
        <v>1.2502</v>
      </c>
      <c r="L8" s="64">
        <f t="array" ref="L8">RTD("tickerplantrtdserver",,"FWRC1#GBPUSD#Month Wise Rates#0#FwdOutrightAsk15")</f>
        <v>1.25</v>
      </c>
      <c r="M8" s="64">
        <f t="array" ref="M8">RTD("tickerplantrtdserver",,"FWRC1#GBPUSD#Month Wise Rates#0#FwdOutrightAsk16")</f>
        <v>1.2498</v>
      </c>
      <c r="N8" s="64">
        <f t="array" ref="N8">RTD("tickerplantrtdserver",,"FWRC1#GBPUSD#Month Wise Rates#0#FwdOutrightAsk17")</f>
        <v>1.2494000000000001</v>
      </c>
      <c r="O8" s="68">
        <f t="array" ref="O8">RTD("tickerplantrtdserver",,"FWRC1#GBPUSD#Month Wise Rates#0#FwdOutrightAsk18")</f>
        <v>1.2488999999999999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RTD("tickerplantrtdserver",,"FWRC1#GBPUSD#Month Wise Rates#0#Bid%2")</f>
        <v>0.65</v>
      </c>
      <c r="D10" s="65">
        <f t="array" ref="D10">RTD("tickerplantrtdserver",,"FWRC1#GBPUSD#Month Wise Rates#0#Bid%7")</f>
        <v>0.75960000000000005</v>
      </c>
      <c r="E10" s="65">
        <f t="array" ref="E10">RTD("tickerplantrtdserver",,"FWRC1#GBPUSD#Month Wise Rates#0#Bid%8")</f>
        <v>0.72919999999999996</v>
      </c>
      <c r="F10" s="65">
        <f t="array" ref="F10">RTD("tickerplantrtdserver",,"FWRC1#GBPUSD#Month Wise Rates#0#Bid%9")</f>
        <v>0.67190000000000005</v>
      </c>
      <c r="G10" s="65">
        <f t="array" ref="G10">RTD("tickerplantrtdserver",,"FWRC1#GBPUSD#Month Wise Rates#0#Bid%10")</f>
        <v>0.62739999999999996</v>
      </c>
      <c r="H10" s="65">
        <f t="array" ref="H10">RTD("tickerplantrtdserver",,"FWRC1#GBPUSD#Month Wise Rates#0#Bid%11")</f>
        <v>0.5706</v>
      </c>
      <c r="I10" s="65">
        <f t="array" ref="I10">RTD("tickerplantrtdserver",,"FWRC1#GBPUSD#Month Wise Rates#0#Bid%12")</f>
        <v>0.49919999999999998</v>
      </c>
      <c r="J10" s="65">
        <f t="array" ref="J10">RTD("tickerplantrtdserver",,"FWRC1#GBPUSD#Month Wise Rates#0#Bid%13")</f>
        <v>0.42509999999999998</v>
      </c>
      <c r="K10" s="65">
        <f t="array" ref="K10">RTD("tickerplantrtdserver",,"FWRC1#GBPUSD#Month Wise Rates#0#Bid%14")</f>
        <v>0.42720000000000002</v>
      </c>
      <c r="L10" s="65">
        <f t="array" ref="L10">RTD("tickerplantrtdserver",,"FWRC1#GBPUSD#Month Wise Rates#0#Bid%15")</f>
        <v>0.35720000000000002</v>
      </c>
      <c r="M10" s="65">
        <f t="array" ref="M10">RTD("tickerplantrtdserver",,"FWRC1#GBPUSD#Month Wise Rates#0#Bid%16")</f>
        <v>0.30790000000000001</v>
      </c>
      <c r="N10" s="65">
        <f t="array" ref="N10">RTD("tickerplantrtdserver",,"FWRC1#GBPUSD#Month Wise Rates#0#Bid%17")</f>
        <v>0.24590000000000001</v>
      </c>
      <c r="O10" s="67">
        <f t="array" ref="O10">RTD("tickerplantrtdserver",,"FWRC1#GBPUSD#Month Wise Rates#0#Bid%18")</f>
        <v>0.18099999999999999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RTD("tickerplantrtdserver",,"FWRC1#GBPUSD#Month Wise Rates#0#Ask%2")</f>
        <v>0.76119999999999999</v>
      </c>
      <c r="D11" s="69">
        <f t="array" ref="D11">RTD("tickerplantrtdserver",,"FWRC1#GBPUSD#Month Wise Rates#0#Ask%7")</f>
        <v>0.78159999999999996</v>
      </c>
      <c r="E11" s="69">
        <f t="array" ref="E11">RTD("tickerplantrtdserver",,"FWRC1#GBPUSD#Month Wise Rates#0#Ask%8")</f>
        <v>0.74939999999999996</v>
      </c>
      <c r="F11" s="69">
        <f t="array" ref="F11">RTD("tickerplantrtdserver",,"FWRC1#GBPUSD#Month Wise Rates#0#Ask%9")</f>
        <v>0.6764</v>
      </c>
      <c r="G11" s="69">
        <f t="array" ref="G11">RTD("tickerplantrtdserver",,"FWRC1#GBPUSD#Month Wise Rates#0#Ask%10")</f>
        <v>0.63219999999999998</v>
      </c>
      <c r="H11" s="69">
        <f t="array" ref="H11">RTD("tickerplantrtdserver",,"FWRC1#GBPUSD#Month Wise Rates#0#Ask%11")</f>
        <v>0.57520000000000004</v>
      </c>
      <c r="I11" s="69">
        <f t="array" ref="I11">RTD("tickerplantrtdserver",,"FWRC1#GBPUSD#Month Wise Rates#0#Ask%12")</f>
        <v>0.50370000000000004</v>
      </c>
      <c r="J11" s="69">
        <f t="array" ref="J11">RTD("tickerplantrtdserver",,"FWRC1#GBPUSD#Month Wise Rates#0#Ask%13")</f>
        <v>0.45029999999999998</v>
      </c>
      <c r="K11" s="69">
        <f t="array" ref="K11">RTD("tickerplantrtdserver",,"FWRC1#GBPUSD#Month Wise Rates#0#Ask%14")</f>
        <v>0.44829999999999998</v>
      </c>
      <c r="L11" s="69">
        <f t="array" ref="L11">RTD("tickerplantrtdserver",,"FWRC1#GBPUSD#Month Wise Rates#0#Ask%15")</f>
        <v>0.38</v>
      </c>
      <c r="M11" s="69">
        <f t="array" ref="M11">RTD("tickerplantrtdserver",,"FWRC1#GBPUSD#Month Wise Rates#0#Ask%16")</f>
        <v>0.31559999999999999</v>
      </c>
      <c r="N11" s="69">
        <f t="array" ref="N11">RTD("tickerplantrtdserver",,"FWRC1#GBPUSD#Month Wise Rates#0#Ask%17")</f>
        <v>0.26119999999999999</v>
      </c>
      <c r="O11" s="70">
        <f t="array" ref="O11">RTD("tickerplantrtdserver",,"FWRC1#GBPUSD#Month Wise Rates#0#Ask%18")</f>
        <v>0.1956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31"/>
      <c r="R14" s="31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5"/>
      <c r="R15" s="15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6" spans="1:16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>
      <selection sqref="A1:B1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RTD("tickerplantrtdserver",,"FWRC1#USDJPY#Month Wise Rates#0#S#Desc.2")</f>
        <v>TN</v>
      </c>
      <c r="D1" s="76" t="str">
        <f t="array" ref="D1">RTD("tickerplantrtdserver",,"FWRC1#USDJPY#Month Wise Rates#0#S#Desc.7")</f>
        <v>1M</v>
      </c>
      <c r="E1" s="76" t="str">
        <f t="array" ref="E1">RTD("tickerplantrtdserver",,"FWRC1#USDJPY#Month Wise Rates#0#S#Desc.8")</f>
        <v>2M</v>
      </c>
      <c r="F1" s="76" t="str">
        <f t="array" ref="F1">RTD("tickerplantrtdserver",,"FWRC1#USDJPY#Month Wise Rates#0#S#Desc.9")</f>
        <v>3M</v>
      </c>
      <c r="G1" s="76" t="str">
        <f t="array" ref="G1">RTD("tickerplantrtdserver",,"FWRC1#USDJPY#Month Wise Rates#0#S#Desc.10")</f>
        <v>4M</v>
      </c>
      <c r="H1" s="76" t="str">
        <f t="array" ref="H1">RTD("tickerplantrtdserver",,"FWRC1#USDJPY#Month Wise Rates#0#S#Desc.11")</f>
        <v>5M</v>
      </c>
      <c r="I1" s="76" t="str">
        <f t="array" ref="I1">RTD("tickerplantrtdserver",,"FWRC1#USDJPY#Month Wise Rates#0#S#Desc.12")</f>
        <v>6M</v>
      </c>
      <c r="J1" s="76" t="str">
        <f t="array" ref="J1">RTD("tickerplantrtdserver",,"FWRC1#USDJPY#Month Wise Rates#0#S#Desc.13")</f>
        <v>7M</v>
      </c>
      <c r="K1" s="76" t="str">
        <f t="array" ref="K1">RTD("tickerplantrtdserver",,"FWRC1#USDJPY#Month Wise Rates#0#S#Desc.14")</f>
        <v>8M</v>
      </c>
      <c r="L1" s="76" t="str">
        <f t="array" ref="L1">RTD("tickerplantrtdserver",,"FWRC1#USDJPY#Month Wise Rates#0#S#Desc.15")</f>
        <v>9M</v>
      </c>
      <c r="M1" s="76" t="str">
        <f t="array" ref="M1">RTD("tickerplantrtdserver",,"FWRC1#USDJPY#Month Wise Rates#0#S#Desc.16")</f>
        <v>10M</v>
      </c>
      <c r="N1" s="76" t="str">
        <f t="array" ref="N1">RTD("tickerplantrtdserver",,"FWRC1#USDJPY#Month Wise Rates#0#S#Desc.17")</f>
        <v>11M</v>
      </c>
      <c r="O1" s="77" t="str">
        <f t="array" ref="O1">RTD("tickerplantrtdserver",,"FWRC1#USDJPY#Month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RTD("tickerplantrtdserver",,"FWRC1#USDJPY#Month Wise Rates#0#S#PillarDate2")</f>
        <v>19-May-2023</v>
      </c>
      <c r="D2" s="71" t="str">
        <f t="array" ref="D2">RTD("tickerplantrtdserver",,"FWRC1#USDJPY#Month Wise Rates#0#S#PillarDate7")</f>
        <v>20-Jun-2023</v>
      </c>
      <c r="E2" s="71" t="str">
        <f t="array" ref="E2">RTD("tickerplantrtdserver",,"FWRC1#USDJPY#Month Wise Rates#0#S#PillarDate8")</f>
        <v>19-Jul-2023</v>
      </c>
      <c r="F2" s="71" t="str">
        <f t="array" ref="F2">RTD("tickerplantrtdserver",,"FWRC1#USDJPY#Month Wise Rates#0#S#PillarDate9")</f>
        <v>21-Aug-2023</v>
      </c>
      <c r="G2" s="71" t="str">
        <f t="array" ref="G2">RTD("tickerplantrtdserver",,"FWRC1#USDJPY#Month Wise Rates#0#S#PillarDate10")</f>
        <v>19-Sep-2023</v>
      </c>
      <c r="H2" s="71" t="str">
        <f t="array" ref="H2">RTD("tickerplantrtdserver",,"FWRC1#USDJPY#Month Wise Rates#0#S#PillarDate11")</f>
        <v>19-Oct-2023</v>
      </c>
      <c r="I2" s="71" t="str">
        <f t="array" ref="I2">RTD("tickerplantrtdserver",,"FWRC1#USDJPY#Month Wise Rates#0#S#PillarDate12")</f>
        <v>20-Nov-2023</v>
      </c>
      <c r="J2" s="71" t="str">
        <f t="array" ref="J2">RTD("tickerplantrtdserver",,"FWRC1#USDJPY#Month Wise Rates#0#S#PillarDate13")</f>
        <v>19-Dec-2023</v>
      </c>
      <c r="K2" s="71" t="str">
        <f t="array" ref="K2">RTD("tickerplantrtdserver",,"FWRC1#USDJPY#Month Wise Rates#0#S#PillarDate14")</f>
        <v>19-Jan-2024</v>
      </c>
      <c r="L2" s="71" t="str">
        <f t="array" ref="L2">RTD("tickerplantrtdserver",,"FWRC1#USDJPY#Month Wise Rates#0#S#PillarDate15")</f>
        <v>20-Feb-2024</v>
      </c>
      <c r="M2" s="71" t="str">
        <f t="array" ref="M2">RTD("tickerplantrtdserver",,"FWRC1#USDJPY#Month Wise Rates#0#S#PillarDate16")</f>
        <v>19-Mar-2024</v>
      </c>
      <c r="N2" s="71" t="str">
        <f t="array" ref="N2">RTD("tickerplantrtdserver",,"FWRC1#USDJPY#Month Wise Rates#0#S#PillarDate17")</f>
        <v>19-Apr-2024</v>
      </c>
      <c r="O2" s="75" t="str">
        <f t="array" ref="O2">RTD("tickerplantrtdserver",,"FWRC1#USDJPY#Month Wise Rates#0#S#PillarDate18")</f>
        <v>20-May-2024</v>
      </c>
      <c r="P2" s="30"/>
    </row>
    <row r="3" spans="1:18" s="14" customFormat="1" x14ac:dyDescent="0.25">
      <c r="A3" s="162" t="s">
        <v>4</v>
      </c>
      <c r="B3" s="163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1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RTD("tickerplantrtdserver",,"FWRC1#USDJPY#Month Wise Rates#0#BidPrice2")</f>
        <v>-2.04</v>
      </c>
      <c r="D4" s="65">
        <f t="array" ref="D4">RTD("tickerplantrtdserver",,"FWRC1#USDJPY#Month Wise Rates#0#BidPrice7")</f>
        <v>-65.959999999999994</v>
      </c>
      <c r="E4" s="65">
        <f t="array" ref="E4">RTD("tickerplantrtdserver",,"FWRC1#USDJPY#Month Wise Rates#0#BidPrice8")</f>
        <v>-127.99</v>
      </c>
      <c r="F4" s="65">
        <f t="array" ref="F4">RTD("tickerplantrtdserver",,"FWRC1#USDJPY#Month Wise Rates#0#BidPrice9")</f>
        <v>-196.73</v>
      </c>
      <c r="G4" s="65">
        <f t="array" ref="G4">RTD("tickerplantrtdserver",,"FWRC1#USDJPY#Month Wise Rates#0#BidPrice10")</f>
        <v>-256.3</v>
      </c>
      <c r="H4" s="65">
        <f t="array" ref="H4">RTD("tickerplantrtdserver",,"FWRC1#USDJPY#Month Wise Rates#0#BidPrice11")</f>
        <v>-318.62</v>
      </c>
      <c r="I4" s="65">
        <f t="array" ref="I4">RTD("tickerplantrtdserver",,"FWRC1#USDJPY#Month Wise Rates#0#BidPrice12")</f>
        <v>-382.97</v>
      </c>
      <c r="J4" s="65">
        <f t="array" ref="J4">RTD("tickerplantrtdserver",,"FWRC1#USDJPY#Month Wise Rates#0#BidPrice13")</f>
        <v>-437.8</v>
      </c>
      <c r="K4" s="65">
        <f t="array" ref="K4">RTD("tickerplantrtdserver",,"FWRC1#USDJPY#Month Wise Rates#0#BidPrice14")</f>
        <v>-509.28</v>
      </c>
      <c r="L4" s="65">
        <f t="array" ref="L4">RTD("tickerplantrtdserver",,"FWRC1#USDJPY#Month Wise Rates#0#BidPrice15")</f>
        <v>-568.1</v>
      </c>
      <c r="M4" s="65">
        <f t="array" ref="M4">RTD("tickerplantrtdserver",,"FWRC1#USDJPY#Month Wise Rates#0#BidPrice16")</f>
        <v>-615.5</v>
      </c>
      <c r="N4" s="65">
        <f t="array" ref="N4">RTD("tickerplantrtdserver",,"FWRC1#USDJPY#Month Wise Rates#0#BidPrice17")</f>
        <v>-668.8</v>
      </c>
      <c r="O4" s="67">
        <f t="array" ref="O4">RTD("tickerplantrtdserver",,"FWRC1#USDJPY#Month Wise Rates#0#BidPrice18")</f>
        <v>-718.7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RTD("tickerplantrtdserver",,"FWRC1#USDJPY#Month Wise Rates#0#AskPrice2")</f>
        <v>-1.96</v>
      </c>
      <c r="D5" s="65">
        <f t="array" ref="D5">RTD("tickerplantrtdserver",,"FWRC1#USDJPY#Month Wise Rates#0#AskPrice7")</f>
        <v>-65.459999999999994</v>
      </c>
      <c r="E5" s="65">
        <f t="array" ref="E5">RTD("tickerplantrtdserver",,"FWRC1#USDJPY#Month Wise Rates#0#AskPrice8")</f>
        <v>-127.29</v>
      </c>
      <c r="F5" s="65">
        <f t="array" ref="F5">RTD("tickerplantrtdserver",,"FWRC1#USDJPY#Month Wise Rates#0#AskPrice9")</f>
        <v>-196.48</v>
      </c>
      <c r="G5" s="65">
        <f t="array" ref="G5">RTD("tickerplantrtdserver",,"FWRC1#USDJPY#Month Wise Rates#0#AskPrice10")</f>
        <v>-254.8</v>
      </c>
      <c r="H5" s="65">
        <f t="array" ref="H5">RTD("tickerplantrtdserver",,"FWRC1#USDJPY#Month Wise Rates#0#AskPrice11")</f>
        <v>-317.12</v>
      </c>
      <c r="I5" s="65">
        <f t="array" ref="I5">RTD("tickerplantrtdserver",,"FWRC1#USDJPY#Month Wise Rates#0#AskPrice12")</f>
        <v>-381.75</v>
      </c>
      <c r="J5" s="65">
        <f t="array" ref="J5">RTD("tickerplantrtdserver",,"FWRC1#USDJPY#Month Wise Rates#0#AskPrice13")</f>
        <v>-435.8</v>
      </c>
      <c r="K5" s="65">
        <f t="array" ref="K5">RTD("tickerplantrtdserver",,"FWRC1#USDJPY#Month Wise Rates#0#AskPrice14")</f>
        <v>-508.32</v>
      </c>
      <c r="L5" s="65">
        <f t="array" ref="L5">RTD("tickerplantrtdserver",,"FWRC1#USDJPY#Month Wise Rates#0#AskPrice15")</f>
        <v>-566.6</v>
      </c>
      <c r="M5" s="65">
        <f t="array" ref="M5">RTD("tickerplantrtdserver",,"FWRC1#USDJPY#Month Wise Rates#0#AskPrice16")</f>
        <v>-613.9</v>
      </c>
      <c r="N5" s="65">
        <f t="array" ref="N5">RTD("tickerplantrtdserver",,"FWRC1#USDJPY#Month Wise Rates#0#AskPrice17")</f>
        <v>-665.3</v>
      </c>
      <c r="O5" s="67">
        <f t="array" ref="O5">RTD("tickerplantrtdserver",,"FWRC1#USDJPY#Month Wise Rates#0#AskPrice18")</f>
        <v>-716.7</v>
      </c>
      <c r="P5" s="20"/>
    </row>
    <row r="6" spans="1:18" s="14" customFormat="1" x14ac:dyDescent="0.25">
      <c r="A6" s="162" t="s">
        <v>3</v>
      </c>
      <c r="B6" s="163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1"/>
      <c r="P6" s="20"/>
    </row>
    <row r="7" spans="1:18" s="14" customFormat="1" x14ac:dyDescent="0.25">
      <c r="A7" s="160" t="s">
        <v>47</v>
      </c>
      <c r="B7" s="161"/>
      <c r="C7" s="65">
        <f t="array" ref="C7">RTD("tickerplantrtdserver",,"FWRC1#USDJPY#Month Wise Rates#0#FwdOutrightBid2")</f>
        <v>137.3526</v>
      </c>
      <c r="D7" s="65">
        <f t="array" ref="D7">RTD("tickerplantrtdserver",,"FWRC1#USDJPY#Month Wise Rates#0#FwdOutrightBid7")</f>
        <v>136.6754</v>
      </c>
      <c r="E7" s="65">
        <f t="array" ref="E7">RTD("tickerplantrtdserver",,"FWRC1#USDJPY#Month Wise Rates#0#FwdOutrightBid8")</f>
        <v>136.05510000000001</v>
      </c>
      <c r="F7" s="65">
        <f t="array" ref="F7">RTD("tickerplantrtdserver",,"FWRC1#USDJPY#Month Wise Rates#0#FwdOutrightBid9")</f>
        <v>135.36770000000001</v>
      </c>
      <c r="G7" s="65">
        <f t="array" ref="G7">RTD("tickerplantrtdserver",,"FWRC1#USDJPY#Month Wise Rates#0#FwdOutrightBid10")</f>
        <v>134.779</v>
      </c>
      <c r="H7" s="65">
        <f t="array" ref="H7">RTD("tickerplantrtdserver",,"FWRC1#USDJPY#Month Wise Rates#0#FwdOutrightBid11")</f>
        <v>134.1498</v>
      </c>
      <c r="I7" s="65">
        <f t="array" ref="I7">RTD("tickerplantrtdserver",,"FWRC1#USDJPY#Month Wise Rates#0#FwdOutrightBid12")</f>
        <v>133.5033</v>
      </c>
      <c r="J7" s="65">
        <f t="array" ref="J7">RTD("tickerplantrtdserver",,"FWRC1#USDJPY#Month Wise Rates#0#FwdOutrightBid13")</f>
        <v>132.96100000000001</v>
      </c>
      <c r="K7" s="65">
        <f t="array" ref="K7">RTD("tickerplantrtdserver",,"FWRC1#USDJPY#Month Wise Rates#0#FwdOutrightBid14")</f>
        <v>132.24420000000001</v>
      </c>
      <c r="L7" s="65">
        <f t="array" ref="L7">RTD("tickerplantrtdserver",,"FWRC1#USDJPY#Month Wise Rates#0#FwdOutrightBid15")</f>
        <v>131.66</v>
      </c>
      <c r="M7" s="65">
        <f t="array" ref="M7">RTD("tickerplantrtdserver",,"FWRC1#USDJPY#Month Wise Rates#0#FwdOutrightBid16")</f>
        <v>131.18</v>
      </c>
      <c r="N7" s="65">
        <f t="array" ref="N7">RTD("tickerplantrtdserver",,"FWRC1#USDJPY#Month Wise Rates#0#FwdOutrightBid17")</f>
        <v>130.64699999999999</v>
      </c>
      <c r="O7" s="67">
        <f t="array" ref="O7">RTD("tickerplantrtdserver",,"FWRC1#USDJPY#Month Wise Rates#0#FwdOutrightBid18")</f>
        <v>130.155</v>
      </c>
      <c r="P7" s="20"/>
    </row>
    <row r="8" spans="1:18" s="14" customFormat="1" x14ac:dyDescent="0.25">
      <c r="A8" s="160" t="s">
        <v>48</v>
      </c>
      <c r="B8" s="161"/>
      <c r="C8" s="65">
        <f t="array" ref="C8">RTD("tickerplantrtdserver",,"FWRC1#USDJPY#Month Wise Rates#0#FwdOutrightAsk2")</f>
        <v>137.36539999999999</v>
      </c>
      <c r="D8" s="65">
        <f t="array" ref="D8">RTD("tickerplantrtdserver",,"FWRC1#USDJPY#Month Wise Rates#0#FwdOutrightAsk7")</f>
        <v>136.68539999999999</v>
      </c>
      <c r="E8" s="65">
        <f t="array" ref="E8">RTD("tickerplantrtdserver",,"FWRC1#USDJPY#Month Wise Rates#0#FwdOutrightAsk8")</f>
        <v>136.06710000000001</v>
      </c>
      <c r="F8" s="65">
        <f t="array" ref="F8">RTD("tickerplantrtdserver",,"FWRC1#USDJPY#Month Wise Rates#0#FwdOutrightAsk9")</f>
        <v>135.37520000000001</v>
      </c>
      <c r="G8" s="65">
        <f t="array" ref="G8">RTD("tickerplantrtdserver",,"FWRC1#USDJPY#Month Wise Rates#0#FwdOutrightAsk10")</f>
        <v>134.79400000000001</v>
      </c>
      <c r="H8" s="65">
        <f t="array" ref="H8">RTD("tickerplantrtdserver",,"FWRC1#USDJPY#Month Wise Rates#0#FwdOutrightAsk11")</f>
        <v>134.16679999999999</v>
      </c>
      <c r="I8" s="65">
        <f t="array" ref="I8">RTD("tickerplantrtdserver",,"FWRC1#USDJPY#Month Wise Rates#0#FwdOutrightAsk12")</f>
        <v>133.52950000000001</v>
      </c>
      <c r="J8" s="65">
        <f t="array" ref="J8">RTD("tickerplantrtdserver",,"FWRC1#USDJPY#Month Wise Rates#0#FwdOutrightAsk13")</f>
        <v>132.98099999999999</v>
      </c>
      <c r="K8" s="65">
        <f t="array" ref="K8">RTD("tickerplantrtdserver",,"FWRC1#USDJPY#Month Wise Rates#0#FwdOutrightAsk14")</f>
        <v>132.2578</v>
      </c>
      <c r="L8" s="65">
        <f t="array" ref="L8">RTD("tickerplantrtdserver",,"FWRC1#USDJPY#Month Wise Rates#0#FwdOutrightAsk15")</f>
        <v>131.67599999999999</v>
      </c>
      <c r="M8" s="65">
        <f t="array" ref="M8">RTD("tickerplantrtdserver",,"FWRC1#USDJPY#Month Wise Rates#0#FwdOutrightAsk16")</f>
        <v>131.203</v>
      </c>
      <c r="N8" s="65">
        <f t="array" ref="N8">RTD("tickerplantrtdserver",,"FWRC1#USDJPY#Month Wise Rates#0#FwdOutrightAsk17")</f>
        <v>130.68899999999999</v>
      </c>
      <c r="O8" s="67">
        <f t="array" ref="O8">RTD("tickerplantrtdserver",,"FWRC1#USDJPY#Month Wise Rates#0#FwdOutrightAsk18")</f>
        <v>130.17500000000001</v>
      </c>
    </row>
    <row r="9" spans="1:18" s="14" customFormat="1" x14ac:dyDescent="0.25">
      <c r="A9" s="162" t="s">
        <v>2</v>
      </c>
      <c r="B9" s="163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1"/>
    </row>
    <row r="10" spans="1:18" s="14" customFormat="1" x14ac:dyDescent="0.25">
      <c r="A10" s="160" t="s">
        <v>47</v>
      </c>
      <c r="B10" s="161"/>
      <c r="C10" s="65">
        <f t="array" ref="C10">RTD("tickerplantrtdserver",,"FWRC1#USDJPY#Month Wise Rates#0#Bid%2")</f>
        <v>-5.4214000000000002</v>
      </c>
      <c r="D10" s="65">
        <f t="array" ref="D10">RTD("tickerplantrtdserver",,"FWRC1#USDJPY#Month Wise Rates#0#Bid%7")</f>
        <v>-5.4781000000000004</v>
      </c>
      <c r="E10" s="65">
        <f t="array" ref="E10">RTD("tickerplantrtdserver",,"FWRC1#USDJPY#Month Wise Rates#0#Bid%8")</f>
        <v>-5.5762</v>
      </c>
      <c r="F10" s="65">
        <f t="array" ref="F10">RTD("tickerplantrtdserver",,"FWRC1#USDJPY#Month Wise Rates#0#Bid%9")</f>
        <v>-5.5621</v>
      </c>
      <c r="G10" s="65">
        <f t="array" ref="G10">RTD("tickerplantrtdserver",,"FWRC1#USDJPY#Month Wise Rates#0#Bid%10")</f>
        <v>-5.5377000000000001</v>
      </c>
      <c r="H10" s="65">
        <f t="array" ref="H10">RTD("tickerplantrtdserver",,"FWRC1#USDJPY#Month Wise Rates#0#Bid%11")</f>
        <v>-5.5346000000000002</v>
      </c>
      <c r="I10" s="65">
        <f t="array" ref="I10">RTD("tickerplantrtdserver",,"FWRC1#USDJPY#Month Wise Rates#0#Bid%12")</f>
        <v>-5.5012999999999996</v>
      </c>
      <c r="J10" s="65">
        <f t="array" ref="J10">RTD("tickerplantrtdserver",,"FWRC1#USDJPY#Month Wise Rates#0#Bid%13")</f>
        <v>-5.4370000000000003</v>
      </c>
      <c r="K10" s="65">
        <f t="array" ref="K10">RTD("tickerplantrtdserver",,"FWRC1#USDJPY#Month Wise Rates#0#Bid%14")</f>
        <v>-5.5244</v>
      </c>
      <c r="L10" s="65">
        <f t="array" ref="L10">RTD("tickerplantrtdserver",,"FWRC1#USDJPY#Month Wise Rates#0#Bid%15")</f>
        <v>-5.4504999999999999</v>
      </c>
      <c r="M10" s="65">
        <f t="array" ref="M10">RTD("tickerplantrtdserver",,"FWRC1#USDJPY#Month Wise Rates#0#Bid%16")</f>
        <v>-5.3631000000000002</v>
      </c>
      <c r="N10" s="65">
        <f t="array" ref="N10">RTD("tickerplantrtdserver",,"FWRC1#USDJPY#Month Wise Rates#0#Bid%17")</f>
        <v>-5.2899000000000003</v>
      </c>
      <c r="O10" s="67">
        <f t="array" ref="O10">RTD("tickerplantrtdserver",,"FWRC1#USDJPY#Month Wise Rates#0#Bid%18")</f>
        <v>-5.2043999999999997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RTD("tickerplantrtdserver",,"FWRC1#USDJPY#Month Wise Rates#0#Ask%2")</f>
        <v>-5.2092000000000001</v>
      </c>
      <c r="D11" s="69">
        <f t="array" ref="D11">RTD("tickerplantrtdserver",,"FWRC1#USDJPY#Month Wise Rates#0#Ask%7")</f>
        <v>-5.4367000000000001</v>
      </c>
      <c r="E11" s="69">
        <f t="array" ref="E11">RTD("tickerplantrtdserver",,"FWRC1#USDJPY#Month Wise Rates#0#Ask%8")</f>
        <v>-5.5460000000000003</v>
      </c>
      <c r="F11" s="69">
        <f t="array" ref="F11">RTD("tickerplantrtdserver",,"FWRC1#USDJPY#Month Wise Rates#0#Ask%9")</f>
        <v>-5.5552000000000001</v>
      </c>
      <c r="G11" s="69">
        <f t="array" ref="G11">RTD("tickerplantrtdserver",,"FWRC1#USDJPY#Month Wise Rates#0#Ask%10")</f>
        <v>-5.5053000000000001</v>
      </c>
      <c r="H11" s="69">
        <f t="array" ref="H11">RTD("tickerplantrtdserver",,"FWRC1#USDJPY#Month Wise Rates#0#Ask%11")</f>
        <v>-5.5086000000000004</v>
      </c>
      <c r="I11" s="69">
        <f t="array" ref="I11">RTD("tickerplantrtdserver",,"FWRC1#USDJPY#Month Wise Rates#0#Ask%12")</f>
        <v>-5.4843999999999999</v>
      </c>
      <c r="J11" s="69">
        <f t="array" ref="J11">RTD("tickerplantrtdserver",,"FWRC1#USDJPY#Month Wise Rates#0#Ask%13")</f>
        <v>-5.4122000000000003</v>
      </c>
      <c r="K11" s="69">
        <f t="array" ref="K11">RTD("tickerplantrtdserver",,"FWRC1#USDJPY#Month Wise Rates#0#Ask%14")</f>
        <v>-5.5141</v>
      </c>
      <c r="L11" s="69">
        <f t="array" ref="L11">RTD("tickerplantrtdserver",,"FWRC1#USDJPY#Month Wise Rates#0#Ask%15")</f>
        <v>-5.4360999999999997</v>
      </c>
      <c r="M11" s="69">
        <f t="array" ref="M11">RTD("tickerplantrtdserver",,"FWRC1#USDJPY#Month Wise Rates#0#Ask%16")</f>
        <v>-5.3494999999999999</v>
      </c>
      <c r="N11" s="69">
        <f t="array" ref="N11">RTD("tickerplantrtdserver",,"FWRC1#USDJPY#Month Wise Rates#0#Ask%17")</f>
        <v>-5.2625000000000002</v>
      </c>
      <c r="O11" s="70">
        <f t="array" ref="O11">RTD("tickerplantrtdserver",,"FWRC1#USDJPY#Month Wise Rates#0#Ask%18")</f>
        <v>-5.1898999999999997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L14" s="20"/>
      <c r="M14" s="20"/>
      <c r="N14" s="20"/>
      <c r="P14" s="31"/>
      <c r="Q14" s="31"/>
      <c r="R14" s="31"/>
    </row>
    <row r="15" spans="1:18" s="14" customFormat="1" x14ac:dyDescent="0.25">
      <c r="A15" s="13"/>
      <c r="B15" s="21"/>
      <c r="C15" s="21"/>
      <c r="D15" s="20"/>
      <c r="E15" s="20"/>
      <c r="G15" s="13"/>
      <c r="H15" s="20"/>
      <c r="I15" s="20"/>
      <c r="J15" s="20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21"/>
      <c r="C19" s="21"/>
      <c r="D19" s="58"/>
      <c r="E19" s="58"/>
      <c r="G19" s="15"/>
      <c r="H19" s="58"/>
      <c r="I19" s="58"/>
      <c r="J19" s="58"/>
      <c r="L19" s="15"/>
      <c r="P19" s="15"/>
    </row>
    <row r="20" spans="1:16" s="14" customFormat="1" x14ac:dyDescent="0.25">
      <c r="B20" s="21"/>
      <c r="C20" s="21"/>
      <c r="D20" s="58"/>
      <c r="E20" s="58"/>
      <c r="G20" s="15"/>
      <c r="H20" s="58"/>
      <c r="I20" s="58"/>
      <c r="J20" s="58"/>
      <c r="L20" s="13"/>
    </row>
    <row r="21" spans="1:16" x14ac:dyDescent="0.25">
      <c r="B21" s="21"/>
      <c r="C21" s="21"/>
      <c r="D21" s="58"/>
      <c r="E21" s="58"/>
      <c r="F21" s="14"/>
      <c r="G21" s="15"/>
      <c r="H21" s="58"/>
      <c r="I21" s="58"/>
      <c r="J21" s="58"/>
      <c r="K21" s="14"/>
      <c r="L21" s="13"/>
      <c r="M21" s="14"/>
      <c r="N21" s="14"/>
    </row>
    <row r="22" spans="1:16" x14ac:dyDescent="0.25"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5"/>
      <c r="M22" s="14"/>
      <c r="N22" s="14"/>
    </row>
    <row r="23" spans="1:16" x14ac:dyDescent="0.25">
      <c r="B23" s="21"/>
      <c r="C23" s="21"/>
      <c r="D23" s="58"/>
      <c r="E23" s="58"/>
      <c r="F23" s="14"/>
      <c r="G23" s="15"/>
      <c r="H23" s="58"/>
      <c r="I23" s="58"/>
      <c r="J23" s="58"/>
      <c r="K23" s="14"/>
      <c r="L23" s="13"/>
      <c r="M23" s="14"/>
      <c r="N23" s="14"/>
      <c r="O23" s="2"/>
    </row>
    <row r="24" spans="1:16" s="2" customFormat="1" x14ac:dyDescent="0.25"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3"/>
    </row>
    <row r="25" spans="1:16" x14ac:dyDescent="0.25">
      <c r="B25" s="21"/>
      <c r="C25" s="21"/>
      <c r="D25" s="58"/>
      <c r="E25" s="58"/>
      <c r="F25" s="14"/>
      <c r="G25" s="15"/>
      <c r="H25" s="58"/>
      <c r="I25" s="58"/>
      <c r="J25" s="58"/>
      <c r="K25" s="14"/>
      <c r="L25" s="15"/>
      <c r="M25" s="14"/>
      <c r="N25" s="14"/>
    </row>
    <row r="26" spans="1:16" x14ac:dyDescent="0.25"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</row>
    <row r="27" spans="1:16" x14ac:dyDescent="0.25">
      <c r="B27" s="21"/>
      <c r="C27" s="21"/>
      <c r="D27" s="58"/>
      <c r="E27" s="58"/>
      <c r="F27" s="14"/>
      <c r="G27" s="15"/>
      <c r="H27" s="58"/>
      <c r="I27" s="58"/>
      <c r="J27" s="58"/>
      <c r="K27" s="14"/>
      <c r="L27" s="13"/>
      <c r="M27" s="14"/>
      <c r="N27" s="14"/>
    </row>
    <row r="28" spans="1:16" x14ac:dyDescent="0.25"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5"/>
      <c r="M28" s="14"/>
      <c r="N28" s="14"/>
    </row>
    <row r="29" spans="1:16" x14ac:dyDescent="0.25">
      <c r="B29" s="21"/>
      <c r="C29" s="21"/>
      <c r="D29" s="58"/>
      <c r="E29" s="58"/>
      <c r="F29" s="14"/>
      <c r="G29" s="15"/>
      <c r="H29" s="58"/>
      <c r="I29" s="58"/>
      <c r="J29" s="58"/>
      <c r="K29" s="14"/>
      <c r="L29" s="13"/>
      <c r="M29" s="14"/>
      <c r="N29" s="14"/>
    </row>
    <row r="30" spans="1:16" x14ac:dyDescent="0.25"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</row>
    <row r="31" spans="1:16" x14ac:dyDescent="0.25">
      <c r="B31" s="21"/>
      <c r="C31" s="21"/>
      <c r="D31" s="58"/>
      <c r="E31" s="58"/>
      <c r="F31" s="14"/>
      <c r="G31" s="15"/>
      <c r="H31" s="58"/>
      <c r="I31" s="58"/>
      <c r="J31" s="58"/>
      <c r="K31" s="14"/>
      <c r="L31" s="15"/>
      <c r="M31" s="14"/>
      <c r="N31" s="14"/>
    </row>
    <row r="32" spans="1:16" x14ac:dyDescent="0.25"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</row>
    <row r="33" spans="1:14" x14ac:dyDescent="0.25">
      <c r="B33" s="21"/>
      <c r="C33" s="21"/>
      <c r="D33" s="58"/>
      <c r="E33" s="58"/>
      <c r="F33" s="14"/>
      <c r="G33" s="15"/>
      <c r="H33" s="58"/>
      <c r="I33" s="58"/>
      <c r="J33" s="58"/>
      <c r="K33" s="14"/>
      <c r="L33" s="13"/>
      <c r="M33" s="14"/>
      <c r="N33" s="14"/>
    </row>
    <row r="36" spans="1:14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18"/>
  <sheetViews>
    <sheetView zoomScaleNormal="100" workbookViewId="0">
      <selection activeCell="G3" sqref="G3"/>
    </sheetView>
  </sheetViews>
  <sheetFormatPr defaultRowHeight="15" x14ac:dyDescent="0.25"/>
  <cols>
    <col min="2" max="2" width="9.140625" style="78"/>
  </cols>
  <sheetData>
    <row r="1" spans="1:18" ht="15.75" thickBot="1" x14ac:dyDescent="0.3">
      <c r="C1" s="174" t="s">
        <v>13</v>
      </c>
      <c r="D1" s="172"/>
      <c r="E1" s="172" t="s">
        <v>12</v>
      </c>
      <c r="F1" s="172"/>
      <c r="G1" s="172" t="s">
        <v>11</v>
      </c>
      <c r="H1" s="172"/>
      <c r="I1" s="172" t="s">
        <v>10</v>
      </c>
      <c r="J1" s="172"/>
      <c r="K1" s="172" t="s">
        <v>9</v>
      </c>
      <c r="L1" s="172"/>
      <c r="M1" s="172" t="s">
        <v>8</v>
      </c>
      <c r="N1" s="172"/>
      <c r="O1" s="172" t="s">
        <v>7</v>
      </c>
      <c r="P1" s="173"/>
    </row>
    <row r="2" spans="1:18" ht="15.75" thickBot="1" x14ac:dyDescent="0.3">
      <c r="B2" s="80" t="s">
        <v>53</v>
      </c>
      <c r="C2" s="82" t="s">
        <v>26</v>
      </c>
      <c r="D2" s="79" t="s">
        <v>24</v>
      </c>
      <c r="E2" s="79" t="s">
        <v>26</v>
      </c>
      <c r="F2" s="79" t="s">
        <v>24</v>
      </c>
      <c r="G2" s="79" t="s">
        <v>26</v>
      </c>
      <c r="H2" s="79" t="s">
        <v>24</v>
      </c>
      <c r="I2" s="79" t="s">
        <v>26</v>
      </c>
      <c r="J2" s="79" t="s">
        <v>24</v>
      </c>
      <c r="K2" s="79" t="s">
        <v>26</v>
      </c>
      <c r="L2" s="79" t="s">
        <v>24</v>
      </c>
      <c r="M2" s="79" t="s">
        <v>26</v>
      </c>
      <c r="N2" s="79" t="s">
        <v>24</v>
      </c>
      <c r="O2" s="79" t="s">
        <v>26</v>
      </c>
      <c r="P2" s="85" t="s">
        <v>24</v>
      </c>
      <c r="Q2" s="57"/>
      <c r="R2" s="57"/>
    </row>
    <row r="3" spans="1:18" ht="15.75" thickBot="1" x14ac:dyDescent="0.3">
      <c r="A3" t="s">
        <v>42</v>
      </c>
      <c r="B3" s="98">
        <v>2</v>
      </c>
      <c r="C3" s="86">
        <f>RTD("tickerplantrtdserver",,"FWRC1#USDINR#Month End Rates#0#BidPrice0")</f>
        <v>82.385000000000005</v>
      </c>
      <c r="D3" s="87">
        <f>RTD("tickerplantrtdserver",,"FWRC1#USDINR#Month End Rates#0#AskPrice0")</f>
        <v>82.394999999999996</v>
      </c>
      <c r="E3" s="87">
        <f>RTD("tickerplantrtdserver",,"FWRC1#EURINR#Month Wise Rates#0#BidPrice0")</f>
        <v>89.197500000000005</v>
      </c>
      <c r="F3" s="87">
        <f t="array" ref="F3">RTD("tickerplantrtdserver",,"FWRC1#EURINR#Month Wise Rates#0#AskPrice0")</f>
        <v>89.215000000000003</v>
      </c>
      <c r="G3" s="87">
        <f t="array" ref="G3">RTD("tickerplantrtdserver",,"FWRC1#GBPINR#Month Wise Rates#0#BidPrice0")</f>
        <v>102.485</v>
      </c>
      <c r="H3" s="87">
        <f t="array" ref="H3">RTD("tickerplantrtdserver",,"FWRC1#GBPINR#Month Wise Rates#0#AskPrice0")</f>
        <v>102.50749999999999</v>
      </c>
      <c r="I3" s="88">
        <f t="array" ref="I3">RTD("tickerplantrtdserver",,"FWRC1#JPYINR#Month Wise Rates#0#BidPrice0")</f>
        <v>60.1875</v>
      </c>
      <c r="J3" s="88">
        <f t="array" ref="J3">RTD("tickerplantrtdserver",,"FWRC1#JPYINR#Month Wise Rates#0#AskPrice0")</f>
        <v>60.202500000000001</v>
      </c>
      <c r="K3" s="88">
        <f t="array" ref="K3">RTD("tickerplantrtdserver",,"FWRC1#EURUSD#Month Wise Rates#0#BidPrice0")</f>
        <v>1.08226</v>
      </c>
      <c r="L3" s="88">
        <f t="array" ref="L3">RTD("tickerplantrtdserver",,"FWRC1#EURUSD#Month Wise Rates#0#AskPrice0")</f>
        <v>1.08233</v>
      </c>
      <c r="M3" s="88">
        <f t="array" ref="M3">RTD("tickerplantrtdserver",,"FWRC1#GBPUSD#Month Wise Rates#0#BidPrice0")</f>
        <v>1.2462</v>
      </c>
      <c r="N3" s="88">
        <f t="array" ref="N3">RTD("tickerplantrtdserver",,"FWRC1#GBPUSD#Month Wise Rates#0#AskPrice0")</f>
        <v>1.2466999999999999</v>
      </c>
      <c r="O3" s="89">
        <f t="array" ref="O3">RTD("tickerplantrtdserver",,"FWRC1#USDJPY#Month Wise Rates#0#BidPrice0")</f>
        <v>137.333</v>
      </c>
      <c r="P3" s="90">
        <f t="array" ref="P3">RTD("tickerplantrtdserver",,"FWRC1#USDJPY#Month Wise Rates#0#AskPrice0")</f>
        <v>137.345</v>
      </c>
    </row>
    <row r="4" spans="1:18" ht="15" customHeight="1" x14ac:dyDescent="0.25">
      <c r="A4" s="101" t="s">
        <v>36</v>
      </c>
      <c r="B4" s="99">
        <v>33</v>
      </c>
      <c r="C4" s="91">
        <f t="array" ref="C4">RTD("tickerplantrtdserver",,"FWRC1#USDINR#Month Wise Rates#0#BidPrice7")</f>
        <v>8.6667000000000005</v>
      </c>
      <c r="D4" s="83">
        <f t="array" ref="D4">RTD("tickerplantrtdserver",,"FWRC1#USDINR#Month Wise Rates#0#AskPrice7")</f>
        <v>10.666700000000001</v>
      </c>
      <c r="E4" s="81">
        <f>RTD("tickerplantrtdserver",,"FWRC1#EURINR#Month Wise Rates#0#BidPrice7")</f>
        <v>25.457699999999999</v>
      </c>
      <c r="F4" s="81">
        <f>RTD("tickerplantrtdserver",,"FWRC1#EURINR#Month Wise Rates#0#AskPrice7")</f>
        <v>27.794499999999999</v>
      </c>
      <c r="G4" s="81">
        <f>RTD("tickerplantrtdserver",,"FWRC1#GBPINR#Month Wise Rates#0#BidPrice7")/100</f>
        <v>17.559591999999999</v>
      </c>
      <c r="H4" s="81">
        <f>RTD("tickerplantrtdserver",,"FWRC1#GBPINR#Month Wise Rates#0#AskPrice7")/100</f>
        <v>20.266048999999999</v>
      </c>
      <c r="I4" s="84">
        <f>RTD("tickerplantrtdserver",,"FWRC1#JPYINR#Month Wise Rates#0#BidPrice7")/100</f>
        <v>35.293236999999998</v>
      </c>
      <c r="J4" s="84">
        <f>RTD("tickerplantrtdserver",,"FWRC1#JPYINR#Month Wise Rates#0#AskPrice7")/100</f>
        <v>36.824534999999997</v>
      </c>
      <c r="K4" s="84">
        <f t="array" ref="K4">RTD("tickerplantrtdserver",,"FWRC1#EURUSD#Month Wise Rates#0#BidPrice7")</f>
        <v>19.68</v>
      </c>
      <c r="L4" s="84">
        <f t="array" ref="L4">RTD("tickerplantrtdserver",,"FWRC1#EURUSD#Month Wise Rates#0#AskPrice7")</f>
        <v>19.88</v>
      </c>
      <c r="M4" s="84">
        <f t="array" ref="M4">RTD("tickerplantrtdserver",,"FWRC1#GBPUSD#Month Wise Rates#0#BidPrice7")</f>
        <v>8.3000000000000007</v>
      </c>
      <c r="N4" s="84">
        <f t="array" ref="N4">RTD("tickerplantrtdserver",,"FWRC1#GBPUSD#Month Wise Rates#0#AskPrice7")</f>
        <v>8.5399999999999991</v>
      </c>
      <c r="O4" s="84">
        <f t="array" ref="O4">RTD("tickerplantrtdserver",,"FWRC1#USDJPY#Month Wise Rates#0#BidPrice7")</f>
        <v>-65.959999999999994</v>
      </c>
      <c r="P4" s="92">
        <f t="array" ref="P4">RTD("tickerplantrtdserver",,"FWRC1#USDJPY#Month Wise Rates#0#AskPrice7")</f>
        <v>-65.459999999999994</v>
      </c>
    </row>
    <row r="5" spans="1:18" x14ac:dyDescent="0.25">
      <c r="A5" s="102" t="s">
        <v>37</v>
      </c>
      <c r="B5" s="99">
        <v>61</v>
      </c>
      <c r="C5" s="93">
        <f t="array" ref="C5">RTD("tickerplantrtdserver",,"FWRC1#USDINR#Month Wise Rates#0#BidPrice8")</f>
        <v>19.354800000000001</v>
      </c>
      <c r="D5" s="81">
        <f t="array" ref="D5">RTD("tickerplantrtdserver",,"FWRC1#USDINR#Month Wise Rates#0#AskPrice8")</f>
        <v>21.354800000000001</v>
      </c>
      <c r="E5" s="81">
        <f t="array" ref="E5">RTD("tickerplantrtdserver",,"FWRC1#EURINR#Month Wise Rates#0#BidPrice8")</f>
        <v>51.716000000000001</v>
      </c>
      <c r="F5" s="81">
        <f t="array" ref="F5">RTD("tickerplantrtdserver",,"FWRC1#EURINR#Month Wise Rates#0#AskPrice8")</f>
        <v>54.158200000000001</v>
      </c>
      <c r="G5" s="81">
        <f>RTD("tickerplantrtdserver",,"FWRC1#GBPINR#Month Wise Rates#0#BidPrice8")/100</f>
        <v>36.521183999999998</v>
      </c>
      <c r="H5" s="81">
        <f>RTD("tickerplantrtdserver",,"FWRC1#GBPINR#Month Wise Rates#0#AskPrice8")/100</f>
        <v>39.330527000000004</v>
      </c>
      <c r="I5" s="84">
        <f>RTD("tickerplantrtdserver",,"FWRC1#JPYINR#Month Wise Rates#0#BidPrice8")/100</f>
        <v>70.410708</v>
      </c>
      <c r="J5" s="84">
        <f>RTD("tickerplantrtdserver",,"FWRC1#JPYINR#Month Wise Rates#0#AskPrice8")/100</f>
        <v>72.21902</v>
      </c>
      <c r="K5" s="84">
        <f t="array" ref="K5">RTD("tickerplantrtdserver",,"FWRC1#EURUSD#Month Wise Rates#0#BidPrice8")</f>
        <v>37.51</v>
      </c>
      <c r="L5" s="84">
        <f t="array" ref="L5">RTD("tickerplantrtdserver",,"FWRC1#EURUSD#Month Wise Rates#0#AskPrice8")</f>
        <v>37.799999999999997</v>
      </c>
      <c r="M5" s="84">
        <f t="array" ref="M5">RTD("tickerplantrtdserver",,"FWRC1#GBPUSD#Month Wise Rates#0#BidPrice8")</f>
        <v>15.19</v>
      </c>
      <c r="N5" s="84">
        <f t="array" ref="N5">RTD("tickerplantrtdserver",,"FWRC1#GBPUSD#Month Wise Rates#0#AskPrice8")</f>
        <v>15.61</v>
      </c>
      <c r="O5" s="84">
        <f t="array" ref="O5">RTD("tickerplantrtdserver",,"FWRC1#USDJPY#Month Wise Rates#0#BidPrice8")</f>
        <v>-127.99</v>
      </c>
      <c r="P5" s="92">
        <f t="array" ref="P5">RTD("tickerplantrtdserver",,"FWRC1#USDJPY#Month Wise Rates#0#AskPrice8")</f>
        <v>-127.29</v>
      </c>
    </row>
    <row r="6" spans="1:18" x14ac:dyDescent="0.25">
      <c r="A6" s="102" t="s">
        <v>35</v>
      </c>
      <c r="B6" s="99">
        <v>92</v>
      </c>
      <c r="C6" s="93">
        <f t="array" ref="C6">RTD("tickerplantrtdserver",,"FWRC1#USDINR#Month Wise Rates#0#BidPrice9")</f>
        <v>31.451599999999999</v>
      </c>
      <c r="D6" s="81">
        <f t="array" ref="D6">RTD("tickerplantrtdserver",,"FWRC1#USDINR#Month Wise Rates#0#AskPrice9")</f>
        <v>33.451599999999999</v>
      </c>
      <c r="E6" s="81">
        <f t="array" ref="E6">RTD("tickerplantrtdserver",,"FWRC1#EURINR#Month Wise Rates#0#BidPrice9")</f>
        <v>79.744100000000003</v>
      </c>
      <c r="F6" s="81">
        <f t="array" ref="F6">RTD("tickerplantrtdserver",,"FWRC1#EURINR#Month Wise Rates#0#AskPrice9")</f>
        <v>82.366600000000005</v>
      </c>
      <c r="G6" s="81">
        <f>RTD("tickerplantrtdserver",,"FWRC1#GBPINR#Month Wise Rates#0#BidPrice9")/100</f>
        <v>56.577275</v>
      </c>
      <c r="H6" s="81">
        <f>RTD("tickerplantrtdserver",,"FWRC1#GBPINR#Month Wise Rates#0#AskPrice9")/100</f>
        <v>59.536349000000001</v>
      </c>
      <c r="I6" s="84">
        <f>RTD("tickerplantrtdserver",,"FWRC1#JPYINR#Month Wise Rates#0#BidPrice9")/100</f>
        <v>110.24856799999999</v>
      </c>
      <c r="J6" s="84">
        <f>RTD("tickerplantrtdserver",,"FWRC1#JPYINR#Month Wise Rates#0#AskPrice9")/100</f>
        <v>111.87402299999999</v>
      </c>
      <c r="K6" s="84">
        <f t="array" ref="K6">RTD("tickerplantrtdserver",,"FWRC1#EURUSD#Month Wise Rates#0#BidPrice9")</f>
        <v>55.73</v>
      </c>
      <c r="L6" s="84">
        <f t="array" ref="L6">RTD("tickerplantrtdserver",,"FWRC1#EURUSD#Month Wise Rates#0#AskPrice9")</f>
        <v>55.98</v>
      </c>
      <c r="M6" s="84">
        <f t="array" ref="M6">RTD("tickerplantrtdserver",,"FWRC1#GBPUSD#Month Wise Rates#0#BidPrice9")</f>
        <v>21.568999999999999</v>
      </c>
      <c r="N6" s="84">
        <f t="array" ref="N6">RTD("tickerplantrtdserver",,"FWRC1#GBPUSD#Month Wise Rates#0#AskPrice9")</f>
        <v>21.713000000000001</v>
      </c>
      <c r="O6" s="84">
        <f t="array" ref="O6">RTD("tickerplantrtdserver",,"FWRC1#USDJPY#Month Wise Rates#0#BidPrice9")</f>
        <v>-196.73</v>
      </c>
      <c r="P6" s="92">
        <f t="array" ref="P6">RTD("tickerplantrtdserver",,"FWRC1#USDJPY#Month Wise Rates#0#AskPrice9")</f>
        <v>-196.48</v>
      </c>
    </row>
    <row r="7" spans="1:18" x14ac:dyDescent="0.25">
      <c r="A7" s="102" t="s">
        <v>38</v>
      </c>
      <c r="B7" s="99">
        <v>125</v>
      </c>
      <c r="C7" s="93">
        <f t="array" ref="C7">RTD("tickerplantrtdserver",,"FWRC1#USDINR#Month Wise Rates#0#BidPrice10")</f>
        <v>43.2759</v>
      </c>
      <c r="D7" s="81">
        <f t="array" ref="D7">RTD("tickerplantrtdserver",,"FWRC1#USDINR#Month Wise Rates#0#AskPrice10")</f>
        <v>45.2759</v>
      </c>
      <c r="E7" s="81">
        <f t="array" ref="E7">RTD("tickerplantrtdserver",,"FWRC1#EURINR#Month Wise Rates#0#BidPrice10")</f>
        <v>105.1005</v>
      </c>
      <c r="F7" s="81">
        <f t="array" ref="F7">RTD("tickerplantrtdserver",,"FWRC1#EURINR#Month Wise Rates#0#AskPrice10")</f>
        <v>107.8946</v>
      </c>
      <c r="G7" s="81">
        <f>RTD("tickerplantrtdserver",,"FWRC1#GBPINR#Month Wise Rates#0#BidPrice10")/100</f>
        <v>74.985144000000005</v>
      </c>
      <c r="H7" s="81">
        <f>RTD("tickerplantrtdserver",,"FWRC1#GBPINR#Month Wise Rates#0#AskPrice10")/100</f>
        <v>78.323826999999994</v>
      </c>
      <c r="I7" s="84">
        <f>RTD("tickerplantrtdserver",,"FWRC1#JPYINR#Month Wise Rates#0#BidPrice10")/100</f>
        <v>145.71126599999999</v>
      </c>
      <c r="J7" s="84">
        <f>RTD("tickerplantrtdserver",,"FWRC1#JPYINR#Month Wise Rates#0#AskPrice10")/100</f>
        <v>147.927513</v>
      </c>
      <c r="K7" s="84">
        <f t="array" ref="K7">RTD("tickerplantrtdserver",,"FWRC1#EURUSD#Month Wise Rates#0#BidPrice10")</f>
        <v>71.239999999999995</v>
      </c>
      <c r="L7" s="84">
        <f t="array" ref="L7">RTD("tickerplantrtdserver",,"FWRC1#EURUSD#Month Wise Rates#0#AskPrice10")</f>
        <v>71.64</v>
      </c>
      <c r="M7" s="84">
        <f t="array" ref="M7">RTD("tickerplantrtdserver",,"FWRC1#GBPUSD#Month Wise Rates#0#BidPrice10")</f>
        <v>26.355</v>
      </c>
      <c r="N7" s="84">
        <f t="array" ref="N7">RTD("tickerplantrtdserver",,"FWRC1#GBPUSD#Month Wise Rates#0#AskPrice10")</f>
        <v>26.555</v>
      </c>
      <c r="O7" s="84">
        <f t="array" ref="O7">RTD("tickerplantrtdserver",,"FWRC1#USDJPY#Month Wise Rates#0#BidPrice10")</f>
        <v>-256.3</v>
      </c>
      <c r="P7" s="92">
        <f t="array" ref="P7">RTD("tickerplantrtdserver",,"FWRC1#USDJPY#Month Wise Rates#0#AskPrice10")</f>
        <v>-254.8</v>
      </c>
    </row>
    <row r="8" spans="1:18" x14ac:dyDescent="0.25">
      <c r="A8" s="102" t="s">
        <v>39</v>
      </c>
      <c r="B8" s="99">
        <v>153</v>
      </c>
      <c r="C8" s="93">
        <f t="array" ref="C8">RTD("tickerplantrtdserver",,"FWRC1#USDINR#Month Wise Rates#0#BidPrice11")</f>
        <v>55.125</v>
      </c>
      <c r="D8" s="81">
        <f t="array" ref="D8">RTD("tickerplantrtdserver",,"FWRC1#USDINR#Month Wise Rates#0#AskPrice11")</f>
        <v>57.125</v>
      </c>
      <c r="E8" s="81">
        <f t="array" ref="E8">RTD("tickerplantrtdserver",,"FWRC1#EURINR#Month Wise Rates#0#BidPrice11")</f>
        <v>130.5943</v>
      </c>
      <c r="F8" s="81">
        <f t="array" ref="F8">RTD("tickerplantrtdserver",,"FWRC1#EURINR#Month Wise Rates#0#AskPrice11")</f>
        <v>133.2783</v>
      </c>
      <c r="G8" s="81">
        <f>RTD("tickerplantrtdserver",,"FWRC1#GBPINR#Month Wise Rates#0#BidPrice11")/100</f>
        <v>92.541870999999986</v>
      </c>
      <c r="H8" s="81">
        <f>RTD("tickerplantrtdserver",,"FWRC1#GBPINR#Month Wise Rates#0#AskPrice11")/100</f>
        <v>95.867824999999996</v>
      </c>
      <c r="I8" s="84">
        <f>RTD("tickerplantrtdserver",,"FWRC1#JPYINR#Month Wise Rates#0#BidPrice11")/100</f>
        <v>183.00459800000002</v>
      </c>
      <c r="J8" s="84">
        <f>RTD("tickerplantrtdserver",,"FWRC1#JPYINR#Month Wise Rates#0#AskPrice11")/100</f>
        <v>185.244888</v>
      </c>
      <c r="K8" s="84">
        <f t="array" ref="K8">RTD("tickerplantrtdserver",,"FWRC1#EURUSD#Month Wise Rates#0#BidPrice11")</f>
        <v>85.97</v>
      </c>
      <c r="L8" s="84">
        <f t="array" ref="L8">RTD("tickerplantrtdserver",,"FWRC1#EURUSD#Month Wise Rates#0#AskPrice11")</f>
        <v>87.48</v>
      </c>
      <c r="M8" s="84">
        <f t="array" ref="M8">RTD("tickerplantrtdserver",,"FWRC1#GBPUSD#Month Wise Rates#0#BidPrice11")</f>
        <v>29.81</v>
      </c>
      <c r="N8" s="84">
        <f t="array" ref="N8">RTD("tickerplantrtdserver",,"FWRC1#GBPUSD#Month Wise Rates#0#AskPrice11")</f>
        <v>30.05</v>
      </c>
      <c r="O8" s="84">
        <f t="array" ref="O8">RTD("tickerplantrtdserver",,"FWRC1#USDJPY#Month Wise Rates#0#BidPrice11")</f>
        <v>-318.62</v>
      </c>
      <c r="P8" s="92">
        <f t="array" ref="P8">RTD("tickerplantrtdserver",,"FWRC1#USDJPY#Month Wise Rates#0#AskPrice11")</f>
        <v>-317.12</v>
      </c>
    </row>
    <row r="9" spans="1:18" x14ac:dyDescent="0.25">
      <c r="A9" s="102" t="s">
        <v>34</v>
      </c>
      <c r="B9" s="99">
        <v>184</v>
      </c>
      <c r="C9" s="93">
        <f t="array" ref="C9">RTD("tickerplantrtdserver",,"FWRC1#USDINR#Month Wise Rates#0#BidPrice12")</f>
        <v>69.333299999999994</v>
      </c>
      <c r="D9" s="81">
        <f t="array" ref="D9">RTD("tickerplantrtdserver",,"FWRC1#USDINR#Month Wise Rates#0#AskPrice12")</f>
        <v>71.333299999999994</v>
      </c>
      <c r="E9" s="81">
        <f t="array" ref="E9">RTD("tickerplantrtdserver",,"FWRC1#EURINR#Month Wise Rates#0#BidPrice12")</f>
        <v>157.55359999999999</v>
      </c>
      <c r="F9" s="81">
        <f t="array" ref="F9">RTD("tickerplantrtdserver",,"FWRC1#EURINR#Month Wise Rates#0#AskPrice12")</f>
        <v>160.41380000000001</v>
      </c>
      <c r="G9" s="81">
        <f>RTD("tickerplantrtdserver",,"FWRC1#GBPINR#Month Wise Rates#0#BidPrice12")/100</f>
        <v>111.506438</v>
      </c>
      <c r="H9" s="81">
        <f>RTD("tickerplantrtdserver",,"FWRC1#GBPINR#Month Wise Rates#0#AskPrice12")/100</f>
        <v>114.50434800000001</v>
      </c>
      <c r="I9" s="84">
        <f>RTD("tickerplantrtdserver",,"FWRC1#JPYINR#Month Wise Rates#0#BidPrice12")/100</f>
        <v>223.05830399999999</v>
      </c>
      <c r="J9" s="84">
        <f>RTD("tickerplantrtdserver",,"FWRC1#JPYINR#Month Wise Rates#0#AskPrice12")/100</f>
        <v>225.192396</v>
      </c>
      <c r="K9" s="84">
        <f t="array" ref="K9">RTD("tickerplantrtdserver",,"FWRC1#EURUSD#Month Wise Rates#0#BidPrice12")</f>
        <v>100.15</v>
      </c>
      <c r="L9" s="84">
        <f t="array" ref="L9">RTD("tickerplantrtdserver",,"FWRC1#EURUSD#Month Wise Rates#0#AskPrice12")</f>
        <v>100.95</v>
      </c>
      <c r="M9" s="84">
        <f t="array" ref="M9">RTD("tickerplantrtdserver",,"FWRC1#GBPUSD#Month Wise Rates#0#BidPrice12")</f>
        <v>31.535</v>
      </c>
      <c r="N9" s="84">
        <f t="array" ref="N9">RTD("tickerplantrtdserver",,"FWRC1#GBPUSD#Month Wise Rates#0#AskPrice12")</f>
        <v>31.815000000000001</v>
      </c>
      <c r="O9" s="84">
        <f t="array" ref="O9">RTD("tickerplantrtdserver",,"FWRC1#USDJPY#Month Wise Rates#0#BidPrice12")</f>
        <v>-382.97</v>
      </c>
      <c r="P9" s="92">
        <f t="array" ref="P9">RTD("tickerplantrtdserver",,"FWRC1#USDJPY#Month Wise Rates#0#AskPrice12")</f>
        <v>-381.75</v>
      </c>
    </row>
    <row r="10" spans="1:18" x14ac:dyDescent="0.25">
      <c r="A10" s="102" t="s">
        <v>43</v>
      </c>
      <c r="B10" s="99">
        <v>215</v>
      </c>
      <c r="C10" s="93">
        <f t="array" ref="C10">RTD("tickerplantrtdserver",,"FWRC1#USDINR#Month Wise Rates#0#BidPrice13")</f>
        <v>82.517200000000003</v>
      </c>
      <c r="D10" s="81">
        <f t="array" ref="D10">RTD("tickerplantrtdserver",,"FWRC1#USDINR#Month Wise Rates#0#AskPrice13")</f>
        <v>84.517200000000003</v>
      </c>
      <c r="E10" s="81">
        <f t="array" ref="E10">RTD("tickerplantrtdserver",,"FWRC1#EURINR#Month Wise Rates#0#BidPrice13")</f>
        <v>181.60890000000001</v>
      </c>
      <c r="F10" s="81">
        <f t="array" ref="F10">RTD("tickerplantrtdserver",,"FWRC1#EURINR#Month Wise Rates#0#AskPrice13")</f>
        <v>186.72790000000001</v>
      </c>
      <c r="G10" s="81">
        <f>RTD("tickerplantrtdserver",,"FWRC1#GBPINR#Month Wise Rates#0#BidPrice13")/100</f>
        <v>127.542035</v>
      </c>
      <c r="H10" s="81">
        <f>RTD("tickerplantrtdserver",,"FWRC1#GBPINR#Month Wise Rates#0#AskPrice13")/100</f>
        <v>132.018621</v>
      </c>
      <c r="I10" s="84">
        <f>RTD("tickerplantrtdserver",,"FWRC1#JPYINR#Month Wise Rates#0#BidPrice13")/100</f>
        <v>258.42197800000002</v>
      </c>
      <c r="J10" s="84">
        <f>RTD("tickerplantrtdserver",,"FWRC1#JPYINR#Month Wise Rates#0#AskPrice13")/100</f>
        <v>260.94645199999997</v>
      </c>
      <c r="K10" s="84">
        <f t="array" ref="K10">RTD("tickerplantrtdserver",,"FWRC1#EURUSD#Month Wise Rates#0#BidPrice13")</f>
        <v>112.03</v>
      </c>
      <c r="L10" s="84">
        <f t="array" ref="L10">RTD("tickerplantrtdserver",,"FWRC1#EURUSD#Month Wise Rates#0#AskPrice13")</f>
        <v>115.53</v>
      </c>
      <c r="M10" s="84">
        <f t="array" ref="M10">RTD("tickerplantrtdserver",,"FWRC1#GBPUSD#Month Wise Rates#0#BidPrice13")</f>
        <v>31.07</v>
      </c>
      <c r="N10" s="84">
        <f t="array" ref="N10">RTD("tickerplantrtdserver",,"FWRC1#GBPUSD#Month Wise Rates#0#AskPrice13")</f>
        <v>32.909999999999997</v>
      </c>
      <c r="O10" s="84">
        <f t="array" ref="O10">RTD("tickerplantrtdserver",,"FWRC1#USDJPY#Month Wise Rates#0#BidPrice13")</f>
        <v>-437.8</v>
      </c>
      <c r="P10" s="92">
        <f t="array" ref="P10">RTD("tickerplantrtdserver",,"FWRC1#USDJPY#Month Wise Rates#0#AskPrice13")</f>
        <v>-435.8</v>
      </c>
    </row>
    <row r="11" spans="1:18" x14ac:dyDescent="0.25">
      <c r="A11" s="102" t="s">
        <v>44</v>
      </c>
      <c r="B11" s="99">
        <v>245</v>
      </c>
      <c r="C11" s="93">
        <f t="array" ref="C11">RTD("tickerplantrtdserver",,"FWRC1#USDINR#Month Wise Rates#0#BidPrice14")</f>
        <v>97.181799999999996</v>
      </c>
      <c r="D11" s="81">
        <f t="array" ref="D11">RTD("tickerplantrtdserver",,"FWRC1#USDINR#Month Wise Rates#0#AskPrice14")</f>
        <v>99.181799999999996</v>
      </c>
      <c r="E11" s="81">
        <f t="array" ref="E11">RTD("tickerplantrtdserver",,"FWRC1#EURINR#Month Wise Rates#0#BidPrice14")</f>
        <v>214.33279999999999</v>
      </c>
      <c r="F11" s="81">
        <f t="array" ref="F11">RTD("tickerplantrtdserver",,"FWRC1#EURINR#Month Wise Rates#0#AskPrice14")</f>
        <v>218.37790000000001</v>
      </c>
      <c r="G11" s="81">
        <f>RTD("tickerplantrtdserver",,"FWRC1#GBPINR#Month Wise Rates#0#BidPrice14")/100</f>
        <v>149.838562</v>
      </c>
      <c r="H11" s="81">
        <f>RTD("tickerplantrtdserver",,"FWRC1#GBPINR#Month Wise Rates#0#AskPrice14")/100</f>
        <v>153.80424199999999</v>
      </c>
      <c r="I11" s="84">
        <f>RTD("tickerplantrtdserver",,"FWRC1#JPYINR#Month Wise Rates#0#BidPrice14")/100</f>
        <v>303.58679599999999</v>
      </c>
      <c r="J11" s="84">
        <f>RTD("tickerplantrtdserver",,"FWRC1#JPYINR#Month Wise Rates#0#AskPrice14")/100</f>
        <v>306.14333499999998</v>
      </c>
      <c r="K11" s="84">
        <f t="array" ref="K11">RTD("tickerplantrtdserver",,"FWRC1#EURUSD#Month Wise Rates#0#BidPrice14")</f>
        <v>132.72999999999999</v>
      </c>
      <c r="L11" s="84">
        <f t="array" ref="L11">RTD("tickerplantrtdserver",,"FWRC1#EURUSD#Month Wise Rates#0#AskPrice14")</f>
        <v>134.93</v>
      </c>
      <c r="M11" s="84">
        <f t="array" ref="M11">RTD("tickerplantrtdserver",,"FWRC1#GBPUSD#Month Wise Rates#0#BidPrice14")</f>
        <v>35.74</v>
      </c>
      <c r="N11" s="84">
        <f t="array" ref="N11">RTD("tickerplantrtdserver",,"FWRC1#GBPUSD#Month Wise Rates#0#AskPrice14")</f>
        <v>37.5</v>
      </c>
      <c r="O11" s="84">
        <f t="array" ref="O11">RTD("tickerplantrtdserver",,"FWRC1#USDJPY#Month Wise Rates#0#BidPrice14")</f>
        <v>-509.28</v>
      </c>
      <c r="P11" s="92">
        <f t="array" ref="P11">RTD("tickerplantrtdserver",,"FWRC1#USDJPY#Month Wise Rates#0#AskPrice14")</f>
        <v>-508.32</v>
      </c>
    </row>
    <row r="12" spans="1:18" x14ac:dyDescent="0.25">
      <c r="A12" s="102" t="s">
        <v>40</v>
      </c>
      <c r="B12" s="99">
        <v>278</v>
      </c>
      <c r="C12" s="93">
        <f t="array" ref="C12">RTD("tickerplantrtdserver",,"FWRC1#USDINR#Month Wise Rates#0#BidPrice15")</f>
        <v>112.65519999999999</v>
      </c>
      <c r="D12" s="81">
        <f t="array" ref="D12">RTD("tickerplantrtdserver",,"FWRC1#USDINR#Month Wise Rates#0#AskPrice15")</f>
        <v>114.65519999999999</v>
      </c>
      <c r="E12" s="81">
        <f t="array" ref="E12">RTD("tickerplantrtdserver",,"FWRC1#EURINR#Month Wise Rates#0#BidPrice15")</f>
        <v>239.95689999999999</v>
      </c>
      <c r="F12" s="81">
        <f t="array" ref="F12">RTD("tickerplantrtdserver",,"FWRC1#EURINR#Month Wise Rates#0#AskPrice15")</f>
        <v>244.26009999999999</v>
      </c>
      <c r="G12" s="81">
        <f>RTD("tickerplantrtdserver",,"FWRC1#GBPINR#Month Wise Rates#0#BidPrice15")/100</f>
        <v>167.41343499999999</v>
      </c>
      <c r="H12" s="81">
        <f>RTD("tickerplantrtdserver",,"FWRC1#GBPINR#Month Wise Rates#0#AskPrice15")/100</f>
        <v>171.72334900000001</v>
      </c>
      <c r="I12" s="84">
        <f>RTD("tickerplantrtdserver",,"FWRC1#JPYINR#Month Wise Rates#0#BidPrice15")/100</f>
        <v>342.971722</v>
      </c>
      <c r="J12" s="84">
        <f>RTD("tickerplantrtdserver",,"FWRC1#JPYINR#Month Wise Rates#0#AskPrice15")/100</f>
        <v>345.31249700000001</v>
      </c>
      <c r="K12" s="84">
        <f t="array" ref="K12">RTD("tickerplantrtdserver",,"FWRC1#EURUSD#Month Wise Rates#0#BidPrice15")</f>
        <v>142.72999999999999</v>
      </c>
      <c r="L12" s="84">
        <f t="array" ref="L12">RTD("tickerplantrtdserver",,"FWRC1#EURUSD#Month Wise Rates#0#AskPrice15")</f>
        <v>145.22999999999999</v>
      </c>
      <c r="M12" s="84">
        <f t="array" ref="M12">RTD("tickerplantrtdserver",,"FWRC1#GBPUSD#Month Wise Rates#0#BidPrice15")</f>
        <v>33.79</v>
      </c>
      <c r="N12" s="84">
        <f t="array" ref="N12">RTD("tickerplantrtdserver",,"FWRC1#GBPUSD#Month Wise Rates#0#AskPrice15")</f>
        <v>35.94</v>
      </c>
      <c r="O12" s="84">
        <f t="array" ref="O12">RTD("tickerplantrtdserver",,"FWRC1#USDJPY#Month Wise Rates#0#BidPrice15")</f>
        <v>-568.1</v>
      </c>
      <c r="P12" s="92">
        <f t="array" ref="P12">RTD("tickerplantrtdserver",,"FWRC1#USDJPY#Month Wise Rates#0#AskPrice15")</f>
        <v>-566.6</v>
      </c>
    </row>
    <row r="13" spans="1:18" x14ac:dyDescent="0.25">
      <c r="A13" s="102" t="s">
        <v>45</v>
      </c>
      <c r="B13" s="99">
        <v>306</v>
      </c>
      <c r="C13" s="93">
        <f t="array" ref="C13">RTD("tickerplantrtdserver",,"FWRC1#USDINR#Month Wise Rates#0#BidPrice16")</f>
        <v>127.1786</v>
      </c>
      <c r="D13" s="81">
        <f t="array" ref="D13">RTD("tickerplantrtdserver",,"FWRC1#USDINR#Month Wise Rates#0#AskPrice16")</f>
        <v>129.17859999999999</v>
      </c>
      <c r="E13" s="81">
        <f t="array" ref="E13">RTD("tickerplantrtdserver",,"FWRC1#EURINR#Month Wise Rates#0#BidPrice16")</f>
        <v>262.59339999999997</v>
      </c>
      <c r="F13" s="81">
        <f t="array" ref="F13">RTD("tickerplantrtdserver",,"FWRC1#EURINR#Month Wise Rates#0#AskPrice16")</f>
        <v>268.99829999999997</v>
      </c>
      <c r="G13" s="81">
        <f>RTD("tickerplantrtdserver",,"FWRC1#GBPINR#Month Wise Rates#0#BidPrice16")/100</f>
        <v>182.74276900000001</v>
      </c>
      <c r="H13" s="81">
        <f>RTD("tickerplantrtdserver",,"FWRC1#GBPINR#Month Wise Rates#0#AskPrice16")/100</f>
        <v>187.179879</v>
      </c>
      <c r="I13" s="84">
        <f>RTD("tickerplantrtdserver",,"FWRC1#JPYINR#Month Wise Rates#0#BidPrice16")/100</f>
        <v>377.057592</v>
      </c>
      <c r="J13" s="84">
        <f>RTD("tickerplantrtdserver",,"FWRC1#JPYINR#Month Wise Rates#0#AskPrice16")/100</f>
        <v>379.41898300000003</v>
      </c>
      <c r="K13" s="84">
        <f t="array" ref="K13">RTD("tickerplantrtdserver",,"FWRC1#EURUSD#Month Wise Rates#0#BidPrice16")</f>
        <v>152.80000000000001</v>
      </c>
      <c r="L13" s="84">
        <f t="array" ref="L13">RTD("tickerplantrtdserver",,"FWRC1#EURUSD#Month Wise Rates#0#AskPrice16")</f>
        <v>157.80000000000001</v>
      </c>
      <c r="M13" s="84">
        <f t="array" ref="M13">RTD("tickerplantrtdserver",,"FWRC1#GBPUSD#Month Wise Rates#0#BidPrice16")</f>
        <v>32.07</v>
      </c>
      <c r="N13" s="84">
        <f t="array" ref="N13">RTD("tickerplantrtdserver",,"FWRC1#GBPUSD#Month Wise Rates#0#AskPrice16")</f>
        <v>32.869999999999997</v>
      </c>
      <c r="O13" s="84">
        <f t="array" ref="O13">RTD("tickerplantrtdserver",,"FWRC1#USDJPY#Month Wise Rates#0#BidPrice16")</f>
        <v>-615.5</v>
      </c>
      <c r="P13" s="92">
        <f t="array" ref="P13">RTD("tickerplantrtdserver",,"FWRC1#USDJPY#Month Wise Rates#0#AskPrice16")</f>
        <v>-613.9</v>
      </c>
    </row>
    <row r="14" spans="1:18" x14ac:dyDescent="0.25">
      <c r="A14" s="102" t="s">
        <v>46</v>
      </c>
      <c r="B14" s="99">
        <v>335</v>
      </c>
      <c r="C14" s="93">
        <f t="array" ref="C14">RTD("tickerplantrtdserver",,"FWRC1#USDINR#Month Wise Rates#0#BidPrice17")</f>
        <v>148</v>
      </c>
      <c r="D14" s="81">
        <f t="array" ref="D14">RTD("tickerplantrtdserver",,"FWRC1#USDINR#Month Wise Rates#0#AskPrice17")</f>
        <v>150</v>
      </c>
      <c r="E14" s="81">
        <f t="array" ref="E14">RTD("tickerplantrtdserver",,"FWRC1#EURINR#Month Wise Rates#0#BidPrice17")</f>
        <v>294.2747</v>
      </c>
      <c r="F14" s="81">
        <f t="array" ref="F14">RTD("tickerplantrtdserver",,"FWRC1#EURINR#Month Wise Rates#0#AskPrice17")</f>
        <v>301.1112</v>
      </c>
      <c r="G14" s="81">
        <f>RTD("tickerplantrtdserver",,"FWRC1#GBPINR#Month Wise Rates#0#BidPrice17")/100</f>
        <v>205.77988399999998</v>
      </c>
      <c r="H14" s="81">
        <f>RTD("tickerplantrtdserver",,"FWRC1#GBPINR#Month Wise Rates#0#AskPrice17")/100</f>
        <v>210.32389500000002</v>
      </c>
      <c r="I14" s="84">
        <f>RTD("tickerplantrtdserver",,"FWRC1#JPYINR#Month Wise Rates#0#BidPrice17")/100</f>
        <v>417.882227</v>
      </c>
      <c r="J14" s="84">
        <f>RTD("tickerplantrtdserver",,"FWRC1#JPYINR#Month Wise Rates#0#AskPrice17")/100</f>
        <v>421.25558599999999</v>
      </c>
      <c r="K14" s="84">
        <f t="array" ref="K14">RTD("tickerplantrtdserver",,"FWRC1#EURUSD#Month Wise Rates#0#BidPrice17")</f>
        <v>163.47999999999999</v>
      </c>
      <c r="L14" s="84">
        <f t="array" ref="L14">RTD("tickerplantrtdserver",,"FWRC1#EURUSD#Month Wise Rates#0#AskPrice17")</f>
        <v>168.98</v>
      </c>
      <c r="M14" s="84">
        <f t="array" ref="M14">RTD("tickerplantrtdserver",,"FWRC1#GBPUSD#Month Wise Rates#0#BidPrice17")</f>
        <v>28.22</v>
      </c>
      <c r="N14" s="84">
        <f t="array" ref="N14">RTD("tickerplantrtdserver",,"FWRC1#GBPUSD#Month Wise Rates#0#AskPrice17")</f>
        <v>29.97</v>
      </c>
      <c r="O14" s="84">
        <f t="array" ref="O14">RTD("tickerplantrtdserver",,"FWRC1#USDJPY#Month Wise Rates#0#BidPrice17")</f>
        <v>-668.8</v>
      </c>
      <c r="P14" s="92">
        <f t="array" ref="P14">RTD("tickerplantrtdserver",,"FWRC1#USDJPY#Month Wise Rates#0#AskPrice17")</f>
        <v>-665.3</v>
      </c>
    </row>
    <row r="15" spans="1:18" ht="15.75" thickBot="1" x14ac:dyDescent="0.3">
      <c r="A15" s="103" t="s">
        <v>33</v>
      </c>
      <c r="B15" s="100">
        <v>365</v>
      </c>
      <c r="C15" s="94">
        <f t="array" ref="C15">RTD("tickerplantrtdserver",,"FWRC1#USDINR#Month Wise Rates#0#BidPrice18")</f>
        <v>170.5455</v>
      </c>
      <c r="D15" s="95">
        <f t="array" ref="D15">RTD("tickerplantrtdserver",,"FWRC1#USDINR#Month Wise Rates#0#AskPrice18")</f>
        <v>172.5455</v>
      </c>
      <c r="E15" s="95">
        <f t="array" ref="E15">RTD("tickerplantrtdserver",,"FWRC1#EURINR#Month Wise Rates#0#BidPrice18")</f>
        <v>326.60629999999998</v>
      </c>
      <c r="F15" s="95">
        <f t="array" ref="F15">RTD("tickerplantrtdserver",,"FWRC1#EURINR#Month Wise Rates#0#AskPrice18")</f>
        <v>331.2722</v>
      </c>
      <c r="G15" s="95">
        <f>RTD("tickerplantrtdserver",,"FWRC1#GBPINR#Month Wise Rates#0#BidPrice18")/100</f>
        <v>230.14520400000001</v>
      </c>
      <c r="H15" s="95">
        <f>RTD("tickerplantrtdserver",,"FWRC1#GBPINR#Month Wise Rates#0#AskPrice18")/100</f>
        <v>234.31058000000002</v>
      </c>
      <c r="I15" s="96">
        <f>RTD("tickerplantrtdserver",,"FWRC1#JPYINR#Month Wise Rates#0#BidPrice18")/100</f>
        <v>460.59303899999998</v>
      </c>
      <c r="J15" s="96">
        <f>RTD("tickerplantrtdserver",,"FWRC1#JPYINR#Month Wise Rates#0#AskPrice18")/100</f>
        <v>463.25063900000004</v>
      </c>
      <c r="K15" s="96">
        <f t="array" ref="K15">RTD("tickerplantrtdserver",,"FWRC1#EURUSD#Month Wise Rates#0#BidPrice18")</f>
        <v>169.74</v>
      </c>
      <c r="L15" s="96">
        <f t="array" ref="L15">RTD("tickerplantrtdserver",,"FWRC1#EURUSD#Month Wise Rates#0#AskPrice18")</f>
        <v>172.64</v>
      </c>
      <c r="M15" s="96">
        <f t="array" ref="M15">RTD("tickerplantrtdserver",,"FWRC1#GBPUSD#Month Wise Rates#0#BidPrice18")</f>
        <v>22.68</v>
      </c>
      <c r="N15" s="96">
        <f t="array" ref="N15">RTD("tickerplantrtdserver",,"FWRC1#GBPUSD#Month Wise Rates#0#AskPrice18")</f>
        <v>24.51</v>
      </c>
      <c r="O15" s="96">
        <f t="array" ref="O15">RTD("tickerplantrtdserver",,"FWRC1#USDJPY#Month Wise Rates#0#BidPrice18")</f>
        <v>-718.7</v>
      </c>
      <c r="P15" s="97">
        <f t="array" ref="P15">RTD("tickerplantrtdserver",,"FWRC1#USDJPY#Month Wise Rates#0#AskPrice18")</f>
        <v>-716.7</v>
      </c>
    </row>
    <row r="18" spans="3:3" x14ac:dyDescent="0.25">
      <c r="C18" s="56"/>
    </row>
  </sheetData>
  <mergeCells count="7">
    <mergeCell ref="O1:P1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39"/>
  <sheetViews>
    <sheetView workbookViewId="0">
      <selection activeCell="D22" sqref="D22"/>
    </sheetView>
  </sheetViews>
  <sheetFormatPr defaultRowHeight="18" customHeight="1" x14ac:dyDescent="0.15"/>
  <cols>
    <col min="1" max="1" width="13.28515625" style="124" bestFit="1" customWidth="1"/>
    <col min="2" max="16384" width="9.140625" style="112"/>
  </cols>
  <sheetData>
    <row r="1" spans="1:7" ht="18" customHeight="1" thickBot="1" x14ac:dyDescent="0.2">
      <c r="A1" s="109" t="s">
        <v>14</v>
      </c>
      <c r="B1" s="110" t="s">
        <v>20</v>
      </c>
      <c r="C1" s="110" t="s">
        <v>19</v>
      </c>
      <c r="D1" s="110" t="s">
        <v>18</v>
      </c>
      <c r="E1" s="111" t="s">
        <v>54</v>
      </c>
    </row>
    <row r="2" spans="1:7" ht="18" customHeight="1" x14ac:dyDescent="0.15">
      <c r="A2" s="113" t="str">
        <f>RTD("tickerplantrtdserver",,"17#1#1#6069#USDINRCOMP#S#Descr.")</f>
        <v>USDINRCOMP</v>
      </c>
      <c r="B2" s="114">
        <f>RTD("tickerplantrtdserver",,"17#1#1#6069#USDINRCOMP#Open")</f>
        <v>82.295000000000002</v>
      </c>
      <c r="C2" s="114">
        <f>RTD("tickerplantrtdserver",,"17#1#1#6069#USDINRCOMP#High")</f>
        <v>82.44</v>
      </c>
      <c r="D2" s="114">
        <f>RTD("tickerplantrtdserver",,"17#1#1#6069#USDINRCOMP#Low")</f>
        <v>82.29</v>
      </c>
      <c r="E2" s="115">
        <f>RTD("tickerplantrtdserver",,"17#1#1#6069#USDINRCOMP#LTP")</f>
        <v>82.385000000000005</v>
      </c>
    </row>
    <row r="3" spans="1:7" ht="18" customHeight="1" x14ac:dyDescent="0.15">
      <c r="A3" s="116" t="str">
        <f>RTD("tickerplantrtdserver",,"17#3#1#5949#EURINRCOMP#S#Descr.")</f>
        <v>EURINRCOMP</v>
      </c>
      <c r="B3" s="117">
        <f>RTD("tickerplantrtdserver",,"17#3#1#5949#EURINRCOMP#Open")</f>
        <v>89.432500000000005</v>
      </c>
      <c r="C3" s="117">
        <f>RTD("tickerplantrtdserver",,"17#3#1#5949#EURINRCOMP#High")</f>
        <v>89.515000000000001</v>
      </c>
      <c r="D3" s="117">
        <f>RTD("tickerplantrtdserver",,"17#3#1#5949#EURINRCOMP#Low")</f>
        <v>89.174999999999997</v>
      </c>
      <c r="E3" s="118">
        <f>RTD("tickerplantrtdserver",,"17#3#1#5949#EURINRCOMP#LTP")</f>
        <v>89.197500000000005</v>
      </c>
    </row>
    <row r="4" spans="1:7" ht="18" customHeight="1" x14ac:dyDescent="0.15">
      <c r="A4" s="116" t="str">
        <f>RTD("tickerplantrtdserver",,"17#3#1#6031#GBPINRCOMP#S#Descr.")</f>
        <v>GBPINRCOMP</v>
      </c>
      <c r="B4" s="117">
        <f>RTD("tickerplantrtdserver",,"17#3#1#6031#GBPINRCOMP#Open")</f>
        <v>102.7525</v>
      </c>
      <c r="C4" s="117">
        <f>RTD("tickerplantrtdserver",,"17#3#1#6031#GBPINRCOMP#High")</f>
        <v>102.8075</v>
      </c>
      <c r="D4" s="117">
        <f>RTD("tickerplantrtdserver",,"17#3#1#6031#GBPINRCOMP#Low")</f>
        <v>102.3575</v>
      </c>
      <c r="E4" s="118">
        <f>RTD("tickerplantrtdserver",,"17#3#1#6031#GBPINRCOMP#LTP")</f>
        <v>102.485</v>
      </c>
    </row>
    <row r="5" spans="1:7" ht="18" customHeight="1" x14ac:dyDescent="0.15">
      <c r="A5" s="116" t="str">
        <f>RTD("tickerplantrtdserver",,"17#3#1#5978#JPYINRCOMP#S#Descr.")</f>
        <v>JPYINRCOMP</v>
      </c>
      <c r="B5" s="117">
        <f>RTD("tickerplantrtdserver",,"17#3#1#5978#JPYINRCOMP#Open")</f>
        <v>60.3</v>
      </c>
      <c r="C5" s="117">
        <f>RTD("tickerplantrtdserver",,"17#3#1#5978#JPYINRCOMP#High")</f>
        <v>60.35</v>
      </c>
      <c r="D5" s="117">
        <f>RTD("tickerplantrtdserver",,"17#3#1#5978#JPYINRCOMP#Low")</f>
        <v>60.082500000000003</v>
      </c>
      <c r="E5" s="118">
        <f>RTD("tickerplantrtdserver",,"17#3#1#5978#JPYINRCOMP#LTP")</f>
        <v>60.1875</v>
      </c>
      <c r="G5" s="175" t="s">
        <v>59</v>
      </c>
    </row>
    <row r="6" spans="1:7" ht="18" customHeight="1" x14ac:dyDescent="0.15">
      <c r="A6" s="116" t="str">
        <f>RTD("tickerplantrtdserver",,"17#3#1#6056#CHFINRCOMP#S#Descr.")</f>
        <v>CHFINRCOMP</v>
      </c>
      <c r="B6" s="117">
        <f>RTD("tickerplantrtdserver",,"17#3#1#6056#CHFINRCOMP#Open")</f>
        <v>91.834999999999994</v>
      </c>
      <c r="C6" s="117">
        <f>RTD("tickerplantrtdserver",,"17#3#1#6056#CHFINRCOMP#High")</f>
        <v>91.95</v>
      </c>
      <c r="D6" s="117">
        <f>RTD("tickerplantrtdserver",,"17#3#1#6056#CHFINRCOMP#Low")</f>
        <v>91.457499999999996</v>
      </c>
      <c r="E6" s="118">
        <f>RTD("tickerplantrtdserver",,"17#3#1#6056#CHFINRCOMP#LTP")</f>
        <v>91.594999999999999</v>
      </c>
      <c r="G6" s="175"/>
    </row>
    <row r="7" spans="1:7" ht="18" customHeight="1" x14ac:dyDescent="0.15">
      <c r="A7" s="116" t="str">
        <f>RTD("tickerplantrtdserver",,"17#3#1#5921#CADINRCOMP#S#Descr.")</f>
        <v>CADINRCOMP</v>
      </c>
      <c r="B7" s="117">
        <f>RTD("tickerplantrtdserver",,"17#3#1#5921#CADINRCOMP#Open")</f>
        <v>61.094999999999999</v>
      </c>
      <c r="C7" s="117">
        <f>RTD("tickerplantrtdserver",,"17#3#1#5921#CADINRCOMP#High")</f>
        <v>61.13</v>
      </c>
      <c r="D7" s="117">
        <f>RTD("tickerplantrtdserver",,"17#3#1#5921#CADINRCOMP#Low")</f>
        <v>60.865000000000002</v>
      </c>
      <c r="E7" s="118">
        <f>RTD("tickerplantrtdserver",,"17#3#1#5921#CADINRCOMP#LTP")</f>
        <v>61.042499999999997</v>
      </c>
      <c r="G7" s="175"/>
    </row>
    <row r="8" spans="1:7" ht="18" customHeight="1" x14ac:dyDescent="0.15">
      <c r="A8" s="116" t="str">
        <f>RTD("tickerplantrtdserver",,"17#3#1#5903#AUDINRCOMP#S#Descr.")</f>
        <v>AUDINRCOMP</v>
      </c>
      <c r="B8" s="117">
        <f>RTD("tickerplantrtdserver",,"17#3#1#5903#AUDINRCOMP#Open")</f>
        <v>54.832500000000003</v>
      </c>
      <c r="C8" s="117">
        <f>RTD("tickerplantrtdserver",,"17#3#1#5903#AUDINRCOMP#High")</f>
        <v>54.852499999999999</v>
      </c>
      <c r="D8" s="117">
        <f>RTD("tickerplantrtdserver",,"17#3#1#5903#AUDINRCOMP#Low")</f>
        <v>54.6</v>
      </c>
      <c r="E8" s="118">
        <f>RTD("tickerplantrtdserver",,"17#3#1#5903#AUDINRCOMP#LTP")</f>
        <v>54.782499999999999</v>
      </c>
      <c r="G8" s="175"/>
    </row>
    <row r="9" spans="1:7" ht="18" customHeight="1" x14ac:dyDescent="0.15">
      <c r="A9" s="116" t="str">
        <f>RTD("tickerplantrtdserver",,"17#3#1#6041#SGDINRCOMP#S#Descr.")</f>
        <v>SGDINRCOMP</v>
      </c>
      <c r="B9" s="117">
        <f>RTD("tickerplantrtdserver",,"17#3#1#6041#SGDINRCOMP#Open")</f>
        <v>61.387500000000003</v>
      </c>
      <c r="C9" s="117">
        <f>RTD("tickerplantrtdserver",,"17#3#1#6041#SGDINRCOMP#High")</f>
        <v>61.407499999999999</v>
      </c>
      <c r="D9" s="117">
        <f>RTD("tickerplantrtdserver",,"17#3#1#6041#SGDINRCOMP#Low")</f>
        <v>61.274999999999999</v>
      </c>
      <c r="E9" s="118">
        <f>RTD("tickerplantrtdserver",,"17#3#1#6041#SGDINRCOMP#LTP")</f>
        <v>61.34</v>
      </c>
      <c r="G9" s="175"/>
    </row>
    <row r="10" spans="1:7" ht="18" customHeight="1" x14ac:dyDescent="0.15">
      <c r="A10" s="116" t="str">
        <f>RTD("tickerplantrtdserver",,"12#2#1#5949#SEURUSD#S#Descr.")</f>
        <v>EURUSD</v>
      </c>
      <c r="B10" s="117">
        <f>RTD("tickerplantrtdserver",,"12#2#1#5949#SEURUSD#Open")</f>
        <v>1.0861400000000001</v>
      </c>
      <c r="C10" s="117">
        <f>RTD("tickerplantrtdserver",,"12#2#1#5949#SEURUSD#High")</f>
        <v>1.0873999999999999</v>
      </c>
      <c r="D10" s="117">
        <f>RTD("tickerplantrtdserver",,"12#2#1#5949#SEURUSD#Low")</f>
        <v>1.08083</v>
      </c>
      <c r="E10" s="118">
        <f>RTD("tickerplantrtdserver",,"12#2#1#5949#SEURUSD#LTP")</f>
        <v>1.08226</v>
      </c>
    </row>
    <row r="11" spans="1:7" ht="18" customHeight="1" x14ac:dyDescent="0.15">
      <c r="A11" s="116" t="str">
        <f>RTD("tickerplantrtdserver",,"12#2#1#6031#SGBPUSD#S#Descr.")</f>
        <v>GBPUSD</v>
      </c>
      <c r="B11" s="117">
        <f>RTD("tickerplantrtdserver",,"12#2#1#6031#SGBPUSD#Open")</f>
        <v>1.24814</v>
      </c>
      <c r="C11" s="117">
        <f>RTD("tickerplantrtdserver",,"12#2#1#6031#SGBPUSD#High")</f>
        <v>1.2493799999999999</v>
      </c>
      <c r="D11" s="117">
        <f>RTD("tickerplantrtdserver",,"12#2#1#6031#SGBPUSD#Low")</f>
        <v>1.2418199999999999</v>
      </c>
      <c r="E11" s="118">
        <f>RTD("tickerplantrtdserver",,"12#2#1#6031#SGBPUSD#LTP")</f>
        <v>1.2462</v>
      </c>
    </row>
    <row r="12" spans="1:7" ht="18" customHeight="1" x14ac:dyDescent="0.15">
      <c r="A12" s="116" t="str">
        <f>RTD("tickerplantrtdserver",,"12#2#1#6069#SUSDJPY#S#Descr.")</f>
        <v>USDJPY</v>
      </c>
      <c r="B12" s="119">
        <f>RTD("tickerplantrtdserver",,"12#2#1#6069#SUSDJPY#Open")</f>
        <v>136.36600000000001</v>
      </c>
      <c r="C12" s="119">
        <f>RTD("tickerplantrtdserver",,"12#2#1#6069#SUSDJPY#High")</f>
        <v>137.45500000000001</v>
      </c>
      <c r="D12" s="119">
        <f>RTD("tickerplantrtdserver",,"12#2#1#6069#SUSDJPY#Low")</f>
        <v>136.26499999999999</v>
      </c>
      <c r="E12" s="120">
        <f>RTD("tickerplantrtdserver",,"12#2#1#6069#SUSDJPY#LTP")</f>
        <v>137.333</v>
      </c>
    </row>
    <row r="13" spans="1:7" ht="18" customHeight="1" x14ac:dyDescent="0.15">
      <c r="A13" s="116" t="str">
        <f>RTD("tickerplantrtdserver",,"12#2#1#6069#SUSDCHF#S#Descr.")</f>
        <v>USDCHF</v>
      </c>
      <c r="B13" s="117">
        <f>RTD("tickerplantrtdserver",,"12#2#1#6069#SUSDCHF#Open")</f>
        <v>0.89629999999999999</v>
      </c>
      <c r="C13" s="117">
        <f>RTD("tickerplantrtdserver",,"12#2#1#6069#SUSDCHF#High")</f>
        <v>0.90256999999999998</v>
      </c>
      <c r="D13" s="117">
        <f>RTD("tickerplantrtdserver",,"12#2#1#6069#SUSDCHF#Low")</f>
        <v>0.89427000000000001</v>
      </c>
      <c r="E13" s="118">
        <f>RTD("tickerplantrtdserver",,"12#2#1#6069#SUSDCHF#LTP")</f>
        <v>0.89973999999999998</v>
      </c>
    </row>
    <row r="14" spans="1:7" ht="18" customHeight="1" x14ac:dyDescent="0.15">
      <c r="A14" s="116" t="str">
        <f>RTD("tickerplantrtdserver",,"12#2#1#6069#SUSDCAD#S#Descr.")</f>
        <v>USDCAD</v>
      </c>
      <c r="B14" s="117">
        <f>RTD("tickerplantrtdserver",,"12#2#1#6069#SUSDCAD#Open")</f>
        <v>1.3477300000000001</v>
      </c>
      <c r="C14" s="117">
        <f>RTD("tickerplantrtdserver",,"12#2#1#6069#SUSDCAD#High")</f>
        <v>1.3535900000000001</v>
      </c>
      <c r="D14" s="117">
        <f>RTD("tickerplantrtdserver",,"12#2#1#6069#SUSDCAD#Low")</f>
        <v>1.3438000000000001</v>
      </c>
      <c r="E14" s="118">
        <f>RTD("tickerplantrtdserver",,"12#2#1#6069#SUSDCAD#LTP")</f>
        <v>1.3495900000000001</v>
      </c>
    </row>
    <row r="15" spans="1:7" ht="18" customHeight="1" x14ac:dyDescent="0.15">
      <c r="A15" s="116" t="str">
        <f>RTD("tickerplantrtdserver",,"12#2#1#5903#SAUDUSD#S#Descr.")</f>
        <v>AUDUSD</v>
      </c>
      <c r="B15" s="117">
        <f>RTD("tickerplantrtdserver",,"12#2#1#5903#SAUDUSD#Open")</f>
        <v>0.66559999999999997</v>
      </c>
      <c r="C15" s="117">
        <f>RTD("tickerplantrtdserver",,"12#2#1#5903#SAUDUSD#High")</f>
        <v>0.66710000000000003</v>
      </c>
      <c r="D15" s="117">
        <f>RTD("tickerplantrtdserver",,"12#2#1#5903#SAUDUSD#Low")</f>
        <v>0.66241000000000005</v>
      </c>
      <c r="E15" s="118">
        <f>RTD("tickerplantrtdserver",,"12#2#1#5903#SAUDUSD#LTP")</f>
        <v>0.66490000000000005</v>
      </c>
    </row>
    <row r="16" spans="1:7" ht="18" customHeight="1" thickBot="1" x14ac:dyDescent="0.2">
      <c r="A16" s="121" t="str">
        <f>RTD("tickerplantrtdserver",,"12#2#1#6069#SUSDSGD#S#Descr.")</f>
        <v>USDSGD</v>
      </c>
      <c r="B16" s="122">
        <f>RTD("tickerplantrtdserver",,"12#2#1#6069#SUSDSGD#Open")</f>
        <v>1.34</v>
      </c>
      <c r="C16" s="122">
        <f>RTD("tickerplantrtdserver",,"12#2#1#6069#SUSDSGD#High")</f>
        <v>1.3443000000000001</v>
      </c>
      <c r="D16" s="122">
        <f>RTD("tickerplantrtdserver",,"12#2#1#6069#SUSDSGD#Low")</f>
        <v>1.3387</v>
      </c>
      <c r="E16" s="123">
        <f>RTD("tickerplantrtdserver",,"12#2#1#6069#SUSDSGD#LTP")</f>
        <v>1.3428</v>
      </c>
    </row>
    <row r="17" spans="1:16" ht="18" customHeight="1" thickBot="1" x14ac:dyDescent="0.2">
      <c r="B17" s="125"/>
      <c r="C17" s="125"/>
      <c r="D17" s="125"/>
      <c r="E17" s="125"/>
    </row>
    <row r="18" spans="1:16" ht="18" customHeight="1" thickBot="1" x14ac:dyDescent="0.2">
      <c r="A18" s="109" t="s">
        <v>14</v>
      </c>
      <c r="B18" s="110" t="s">
        <v>55</v>
      </c>
      <c r="C18" s="110" t="s">
        <v>36</v>
      </c>
      <c r="D18" s="110" t="s">
        <v>37</v>
      </c>
      <c r="E18" s="110" t="s">
        <v>35</v>
      </c>
      <c r="F18" s="110" t="s">
        <v>38</v>
      </c>
      <c r="G18" s="110" t="s">
        <v>39</v>
      </c>
      <c r="H18" s="110" t="s">
        <v>34</v>
      </c>
      <c r="I18" s="110" t="s">
        <v>43</v>
      </c>
      <c r="J18" s="110" t="s">
        <v>44</v>
      </c>
      <c r="K18" s="110" t="s">
        <v>40</v>
      </c>
      <c r="L18" s="110" t="s">
        <v>45</v>
      </c>
      <c r="M18" s="110" t="s">
        <v>46</v>
      </c>
      <c r="N18" s="111" t="s">
        <v>33</v>
      </c>
    </row>
    <row r="19" spans="1:16" ht="18" customHeight="1" x14ac:dyDescent="0.15">
      <c r="A19" s="113" t="str">
        <f>RTD("tickerplantrtdserver",,"17#1#1#6069#USDINRCOMP#S#Descr.")</f>
        <v>USDINRCOMP</v>
      </c>
      <c r="B19" s="126">
        <f t="array" ref="B19">RTD("tickerplantrtdserver",,"FWRC1#USDINR#Month End Rates#0#Close0")</f>
        <v>82.385000000000005</v>
      </c>
      <c r="C19" s="127">
        <f>RTD("tickerplantrtdserver",,"FWRC1#USDINR#Month End Rates#0#Close0")+RTD("tickerplantrtdserver",,"FWRC1#USDINR#Month End Rates#0#Close4")/100</f>
        <v>82.405000000000001</v>
      </c>
      <c r="D19" s="126">
        <f>RTD("tickerplantrtdserver",,"FWRC1#USDINR#Month End Rates#0#Close0")+RTD("tickerplantrtdserver",,"FWRC1#USDINR#Month End Rates#0#Close5")/100</f>
        <v>82.50500000000001</v>
      </c>
      <c r="E19" s="128">
        <f>RTD("tickerplantrtdserver",,"FWRC1#USDINR#Month End Rates#0#Close0")+RTD("tickerplantrtdserver",,"FWRC1#USDINR#Month End Rates#0#Close6")/100</f>
        <v>82.625</v>
      </c>
      <c r="F19" s="128">
        <f>RTD("tickerplantrtdserver",,"FWRC1#USDINR#Month End Rates#0#Close0")+RTD("tickerplantrtdserver",,"FWRC1#USDINR#Month End Rates#0#Close7")/100</f>
        <v>82.734999999999999</v>
      </c>
      <c r="G19" s="128">
        <f>RTD("tickerplantrtdserver",,"FWRC1#USDINR#Month End Rates#0#Close0")+RTD("tickerplantrtdserver",,"FWRC1#USDINR#Month End Rates#0#Close8")/100</f>
        <v>82.855000000000004</v>
      </c>
      <c r="H19" s="128">
        <f>RTD("tickerplantrtdserver",,"FWRC1#USDINR#Month End Rates#0#Close0")+RTD("tickerplantrtdserver",,"FWRC1#USDINR#Month End Rates#0#Close9")/100</f>
        <v>82.984999999999999</v>
      </c>
      <c r="I19" s="128">
        <f>RTD("tickerplantrtdserver",,"FWRC1#USDINR#Month End Rates#0#Close0")+RTD("tickerplantrtdserver",,"FWRC1#USDINR#Month End Rates#0#Close10")/100</f>
        <v>83.125</v>
      </c>
      <c r="J19" s="128">
        <f>RTD("tickerplantrtdserver",,"FWRC1#USDINR#Month End Rates#0#Close0")+RTD("tickerplantrtdserver",,"FWRC1#USDINR#Month End Rates#0#Close11")/100</f>
        <v>83.25500000000001</v>
      </c>
      <c r="K19" s="128">
        <f>RTD("tickerplantrtdserver",,"FWRC1#USDINR#Month End Rates#0#Close0")+RTD("tickerplantrtdserver",,"FWRC1#USDINR#Month End Rates#0#Close12")/100</f>
        <v>83.415000000000006</v>
      </c>
      <c r="L19" s="128">
        <f>RTD("tickerplantrtdserver",,"FWRC1#USDINR#Month End Rates#0#Close0")+RTD("tickerplantrtdserver",,"FWRC1#USDINR#Month End Rates#0#Close13")/100</f>
        <v>83.555000000000007</v>
      </c>
      <c r="M19" s="128">
        <f>RTD("tickerplantrtdserver",,"FWRC1#USDINR#Month End Rates#0#Close0")+RTD("tickerplantrtdserver",,"FWRC1#USDINR#Month End Rates#0#Close14")/100</f>
        <v>83.704999999999998</v>
      </c>
      <c r="N19" s="129">
        <f>RTD("tickerplantrtdserver",,"FWRC1#USDINR#Month End Rates#0#Close0")+RTD("tickerplantrtdserver",,"FWRC1#USDINR#Month End Rates#0#Close15")/100</f>
        <v>83.945000000000007</v>
      </c>
    </row>
    <row r="20" spans="1:16" ht="18" customHeight="1" x14ac:dyDescent="0.15">
      <c r="A20" s="116" t="str">
        <f>RTD("tickerplantrtdserver",,"17#3#1#5949#EURINRCOMP#S#Descr.")</f>
        <v>EURINRCOMP</v>
      </c>
      <c r="B20" s="130">
        <f t="array" ref="B20">RTD("tickerplantrtdserver",,"FWRC1#EURINR#Month End Rates#0#Close0")</f>
        <v>89.45</v>
      </c>
      <c r="C20" s="131">
        <f>RTD("tickerplantrtdserver",,"FWRC1#EURINR#Month End Rates#0#Close0")+RTD("tickerplantrtdserver",,"FWRC1#EURINR#Month End Rates#0#Close4")/100</f>
        <v>89.546025</v>
      </c>
      <c r="D20" s="131">
        <f>RTD("tickerplantrtdserver",,"FWRC1#EURINR#Month End Rates#0#Close0")+RTD("tickerplantrtdserver",,"FWRC1#EURINR#Month End Rates#0#Close5")/100</f>
        <v>89.807200000000009</v>
      </c>
      <c r="E20" s="131">
        <f>RTD("tickerplantrtdserver",,"FWRC1#EURINR#Month End Rates#0#Close0")+RTD("tickerplantrtdserver",,"FWRC1#EURINR#Month End Rates#0#Close6")/100</f>
        <v>90.070850000000007</v>
      </c>
      <c r="F20" s="131">
        <f>RTD("tickerplantrtdserver",,"FWRC1#EURINR#Month End Rates#0#Close0")+RTD("tickerplantrtdserver",,"FWRC1#EURINR#Month End Rates#0#Close7")/100</f>
        <v>90.333075000000008</v>
      </c>
      <c r="G20" s="131">
        <f>RTD("tickerplantrtdserver",,"FWRC1#EURINR#Month End Rates#0#Close0")+RTD("tickerplantrtdserver",,"FWRC1#EURINR#Month End Rates#0#Close8")/100</f>
        <v>90.585774999999998</v>
      </c>
      <c r="H20" s="131">
        <f>RTD("tickerplantrtdserver",,"FWRC1#EURINR#Month End Rates#0#Close0")+RTD("tickerplantrtdserver",,"FWRC1#EURINR#Month End Rates#0#Close9")/100</f>
        <v>90.857150000000004</v>
      </c>
      <c r="I20" s="131">
        <f>RTD("tickerplantrtdserver",,"FWRC1#EURINR#Month End Rates#0#Close0")+RTD("tickerplantrtdserver",,"FWRC1#EURINR#Month End Rates#0#Close10")/100</f>
        <v>91.102125000000001</v>
      </c>
      <c r="J20" s="131">
        <f>RTD("tickerplantrtdserver",,"FWRC1#EURINR#Month End Rates#0#Close0")+RTD("tickerplantrtdserver",,"FWRC1#EURINR#Month End Rates#0#Close11")/100</f>
        <v>91.411675000000002</v>
      </c>
      <c r="K20" s="131">
        <f>RTD("tickerplantrtdserver",,"FWRC1#EURINR#Month End Rates#0#Close0")+RTD("tickerplantrtdserver",,"FWRC1#EURINR#Month End Rates#0#Close12")/100</f>
        <v>91.682400000000001</v>
      </c>
      <c r="L20" s="131">
        <f>RTD("tickerplantrtdserver",,"FWRC1#EURINR#Month End Rates#0#Close0")+RTD("tickerplantrtdserver",,"FWRC1#EURINR#Month End Rates#0#Close13")/100</f>
        <v>91.917249999999996</v>
      </c>
      <c r="M20" s="131">
        <f>RTD("tickerplantrtdserver",,"FWRC1#EURINR#Month End Rates#0#Close0")+RTD("tickerplantrtdserver",,"FWRC1#EURINR#Month End Rates#0#Close14")/100</f>
        <v>92.211349999999996</v>
      </c>
      <c r="N20" s="132">
        <f>RTD("tickerplantrtdserver",,"FWRC1#EURINR#Month End Rates#0#Close0")+RTD("tickerplantrtdserver",,"FWRC1#EURINR#Month End Rates#0#Close15")/100</f>
        <v>92.53595</v>
      </c>
    </row>
    <row r="21" spans="1:16" ht="18" customHeight="1" x14ac:dyDescent="0.15">
      <c r="A21" s="116" t="str">
        <f>RTD("tickerplantrtdserver",,"17#3#1#6031#GBPINRCOMP#S#Descr.")</f>
        <v>GBPINRCOMP</v>
      </c>
      <c r="B21" s="131">
        <f t="array" ref="B21">RTD("tickerplantrtdserver",,"FWRC1#GBPINR#Month End Rates#0#Close0")</f>
        <v>102.765</v>
      </c>
      <c r="C21" s="131">
        <f>RTD("tickerplantrtdserver",,"FWRC1#GBPINR#Month End Rates#0#Close0")+RTD("tickerplantrtdserver",,"FWRC1#GBPINR#Month End Rates#0#Close4")/10000</f>
        <v>102.83120624999999</v>
      </c>
      <c r="D21" s="131">
        <f>RTD("tickerplantrtdserver",,"FWRC1#GBPINR#Month End Rates#0#Close0")+RTD("tickerplantrtdserver",,"FWRC1#GBPINR#Month End Rates#0#Close5")/10000</f>
        <v>103.0173015</v>
      </c>
      <c r="E21" s="131">
        <f>RTD("tickerplantrtdserver",,"FWRC1#GBPINR#Month End Rates#0#Close0")+RTD("tickerplantrtdserver",,"FWRC1#GBPINR#Month End Rates#0#Close6")/10000</f>
        <v>103.20619625</v>
      </c>
      <c r="F21" s="131">
        <f>RTD("tickerplantrtdserver",,"FWRC1#GBPINR#Month End Rates#0#Close0")+RTD("tickerplantrtdserver",,"FWRC1#GBPINR#Month End Rates#0#Close7")/10000</f>
        <v>103.39702975</v>
      </c>
      <c r="G21" s="131">
        <f>RTD("tickerplantrtdserver",,"FWRC1#GBPINR#Month End Rates#0#Close0")+RTD("tickerplantrtdserver",,"FWRC1#GBPINR#Month End Rates#0#Close8")/10000</f>
        <v>103.56975075</v>
      </c>
      <c r="H21" s="131">
        <f>RTD("tickerplantrtdserver",,"FWRC1#GBPINR#Month End Rates#0#Close0")+RTD("tickerplantrtdserver",,"FWRC1#GBPINR#Month End Rates#0#Close9")/10000</f>
        <v>103.76136375</v>
      </c>
      <c r="I21" s="131">
        <f>RTD("tickerplantrtdserver",,"FWRC1#GBPINR#Month End Rates#0#Close0")+RTD("tickerplantrtdserver",,"FWRC1#GBPINR#Month End Rates#0#Close10")/10000</f>
        <v>103.93010525</v>
      </c>
      <c r="J21" s="131">
        <f>RTD("tickerplantrtdserver",,"FWRC1#GBPINR#Month End Rates#0#Close0")+RTD("tickerplantrtdserver",,"FWRC1#GBPINR#Month End Rates#0#Close11")/10000</f>
        <v>104.14137425</v>
      </c>
      <c r="K21" s="131">
        <f>RTD("tickerplantrtdserver",,"FWRC1#GBPINR#Month End Rates#0#Close0")+RTD("tickerplantrtdserver",,"FWRC1#GBPINR#Month End Rates#0#Close12")/10000</f>
        <v>104.3169335</v>
      </c>
      <c r="L21" s="131">
        <f>RTD("tickerplantrtdserver",,"FWRC1#GBPINR#Month End Rates#0#Close0")+RTD("tickerplantrtdserver",,"FWRC1#GBPINR#Month End Rates#0#Close13")/10000</f>
        <v>104.47997650000001</v>
      </c>
      <c r="M21" s="131">
        <f>RTD("tickerplantrtdserver",,"FWRC1#GBPINR#Month End Rates#0#Close0")+RTD("tickerplantrtdserver",,"FWRC1#GBPINR#Month End Rates#0#Close14")/10000</f>
        <v>104.69929075</v>
      </c>
      <c r="N21" s="132">
        <f>RTD("tickerplantrtdserver",,"FWRC1#GBPINR#Month End Rates#0#Close0")+RTD("tickerplantrtdserver",,"FWRC1#GBPINR#Month End Rates#0#Close15")/10000</f>
        <v>104.94376775000001</v>
      </c>
    </row>
    <row r="22" spans="1:16" ht="18" customHeight="1" x14ac:dyDescent="0.15">
      <c r="A22" s="116" t="str">
        <f>RTD("tickerplantrtdserver",,"17#3#1#5978#JPYINRCOMP#S#Descr.")</f>
        <v>JPYINRCOMP</v>
      </c>
      <c r="B22" s="130">
        <f>RTD("tickerplantrtdserver",,"FWRC1#JPYINR#Month End Rates#0#Close0")</f>
        <v>60.314999999999998</v>
      </c>
      <c r="C22" s="131">
        <f>RTD("tickerplantrtdserver",,"FWRC1#JPYINR#Month End Rates#0#Close0")+RTD("tickerplantrtdserver",,"FWRC1#JPYINR#Month End Rates#0#Close4")/10000</f>
        <v>60.446624249999999</v>
      </c>
      <c r="D22" s="131">
        <f>RTD("tickerplantrtdserver",,"FWRC1#JPYINR#Month End Rates#0#Close0")+RTD("tickerplantrtdserver",,"FWRC1#JPYINR#Month End Rates#0#Close5")/10000</f>
        <v>60.799316249999997</v>
      </c>
      <c r="E22" s="131">
        <f>RTD("tickerplantrtdserver",,"FWRC1#JPYINR#Month End Rates#0#Close0")+RTD("tickerplantrtdserver",,"FWRC1#JPYINR#Month End Rates#0#Close6")/10000</f>
        <v>61.170292249999996</v>
      </c>
      <c r="F22" s="131">
        <f>RTD("tickerplantrtdserver",,"FWRC1#JPYINR#Month End Rates#0#Close0")+RTD("tickerplantrtdserver",,"FWRC1#JPYINR#Month End Rates#0#Close7")/10000</f>
        <v>61.536878250000001</v>
      </c>
      <c r="G22" s="131">
        <f>RTD("tickerplantrtdserver",,"FWRC1#JPYINR#Month End Rates#0#Close0")+RTD("tickerplantrtdserver",,"FWRC1#JPYINR#Month End Rates#0#Close8")/10000</f>
        <v>61.90625825</v>
      </c>
      <c r="H22" s="131">
        <f>RTD("tickerplantrtdserver",,"FWRC1#JPYINR#Month End Rates#0#Close0")+RTD("tickerplantrtdserver",,"FWRC1#JPYINR#Month End Rates#0#Close9")/10000</f>
        <v>62.302808249999998</v>
      </c>
      <c r="I22" s="131">
        <f>RTD("tickerplantrtdserver",,"FWRC1#JPYINR#Month End Rates#0#Close0")+RTD("tickerplantrtdserver",,"FWRC1#JPYINR#Month End Rates#0#Close10")/10000</f>
        <v>62.66917875</v>
      </c>
      <c r="J22" s="131">
        <f>RTD("tickerplantrtdserver",,"FWRC1#JPYINR#Month End Rates#0#Close0")+RTD("tickerplantrtdserver",,"FWRC1#JPYINR#Month End Rates#0#Close11")/10000</f>
        <v>63.090276249999995</v>
      </c>
      <c r="K22" s="131">
        <f>RTD("tickerplantrtdserver",,"FWRC1#JPYINR#Month End Rates#0#Close0")+RTD("tickerplantrtdserver",,"FWRC1#JPYINR#Month End Rates#0#Close12")/10000</f>
        <v>63.494146749999999</v>
      </c>
      <c r="L22" s="131">
        <f>RTD("tickerplantrtdserver",,"FWRC1#JPYINR#Month End Rates#0#Close0")+RTD("tickerplantrtdserver",,"FWRC1#JPYINR#Month End Rates#0#Close13")/10000</f>
        <v>63.852854749999999</v>
      </c>
      <c r="M22" s="131">
        <f>RTD("tickerplantrtdserver",,"FWRC1#JPYINR#Month End Rates#0#Close0")+RTD("tickerplantrtdserver",,"FWRC1#JPYINR#Month End Rates#0#Close14")/10000</f>
        <v>64.229659499999997</v>
      </c>
      <c r="N22" s="132">
        <f>RTD("tickerplantrtdserver",,"FWRC1#JPYINR#Month End Rates#0#Close0")+RTD("tickerplantrtdserver",,"FWRC1#JPYINR#Month End Rates#0#Close15")/10000</f>
        <v>64.668848499999996</v>
      </c>
    </row>
    <row r="23" spans="1:16" ht="18" customHeight="1" x14ac:dyDescent="0.15">
      <c r="A23" s="116" t="str">
        <f>RTD("tickerplantrtdserver",,"17#3#1#6056#CHFINRCOMP#S#Descr.")</f>
        <v>CHFINRCOMP</v>
      </c>
      <c r="B23" s="130">
        <f>RTD("tickerplantrtdserver",,"FWRC1#CHFINR#Month Wise Rates#0#Close0")</f>
        <v>91.594999999999999</v>
      </c>
      <c r="C23" s="131">
        <f>RTD("tickerplantrtdserver",,"FWRC1#CHFINR#Month Wise Rates#0#Close0")+RTD("tickerplantrtdserver",,"FWRC1#CHFINR#Month Wise Rates#0#Close7")/10000</f>
        <v>92.007743160000004</v>
      </c>
      <c r="D23" s="131">
        <f>RTD("tickerplantrtdserver",,"FWRC1#CHFINR#Month Wise Rates#0#Close0")+RTD("tickerplantrtdserver",,"FWRC1#CHFINR#Month Wise Rates#0#Close8")/10000</f>
        <v>92.459767909999997</v>
      </c>
      <c r="E23" s="131">
        <f>RTD("tickerplantrtdserver",,"FWRC1#CHFINR#Month Wise Rates#0#Close0")+RTD("tickerplantrtdserver",,"FWRC1#CHFINR#Month Wise Rates#0#Close9")/10000</f>
        <v>92.875972189999999</v>
      </c>
      <c r="F23" s="131">
        <f>RTD("tickerplantrtdserver",,"FWRC1#CHFINR#Month Wise Rates#0#Close0")+RTD("tickerplantrtdserver",,"FWRC1#CHFINR#Month Wise Rates#0#Close10")/10000</f>
        <v>93.309645979999999</v>
      </c>
      <c r="G23" s="131">
        <f>RTD("tickerplantrtdserver",,"FWRC1#CHFINR#Month Wise Rates#0#Close0")+RTD("tickerplantrtdserver",,"FWRC1#CHFINR#Month Wise Rates#0#Close11")/10000</f>
        <v>93.747429299999993</v>
      </c>
      <c r="H23" s="131">
        <f>RTD("tickerplantrtdserver",,"FWRC1#CHFINR#Month Wise Rates#0#Close0")+RTD("tickerplantrtdserver",,"FWRC1#CHFINR#Month Wise Rates#0#Close12")/10000</f>
        <v>94.144361410000002</v>
      </c>
      <c r="I23" s="131">
        <f>RTD("tickerplantrtdserver",,"FWRC1#CHFINR#Month Wise Rates#0#Close0")+RTD("tickerplantrtdserver",,"FWRC1#CHFINR#Month Wise Rates#0#Close13")/10000</f>
        <v>94.546462140000003</v>
      </c>
      <c r="J23" s="131">
        <f>RTD("tickerplantrtdserver",,"FWRC1#CHFINR#Month Wise Rates#0#Close0")+RTD("tickerplantrtdserver",,"FWRC1#CHFINR#Month Wise Rates#0#Close14")/10000</f>
        <v>95.055255380000006</v>
      </c>
      <c r="K23" s="131">
        <f>RTD("tickerplantrtdserver",,"FWRC1#CHFINR#Month Wise Rates#0#Close0")+RTD("tickerplantrtdserver",,"FWRC1#CHFINR#Month Wise Rates#0#Close15")/10000</f>
        <v>95.503105860000005</v>
      </c>
      <c r="L23" s="131">
        <f>RTD("tickerplantrtdserver",,"FWRC1#CHFINR#Month Wise Rates#0#Close0")+RTD("tickerplantrtdserver",,"FWRC1#CHFINR#Month Wise Rates#0#Close16")/10000</f>
        <v>95.787103470000005</v>
      </c>
      <c r="M23" s="131">
        <f>RTD("tickerplantrtdserver",,"FWRC1#CHFINR#Month Wise Rates#0#Close0")+RTD("tickerplantrtdserver",,"FWRC1#CHFINR#Month Wise Rates#0#Close17")/10000</f>
        <v>96.271294150000003</v>
      </c>
      <c r="N23" s="132">
        <f>RTD("tickerplantrtdserver",,"FWRC1#CHFINR#Month Wise Rates#0#Close0")+RTD("tickerplantrtdserver",,"FWRC1#CHFINR#Month Wise Rates#0#Close18")/10000</f>
        <v>96.808813020000002</v>
      </c>
      <c r="P23" s="175" t="s">
        <v>60</v>
      </c>
    </row>
    <row r="24" spans="1:16" ht="18" customHeight="1" x14ac:dyDescent="0.15">
      <c r="A24" s="116" t="str">
        <f>RTD("tickerplantrtdserver",,"17#3#1#5921#CADINRCOMP#S#Descr.")</f>
        <v>CADINRCOMP</v>
      </c>
      <c r="B24" s="131">
        <f>RTD("tickerplantrtdserver",,"FWRC1#CADINR#Month Wise Rates#0#Close0")</f>
        <v>61.042499999999997</v>
      </c>
      <c r="C24" s="131">
        <f>RTD("tickerplantrtdserver",,"FWRC1#CADINR#Month Wise Rates#0#Close0")+RTD("tickerplantrtdserver",,"FWRC1#CADINR#Month Wise Rates#0#Close7")/10000</f>
        <v>61.146504909999997</v>
      </c>
      <c r="D24" s="131">
        <f>RTD("tickerplantrtdserver",,"FWRC1#CADINR#Month Wise Rates#0#Close0")+RTD("tickerplantrtdserver",,"FWRC1#CADINR#Month Wise Rates#0#Close8")/10000</f>
        <v>61.263480259999994</v>
      </c>
      <c r="E24" s="131">
        <f>RTD("tickerplantrtdserver",,"FWRC1#CADINR#Month Wise Rates#0#Close0")+RTD("tickerplantrtdserver",,"FWRC1#CADINR#Month Wise Rates#0#Close9")/10000</f>
        <v>61.38778894</v>
      </c>
      <c r="F24" s="131">
        <f>RTD("tickerplantrtdserver",,"FWRC1#CADINR#Month Wise Rates#0#Close0")+RTD("tickerplantrtdserver",,"FWRC1#CADINR#Month Wise Rates#0#Close10")/10000</f>
        <v>61.502265959999995</v>
      </c>
      <c r="G24" s="131">
        <f>RTD("tickerplantrtdserver",,"FWRC1#CADINR#Month Wise Rates#0#Close0")+RTD("tickerplantrtdserver",,"FWRC1#CADINR#Month Wise Rates#0#Close11")/10000</f>
        <v>61.618992779999999</v>
      </c>
      <c r="H24" s="131">
        <f>RTD("tickerplantrtdserver",,"FWRC1#CADINR#Month Wise Rates#0#Close0")+RTD("tickerplantrtdserver",,"FWRC1#CADINR#Month Wise Rates#0#Close12")/10000</f>
        <v>61.741391659999998</v>
      </c>
      <c r="I24" s="131">
        <f>RTD("tickerplantrtdserver",,"FWRC1#CADINR#Month Wise Rates#0#Close0")+RTD("tickerplantrtdserver",,"FWRC1#CADINR#Month Wise Rates#0#Close13")/10000</f>
        <v>61.84913658</v>
      </c>
      <c r="J24" s="131">
        <f>RTD("tickerplantrtdserver",,"FWRC1#CADINR#Month Wise Rates#0#Close0")+RTD("tickerplantrtdserver",,"FWRC1#CADINR#Month Wise Rates#0#Close14")/10000</f>
        <v>61.975110169999994</v>
      </c>
      <c r="K24" s="131">
        <f>RTD("tickerplantrtdserver",,"FWRC1#CADINR#Month Wise Rates#0#Close0")+RTD("tickerplantrtdserver",,"FWRC1#CADINR#Month Wise Rates#0#Close15")/10000</f>
        <v>62.111763769999996</v>
      </c>
      <c r="L24" s="131">
        <f>RTD("tickerplantrtdserver",,"FWRC1#CADINR#Month Wise Rates#0#Close0")+RTD("tickerplantrtdserver",,"FWRC1#CADINR#Month Wise Rates#0#Close16")/10000</f>
        <v>62.214023399999995</v>
      </c>
      <c r="M24" s="131">
        <f>RTD("tickerplantrtdserver",,"FWRC1#CADINR#Month Wise Rates#0#Close0")+RTD("tickerplantrtdserver",,"FWRC1#CADINR#Month Wise Rates#0#Close17")/10000</f>
        <v>62.368928369999999</v>
      </c>
      <c r="N24" s="132">
        <f>RTD("tickerplantrtdserver",,"FWRC1#CADINR#Month Wise Rates#0#Close0")+RTD("tickerplantrtdserver",,"FWRC1#CADINR#Month Wise Rates#0#Close18")/10000</f>
        <v>62.532211219999994</v>
      </c>
      <c r="P24" s="175"/>
    </row>
    <row r="25" spans="1:16" ht="18" customHeight="1" x14ac:dyDescent="0.15">
      <c r="A25" s="116" t="str">
        <f>RTD("tickerplantrtdserver",,"17#3#1#5903#AUDINRCOMP#S#Descr.")</f>
        <v>AUDINRCOMP</v>
      </c>
      <c r="B25" s="131">
        <f>RTD("tickerplantrtdserver",,"FWRC1#AUDINR#Month Wise Rates#0#Close0")</f>
        <v>54.782499999999999</v>
      </c>
      <c r="C25" s="131">
        <f>RTD("tickerplantrtdserver",,"FWRC1#AUDINR#Month Wise Rates#0#Close0")+RTD("tickerplantrtdserver",,"FWRC1#AUDINR#Month Wise Rates#0#Close7")/10000</f>
        <v>54.905186369999996</v>
      </c>
      <c r="D25" s="131">
        <f>RTD("tickerplantrtdserver",,"FWRC1#AUDINR#Month Wise Rates#0#Close0")+RTD("tickerplantrtdserver",,"FWRC1#AUDINR#Month Wise Rates#0#Close8")/10000</f>
        <v>55.036304309999998</v>
      </c>
      <c r="E25" s="131">
        <f>RTD("tickerplantrtdserver",,"FWRC1#AUDINR#Month Wise Rates#0#Close0")+RTD("tickerplantrtdserver",,"FWRC1#AUDINR#Month Wise Rates#0#Close9")/10000</f>
        <v>55.177956279999997</v>
      </c>
      <c r="F25" s="131">
        <f>RTD("tickerplantrtdserver",,"FWRC1#AUDINR#Month Wise Rates#0#Close0")+RTD("tickerplantrtdserver",,"FWRC1#AUDINR#Month Wise Rates#0#Close10")/10000</f>
        <v>55.306703470000002</v>
      </c>
      <c r="G25" s="131">
        <f>RTD("tickerplantrtdserver",,"FWRC1#AUDINR#Month Wise Rates#0#Close0")+RTD("tickerplantrtdserver",,"FWRC1#AUDINR#Month Wise Rates#0#Close11")/10000</f>
        <v>55.435592919999998</v>
      </c>
      <c r="H25" s="131">
        <f>RTD("tickerplantrtdserver",,"FWRC1#AUDINR#Month Wise Rates#0#Close0")+RTD("tickerplantrtdserver",,"FWRC1#AUDINR#Month Wise Rates#0#Close12")/10000</f>
        <v>55.577832059999999</v>
      </c>
      <c r="I25" s="131">
        <f>RTD("tickerplantrtdserver",,"FWRC1#AUDINR#Month Wise Rates#0#Close0")+RTD("tickerplantrtdserver",,"FWRC1#AUDINR#Month Wise Rates#0#Close13")/10000</f>
        <v>55.705077930000002</v>
      </c>
      <c r="J25" s="131">
        <f>RTD("tickerplantrtdserver",,"FWRC1#AUDINR#Month Wise Rates#0#Close0")+RTD("tickerplantrtdserver",,"FWRC1#AUDINR#Month Wise Rates#0#Close14")/10000</f>
        <v>55.839178789999998</v>
      </c>
      <c r="K25" s="131">
        <f>RTD("tickerplantrtdserver",,"FWRC1#AUDINR#Month Wise Rates#0#Close0")+RTD("tickerplantrtdserver",,"FWRC1#AUDINR#Month Wise Rates#0#Close15")/10000</f>
        <v>55.972230230000001</v>
      </c>
      <c r="L25" s="131">
        <f>RTD("tickerplantrtdserver",,"FWRC1#AUDINR#Month Wise Rates#0#Close0")+RTD("tickerplantrtdserver",,"FWRC1#AUDINR#Month Wise Rates#0#Close16")/10000</f>
        <v>56.084331049999996</v>
      </c>
      <c r="M25" s="131">
        <f>RTD("tickerplantrtdserver",,"FWRC1#AUDINR#Month Wise Rates#0#Close0")+RTD("tickerplantrtdserver",,"FWRC1#AUDINR#Month Wise Rates#0#Close17")/10000</f>
        <v>56.24237806</v>
      </c>
      <c r="N25" s="132">
        <f>RTD("tickerplantrtdserver",,"FWRC1#AUDINR#Month Wise Rates#0#Close0")+RTD("tickerplantrtdserver",,"FWRC1#AUDINR#Month Wise Rates#0#Close18")/10000</f>
        <v>56.403934599999999</v>
      </c>
      <c r="P25" s="175"/>
    </row>
    <row r="26" spans="1:16" ht="18" customHeight="1" x14ac:dyDescent="0.15">
      <c r="A26" s="116" t="str">
        <f>RTD("tickerplantrtdserver",,"17#3#1#6041#SGDINRCOMP#S#Descr.")</f>
        <v>SGDINRCOMP</v>
      </c>
      <c r="B26" s="131">
        <f>RTD("tickerplantrtdserver",,"FWRC1#SGDINR#Month Wise Rates#0#Close0")</f>
        <v>61.34</v>
      </c>
      <c r="C26" s="131">
        <f>RTD("tickerplantrtdserver",,"FWRC1#SGDINR#Month Wise Rates#0#Close0")+RTD("tickerplantrtdserver",,"FWRC1#SGDINR#Month Wise Rates#0#Close7")/10000</f>
        <v>61.464948640000003</v>
      </c>
      <c r="D26" s="131">
        <f>RTD("tickerplantrtdserver",,"FWRC1#SGDINR#Month Wise Rates#0#Close0")+RTD("tickerplantrtdserver",,"FWRC1#SGDINR#Month Wise Rates#0#Close8")/10000</f>
        <v>61.590262940000002</v>
      </c>
      <c r="E26" s="131">
        <f>RTD("tickerplantrtdserver",,"FWRC1#SGDINR#Month Wise Rates#0#Close0")+RTD("tickerplantrtdserver",,"FWRC1#SGDINR#Month Wise Rates#0#Close9")/10000</f>
        <v>61.76021858</v>
      </c>
      <c r="F26" s="131">
        <f>RTD("tickerplantrtdserver",,"FWRC1#SGDINR#Month Wise Rates#0#Close0")+RTD("tickerplantrtdserver",,"FWRC1#SGDINR#Month Wise Rates#0#Close10")/10000</f>
        <v>61.949653590000004</v>
      </c>
      <c r="G26" s="131">
        <f>RTD("tickerplantrtdserver",,"FWRC1#SGDINR#Month Wise Rates#0#Close0")+RTD("tickerplantrtdserver",,"FWRC1#SGDINR#Month Wise Rates#0#Close11")/10000</f>
        <v>62.105926620000005</v>
      </c>
      <c r="H26" s="131">
        <f>RTD("tickerplantrtdserver",,"FWRC1#SGDINR#Month Wise Rates#0#Close0")+RTD("tickerplantrtdserver",,"FWRC1#SGDINR#Month Wise Rates#0#Close12")/10000</f>
        <v>62.305647280000002</v>
      </c>
      <c r="I26" s="131">
        <f>RTD("tickerplantrtdserver",,"FWRC1#SGDINR#Month Wise Rates#0#Close0")+RTD("tickerplantrtdserver",,"FWRC1#SGDINR#Month Wise Rates#0#Close13")/10000</f>
        <v>62.440050140000004</v>
      </c>
      <c r="J26" s="131">
        <f>RTD("tickerplantrtdserver",,"FWRC1#SGDINR#Month Wise Rates#0#Close0")+RTD("tickerplantrtdserver",,"FWRC1#SGDINR#Month Wise Rates#0#Close14")/10000</f>
        <v>62.614600510000002</v>
      </c>
      <c r="K26" s="131">
        <f>RTD("tickerplantrtdserver",,"FWRC1#SGDINR#Month Wise Rates#0#Close0")+RTD("tickerplantrtdserver",,"FWRC1#SGDINR#Month Wise Rates#0#Close15")/10000</f>
        <v>62.830222520000007</v>
      </c>
      <c r="L26" s="131">
        <f>RTD("tickerplantrtdserver",,"FWRC1#SGDINR#Month Wise Rates#0#Close0")+RTD("tickerplantrtdserver",,"FWRC1#SGDINR#Month Wise Rates#0#Close16")/10000</f>
        <v>62.979491940000003</v>
      </c>
      <c r="M26" s="131">
        <f>RTD("tickerplantrtdserver",,"FWRC1#SGDINR#Month Wise Rates#0#Close0")+RTD("tickerplantrtdserver",,"FWRC1#SGDINR#Month Wise Rates#0#Close17")/10000</f>
        <v>63.114200180000005</v>
      </c>
      <c r="N26" s="132">
        <f>RTD("tickerplantrtdserver",,"FWRC1#SGDINR#Month Wise Rates#0#Close0")+RTD("tickerplantrtdserver",,"FWRC1#SGDINR#Month Wise Rates#0#Close18")/10000</f>
        <v>63.418708650000006</v>
      </c>
      <c r="P26" s="175"/>
    </row>
    <row r="27" spans="1:16" ht="18" customHeight="1" x14ac:dyDescent="0.15">
      <c r="A27" s="116" t="str">
        <f>RTD("tickerplantrtdserver",,"12#2#1#5949#SEURUSD#S#Descr.")</f>
        <v>EURUSD</v>
      </c>
      <c r="B27" s="131">
        <f>RTD("tickerplantrtdserver",,"FWRC1#EURUSD#Month Wise Rates#0#Close0")</f>
        <v>1.08226</v>
      </c>
      <c r="C27" s="131">
        <f>RTD("tickerplantrtdserver",,"FWRC1#EURUSD#Month Wise Rates#0#Close0")+RTD("tickerplantrtdserver",,"FWRC1#EURUSD#Month Wise Rates#0#Close7")/10000</f>
        <v>1.084228</v>
      </c>
      <c r="D27" s="131">
        <f>RTD("tickerplantrtdserver",,"FWRC1#EURUSD#Month Wise Rates#0#Close0")+RTD("tickerplantrtdserver",,"FWRC1#EURUSD#Month Wise Rates#0#Close8")/10000</f>
        <v>1.0860110000000001</v>
      </c>
      <c r="E27" s="131">
        <f>RTD("tickerplantrtdserver",,"FWRC1#EURUSD#Month Wise Rates#0#Close0")+RTD("tickerplantrtdserver",,"FWRC1#EURUSD#Month Wise Rates#0#Close9")/10000</f>
        <v>1.087833</v>
      </c>
      <c r="F27" s="131">
        <f>RTD("tickerplantrtdserver",,"FWRC1#EURUSD#Month Wise Rates#0#Close0")+RTD("tickerplantrtdserver",,"FWRC1#EURUSD#Month Wise Rates#0#Close10")/10000</f>
        <v>1.0893839999999999</v>
      </c>
      <c r="G27" s="131">
        <f>RTD("tickerplantrtdserver",,"FWRC1#EURUSD#Month Wise Rates#0#Close0")+RTD("tickerplantrtdserver",,"FWRC1#EURUSD#Month Wise Rates#0#Close11")/10000</f>
        <v>1.090857</v>
      </c>
      <c r="H27" s="131">
        <f>RTD("tickerplantrtdserver",,"FWRC1#EURUSD#Month Wise Rates#0#Close0")+RTD("tickerplantrtdserver",,"FWRC1#EURUSD#Month Wise Rates#0#Close12")/10000</f>
        <v>1.0922750000000001</v>
      </c>
      <c r="I27" s="131">
        <f>RTD("tickerplantrtdserver",,"FWRC1#EURUSD#Month Wise Rates#0#Close0")+RTD("tickerplantrtdserver",,"FWRC1#EURUSD#Month Wise Rates#0#Close13")/10000</f>
        <v>1.0934630000000001</v>
      </c>
      <c r="J27" s="131">
        <f>RTD("tickerplantrtdserver",,"FWRC1#EURUSD#Month Wise Rates#0#Close0")+RTD("tickerplantrtdserver",,"FWRC1#EURUSD#Month Wise Rates#0#Close14")/10000</f>
        <v>1.0955330000000001</v>
      </c>
      <c r="K27" s="131">
        <f>RTD("tickerplantrtdserver",,"FWRC1#EURUSD#Month Wise Rates#0#Close0")+RTD("tickerplantrtdserver",,"FWRC1#EURUSD#Month Wise Rates#0#Close15")/10000</f>
        <v>1.096533</v>
      </c>
      <c r="L27" s="131">
        <f>RTD("tickerplantrtdserver",,"FWRC1#EURUSD#Month Wise Rates#0#Close0")+RTD("tickerplantrtdserver",,"FWRC1#EURUSD#Month Wise Rates#0#Close16")/10000</f>
        <v>1.09754</v>
      </c>
      <c r="M27" s="131">
        <f>RTD("tickerplantrtdserver",,"FWRC1#EURUSD#Month Wise Rates#0#Close0")+RTD("tickerplantrtdserver",,"FWRC1#EURUSD#Month Wise Rates#0#Close17")/10000</f>
        <v>1.098608</v>
      </c>
      <c r="N27" s="132">
        <f>RTD("tickerplantrtdserver",,"FWRC1#EURUSD#Month Wise Rates#0#Close0")+RTD("tickerplantrtdserver",,"FWRC1#EURUSD#Month Wise Rates#0#Close18")/10000</f>
        <v>1.099234</v>
      </c>
      <c r="P27" s="175"/>
    </row>
    <row r="28" spans="1:16" ht="18" customHeight="1" x14ac:dyDescent="0.15">
      <c r="A28" s="116" t="str">
        <f>RTD("tickerplantrtdserver",,"12#2#1#6031#SGBPUSD#S#Descr.")</f>
        <v>GBPUSD</v>
      </c>
      <c r="B28" s="131">
        <f>RTD("tickerplantrtdserver",,"FWRC1#GBPUSD#Month Wise Rates#0#Close0")</f>
        <v>1.2462</v>
      </c>
      <c r="C28" s="131">
        <f>RTD("tickerplantrtdserver",,"FWRC1#GBPUSD#Month Wise Rates#0#Close0")+RTD("tickerplantrtdserver",,"FWRC1#GBPUSD#Month Wise Rates#0#Close7")/10000</f>
        <v>1.2470300000000001</v>
      </c>
      <c r="D28" s="131">
        <f>RTD("tickerplantrtdserver",,"FWRC1#GBPUSD#Month Wise Rates#0#Close0")+RTD("tickerplantrtdserver",,"FWRC1#GBPUSD#Month Wise Rates#0#Close8")/10000</f>
        <v>1.247719</v>
      </c>
      <c r="E28" s="131">
        <f>RTD("tickerplantrtdserver",,"FWRC1#GBPUSD#Month Wise Rates#0#Close0")+RTD("tickerplantrtdserver",,"FWRC1#GBPUSD#Month Wise Rates#0#Close9")/10000</f>
        <v>1.2483568999999999</v>
      </c>
      <c r="F28" s="131">
        <f>RTD("tickerplantrtdserver",,"FWRC1#GBPUSD#Month Wise Rates#0#Close0")+RTD("tickerplantrtdserver",,"FWRC1#GBPUSD#Month Wise Rates#0#Close10")/10000</f>
        <v>1.2488355</v>
      </c>
      <c r="G28" s="131">
        <f>RTD("tickerplantrtdserver",,"FWRC1#GBPUSD#Month Wise Rates#0#Close0")+RTD("tickerplantrtdserver",,"FWRC1#GBPUSD#Month Wise Rates#0#Close11")/10000</f>
        <v>1.2491809999999999</v>
      </c>
      <c r="H28" s="131">
        <f>RTD("tickerplantrtdserver",,"FWRC1#GBPUSD#Month Wise Rates#0#Close0")+RTD("tickerplantrtdserver",,"FWRC1#GBPUSD#Month Wise Rates#0#Close12")/10000</f>
        <v>1.2493535</v>
      </c>
      <c r="I28" s="131">
        <f>RTD("tickerplantrtdserver",,"FWRC1#GBPUSD#Month Wise Rates#0#Close0")+RTD("tickerplantrtdserver",,"FWRC1#GBPUSD#Month Wise Rates#0#Close13")/10000</f>
        <v>1.2493069999999999</v>
      </c>
      <c r="J28" s="131">
        <f>RTD("tickerplantrtdserver",,"FWRC1#GBPUSD#Month Wise Rates#0#Close0")+RTD("tickerplantrtdserver",,"FWRC1#GBPUSD#Month Wise Rates#0#Close14")/10000</f>
        <v>1.2497739999999999</v>
      </c>
      <c r="K28" s="131">
        <f>RTD("tickerplantrtdserver",,"FWRC1#GBPUSD#Month Wise Rates#0#Close0")+RTD("tickerplantrtdserver",,"FWRC1#GBPUSD#Month Wise Rates#0#Close15")/10000</f>
        <v>1.249579</v>
      </c>
      <c r="L28" s="131">
        <f>RTD("tickerplantrtdserver",,"FWRC1#GBPUSD#Month Wise Rates#0#Close0")+RTD("tickerplantrtdserver",,"FWRC1#GBPUSD#Month Wise Rates#0#Close16")/10000</f>
        <v>1.2494069999999999</v>
      </c>
      <c r="M28" s="131">
        <f>RTD("tickerplantrtdserver",,"FWRC1#GBPUSD#Month Wise Rates#0#Close0")+RTD("tickerplantrtdserver",,"FWRC1#GBPUSD#Month Wise Rates#0#Close17")/10000</f>
        <v>1.2490220000000001</v>
      </c>
      <c r="N28" s="132">
        <f>RTD("tickerplantrtdserver",,"FWRC1#GBPUSD#Month Wise Rates#0#Close0")+RTD("tickerplantrtdserver",,"FWRC1#GBPUSD#Month Wise Rates#0#Close18")/10000</f>
        <v>1.2484679999999999</v>
      </c>
    </row>
    <row r="29" spans="1:16" ht="18" customHeight="1" x14ac:dyDescent="0.15">
      <c r="A29" s="116" t="str">
        <f>RTD("tickerplantrtdserver",,"12#2#1#6069#SUSDJPY#S#Descr.")</f>
        <v>USDJPY</v>
      </c>
      <c r="B29" s="133">
        <f>RTD("tickerplantrtdserver",,"FWRC1#USDJPY#Month Wise Rates#0#Close0")</f>
        <v>137.333</v>
      </c>
      <c r="C29" s="133">
        <f>RTD("tickerplantrtdserver",,"FWRC1#USDJPY#Month Wise Rates#0#Close0")+RTD("tickerplantrtdserver",,"FWRC1#USDJPY#Month Wise Rates#0#Close7")/100</f>
        <v>136.67339999999999</v>
      </c>
      <c r="D29" s="133">
        <f>RTD("tickerplantrtdserver",,"FWRC1#USDJPY#Month Wise Rates#0#Close0")+RTD("tickerplantrtdserver",,"FWRC1#USDJPY#Month Wise Rates#0#Close8")/100</f>
        <v>136.0531</v>
      </c>
      <c r="E29" s="133">
        <f>RTD("tickerplantrtdserver",,"FWRC1#USDJPY#Month Wise Rates#0#Close0")+RTD("tickerplantrtdserver",,"FWRC1#USDJPY#Month Wise Rates#0#Close9")/100</f>
        <v>135.3657</v>
      </c>
      <c r="F29" s="133">
        <f>RTD("tickerplantrtdserver",,"FWRC1#USDJPY#Month Wise Rates#0#Close0")+RTD("tickerplantrtdserver",,"FWRC1#USDJPY#Month Wise Rates#0#Close10")/100</f>
        <v>134.77000000000001</v>
      </c>
      <c r="G29" s="133">
        <f>RTD("tickerplantrtdserver",,"FWRC1#USDJPY#Month Wise Rates#0#Close0")+RTD("tickerplantrtdserver",,"FWRC1#USDJPY#Month Wise Rates#0#Close11")/100</f>
        <v>134.14679999999998</v>
      </c>
      <c r="H29" s="133">
        <f>RTD("tickerplantrtdserver",,"FWRC1#USDJPY#Month Wise Rates#0#Close0")+RTD("tickerplantrtdserver",,"FWRC1#USDJPY#Month Wise Rates#0#Close12")/100</f>
        <v>133.5033</v>
      </c>
      <c r="I29" s="133">
        <f>RTD("tickerplantrtdserver",,"FWRC1#USDJPY#Month Wise Rates#0#Close0")+RTD("tickerplantrtdserver",,"FWRC1#USDJPY#Month Wise Rates#0#Close13")/100</f>
        <v>132.95499999999998</v>
      </c>
      <c r="J29" s="133">
        <f>RTD("tickerplantrtdserver",,"FWRC1#USDJPY#Month Wise Rates#0#Close0")+RTD("tickerplantrtdserver",,"FWRC1#USDJPY#Month Wise Rates#0#Close14")/100</f>
        <v>132.24019999999999</v>
      </c>
      <c r="K29" s="133">
        <f>RTD("tickerplantrtdserver",,"FWRC1#USDJPY#Month Wise Rates#0#Close0")+RTD("tickerplantrtdserver",,"FWRC1#USDJPY#Month Wise Rates#0#Close15")/100</f>
        <v>131.65199999999999</v>
      </c>
      <c r="L29" s="133">
        <f>RTD("tickerplantrtdserver",,"FWRC1#USDJPY#Month Wise Rates#0#Close0")+RTD("tickerplantrtdserver",,"FWRC1#USDJPY#Month Wise Rates#0#Close16")/100</f>
        <v>131.178</v>
      </c>
      <c r="M29" s="133">
        <f>RTD("tickerplantrtdserver",,"FWRC1#USDJPY#Month Wise Rates#0#Close0")+RTD("tickerplantrtdserver",,"FWRC1#USDJPY#Month Wise Rates#0#Close17")/100</f>
        <v>130.64500000000001</v>
      </c>
      <c r="N29" s="134">
        <f>RTD("tickerplantrtdserver",,"FWRC1#USDJPY#Month Wise Rates#0#Close0")+RTD("tickerplantrtdserver",,"FWRC1#USDJPY#Month Wise Rates#0#Close18")/100</f>
        <v>130.14599999999999</v>
      </c>
    </row>
    <row r="30" spans="1:16" ht="18" customHeight="1" x14ac:dyDescent="0.15">
      <c r="A30" s="116" t="str">
        <f>RTD("tickerplantrtdserver",,"12#2#1#6069#SUSDCHF#S#Descr.")</f>
        <v>USDCHF</v>
      </c>
      <c r="B30" s="131">
        <f>RTD("tickerplantrtdserver",,"FWRC1#USDCHF#Month Wise Rates#0#Close0")</f>
        <v>0.89973999999999998</v>
      </c>
      <c r="C30" s="131">
        <f>RTD("tickerplantrtdserver",,"FWRC1#USDCHF#Month Wise Rates#0#Close0")+RTD("tickerplantrtdserver",,"FWRC1#USDCHF#Month Wise Rates#0#Close7")/10000</f>
        <v>0.89661599999999997</v>
      </c>
      <c r="D30" s="131">
        <f>RTD("tickerplantrtdserver",,"FWRC1#USDCHF#Month Wise Rates#0#Close0")+RTD("tickerplantrtdserver",,"FWRC1#USDCHF#Month Wise Rates#0#Close8")/10000</f>
        <v>0.89336300000000002</v>
      </c>
      <c r="E30" s="131">
        <f>RTD("tickerplantrtdserver",,"FWRC1#USDCHF#Month Wise Rates#0#Close0")+RTD("tickerplantrtdserver",,"FWRC1#USDCHF#Month Wise Rates#0#Close9")/10000</f>
        <v>0.89059100000000002</v>
      </c>
      <c r="F30" s="131">
        <f>RTD("tickerplantrtdserver",,"FWRC1#USDCHF#Month Wise Rates#0#Close0")+RTD("tickerplantrtdserver",,"FWRC1#USDCHF#Month Wise Rates#0#Close10")/10000</f>
        <v>0.88764999999999994</v>
      </c>
      <c r="G30" s="131">
        <f>RTD("tickerplantrtdserver",,"FWRC1#USDCHF#Month Wise Rates#0#Close0")+RTD("tickerplantrtdserver",,"FWRC1#USDCHF#Month Wise Rates#0#Close11")/10000</f>
        <v>0.88478000000000001</v>
      </c>
      <c r="H30" s="131">
        <f>RTD("tickerplantrtdserver",,"FWRC1#USDCHF#Month Wise Rates#0#Close0")+RTD("tickerplantrtdserver",,"FWRC1#USDCHF#Month Wise Rates#0#Close12")/10000</f>
        <v>0.88241700000000001</v>
      </c>
      <c r="I30" s="131">
        <f>RTD("tickerplantrtdserver",,"FWRC1#USDCHF#Month Wise Rates#0#Close0")+RTD("tickerplantrtdserver",,"FWRC1#USDCHF#Month Wise Rates#0#Close13")/10000</f>
        <v>0.87985999999999998</v>
      </c>
      <c r="J30" s="131">
        <f>RTD("tickerplantrtdserver",,"FWRC1#USDCHF#Month Wise Rates#0#Close0")+RTD("tickerplantrtdserver",,"FWRC1#USDCHF#Month Wise Rates#0#Close14")/10000</f>
        <v>0.87656599999999996</v>
      </c>
      <c r="K30" s="131">
        <f>RTD("tickerplantrtdserver",,"FWRC1#USDCHF#Month Wise Rates#0#Close0")+RTD("tickerplantrtdserver",,"FWRC1#USDCHF#Month Wise Rates#0#Close15")/10000</f>
        <v>0.87424000000000002</v>
      </c>
      <c r="L30" s="131">
        <f>RTD("tickerplantrtdserver",,"FWRC1#USDCHF#Month Wise Rates#0#Close0")+RTD("tickerplantrtdserver",,"FWRC1#USDCHF#Month Wise Rates#0#Close16")/10000</f>
        <v>0.87236999999999998</v>
      </c>
      <c r="M30" s="131">
        <f>RTD("tickerplantrtdserver",,"FWRC1#USDCHF#Month Wise Rates#0#Close0")+RTD("tickerplantrtdserver",,"FWRC1#USDCHF#Month Wise Rates#0#Close17")/10000</f>
        <v>0.87026199999999998</v>
      </c>
      <c r="N30" s="132">
        <f>RTD("tickerplantrtdserver",,"FWRC1#USDCHF#Month Wise Rates#0#Close0")+RTD("tickerplantrtdserver",,"FWRC1#USDCHF#Month Wise Rates#0#Close18")/10000</f>
        <v>0.86835399999999996</v>
      </c>
    </row>
    <row r="31" spans="1:16" ht="18" customHeight="1" x14ac:dyDescent="0.15">
      <c r="A31" s="116" t="str">
        <f>RTD("tickerplantrtdserver",,"12#2#1#6069#SUSDCAD#S#Descr.")</f>
        <v>USDCAD</v>
      </c>
      <c r="B31" s="131">
        <f>RTD("tickerplantrtdserver",,"FWRC1#USDCAD#Month Wise Rates#0#Close0")</f>
        <v>1.3495900000000001</v>
      </c>
      <c r="C31" s="131">
        <f>RTD("tickerplantrtdserver",,"FWRC1#USDCAD#Month Wise Rates#0#Close0")+RTD("tickerplantrtdserver",,"FWRC1#USDCAD#Month Wise Rates#0#Close7")/10000</f>
        <v>1.3486710000000002</v>
      </c>
      <c r="D31" s="131">
        <f>RTD("tickerplantrtdserver",,"FWRC1#USDCAD#Month Wise Rates#0#Close0")+RTD("tickerplantrtdserver",,"FWRC1#USDCAD#Month Wise Rates#0#Close8")/10000</f>
        <v>1.3478110000000001</v>
      </c>
      <c r="E31" s="131">
        <f>RTD("tickerplantrtdserver",,"FWRC1#USDCAD#Month Wise Rates#0#Close0")+RTD("tickerplantrtdserver",,"FWRC1#USDCAD#Month Wise Rates#0#Close9")/10000</f>
        <v>1.3470500000000001</v>
      </c>
      <c r="F31" s="131">
        <f>RTD("tickerplantrtdserver",,"FWRC1#USDCAD#Month Wise Rates#0#Close0")+RTD("tickerplantrtdserver",,"FWRC1#USDCAD#Month Wise Rates#0#Close10")/10000</f>
        <v>1.3462370000000001</v>
      </c>
      <c r="G31" s="131">
        <f>RTD("tickerplantrtdserver",,"FWRC1#USDCAD#Month Wise Rates#0#Close0")+RTD("tickerplantrtdserver",,"FWRC1#USDCAD#Month Wise Rates#0#Close11")/10000</f>
        <v>1.345736</v>
      </c>
      <c r="H31" s="131">
        <f>RTD("tickerplantrtdserver",,"FWRC1#USDCAD#Month Wise Rates#0#Close0")+RTD("tickerplantrtdserver",,"FWRC1#USDCAD#Month Wise Rates#0#Close12")/10000</f>
        <v>1.3452550000000001</v>
      </c>
      <c r="I31" s="131">
        <f>RTD("tickerplantrtdserver",,"FWRC1#USDCAD#Month Wise Rates#0#Close0")+RTD("tickerplantrtdserver",,"FWRC1#USDCAD#Month Wise Rates#0#Close13")/10000</f>
        <v>1.3450870000000001</v>
      </c>
      <c r="J31" s="131">
        <f>RTD("tickerplantrtdserver",,"FWRC1#USDCAD#Month Wise Rates#0#Close0")+RTD("tickerplantrtdserver",,"FWRC1#USDCAD#Month Wise Rates#0#Close14")/10000</f>
        <v>1.3444230000000001</v>
      </c>
      <c r="K31" s="131">
        <f>RTD("tickerplantrtdserver",,"FWRC1#USDCAD#Month Wise Rates#0#Close0")+RTD("tickerplantrtdserver",,"FWRC1#USDCAD#Month Wise Rates#0#Close15")/10000</f>
        <v>1.3443040000000002</v>
      </c>
      <c r="L31" s="131">
        <f>RTD("tickerplantrtdserver",,"FWRC1#USDCAD#Month Wise Rates#0#Close0")+RTD("tickerplantrtdserver",,"FWRC1#USDCAD#Month Wise Rates#0#Close16")/10000</f>
        <v>1.344257</v>
      </c>
      <c r="M31" s="131">
        <f>RTD("tickerplantrtdserver",,"FWRC1#USDCAD#Month Wise Rates#0#Close0")+RTD("tickerplantrtdserver",,"FWRC1#USDCAD#Month Wise Rates#0#Close17")/10000</f>
        <v>1.3443510000000001</v>
      </c>
      <c r="N31" s="132">
        <f>RTD("tickerplantrtdserver",,"FWRC1#USDCAD#Month Wise Rates#0#Close0")+RTD("tickerplantrtdserver",,"FWRC1#USDCAD#Month Wise Rates#0#Close18")/10000</f>
        <v>1.3447</v>
      </c>
    </row>
    <row r="32" spans="1:16" ht="18" customHeight="1" x14ac:dyDescent="0.15">
      <c r="A32" s="116" t="str">
        <f>RTD("tickerplantrtdserver",,"12#2#1#5903#SAUDUSD#S#Descr.")</f>
        <v>AUDUSD</v>
      </c>
      <c r="B32" s="131">
        <f>RTD("tickerplantrtdserver",,"FWRC1#AUDUSD#Month Wise Rates#0#Close0")</f>
        <v>0.66490000000000005</v>
      </c>
      <c r="C32" s="131">
        <f>RTD("tickerplantrtdserver",,"FWRC1#AUDUSD#Month Wise Rates#0#Close0")+RTD("tickerplantrtdserver",,"FWRC1#AUDUSD#Month Wise Rates#0#Close7")/10000</f>
        <v>0.66568700000000003</v>
      </c>
      <c r="D32" s="131">
        <f>RTD("tickerplantrtdserver",,"FWRC1#AUDUSD#Month Wise Rates#0#Close0")+RTD("tickerplantrtdserver",,"FWRC1#AUDUSD#Month Wise Rates#0#Close8")/10000</f>
        <v>0.66640900000000003</v>
      </c>
      <c r="E32" s="131">
        <f>RTD("tickerplantrtdserver",,"FWRC1#AUDUSD#Month Wise Rates#0#Close0")+RTD("tickerplantrtdserver",,"FWRC1#AUDUSD#Month Wise Rates#0#Close9")/10000</f>
        <v>0.66714899999999999</v>
      </c>
      <c r="F32" s="131">
        <f>RTD("tickerplantrtdserver",,"FWRC1#AUDUSD#Month Wise Rates#0#Close0")+RTD("tickerplantrtdserver",,"FWRC1#AUDUSD#Month Wise Rates#0#Close10")/10000</f>
        <v>0.66777400000000009</v>
      </c>
      <c r="G32" s="131">
        <f>RTD("tickerplantrtdserver",,"FWRC1#AUDUSD#Month Wise Rates#0#Close0")+RTD("tickerplantrtdserver",,"FWRC1#AUDUSD#Month Wise Rates#0#Close11")/10000</f>
        <v>0.6683650000000001</v>
      </c>
      <c r="H32" s="131">
        <f>RTD("tickerplantrtdserver",,"FWRC1#AUDUSD#Month Wise Rates#0#Close0")+RTD("tickerplantrtdserver",,"FWRC1#AUDUSD#Month Wise Rates#0#Close12")/10000</f>
        <v>0.66892400000000007</v>
      </c>
      <c r="I32" s="131">
        <f>RTD("tickerplantrtdserver",,"FWRC1#AUDUSD#Month Wise Rates#0#Close0")+RTD("tickerplantrtdserver",,"FWRC1#AUDUSD#Month Wise Rates#0#Close13")/10000</f>
        <v>0.66937100000000005</v>
      </c>
      <c r="J32" s="131">
        <f>RTD("tickerplantrtdserver",,"FWRC1#AUDUSD#Month Wise Rates#0#Close0")+RTD("tickerplantrtdserver",,"FWRC1#AUDUSD#Month Wise Rates#0#Close14")/10000</f>
        <v>0.66992200000000002</v>
      </c>
      <c r="K32" s="131">
        <f>RTD("tickerplantrtdserver",,"FWRC1#AUDUSD#Month Wise Rates#0#Close0")+RTD("tickerplantrtdserver",,"FWRC1#AUDUSD#Month Wise Rates#0#Close15")/10000</f>
        <v>0.67020500000000005</v>
      </c>
      <c r="L32" s="131">
        <f>RTD("tickerplantrtdserver",,"FWRC1#AUDUSD#Month Wise Rates#0#Close0")+RTD("tickerplantrtdserver",,"FWRC1#AUDUSD#Month Wise Rates#0#Close16")/10000</f>
        <v>0.67037200000000008</v>
      </c>
      <c r="M32" s="131">
        <f>RTD("tickerplantrtdserver",,"FWRC1#AUDUSD#Month Wise Rates#0#Close0")+RTD("tickerplantrtdserver",,"FWRC1#AUDUSD#Month Wise Rates#0#Close17")/10000</f>
        <v>0.67055100000000001</v>
      </c>
      <c r="N32" s="132">
        <f>RTD("tickerplantrtdserver",,"FWRC1#AUDUSD#Month Wise Rates#0#Close0")+RTD("tickerplantrtdserver",,"FWRC1#AUDUSD#Month Wise Rates#0#Close18")/10000</f>
        <v>0.67064000000000001</v>
      </c>
    </row>
    <row r="33" spans="1:18" ht="18" customHeight="1" thickBot="1" x14ac:dyDescent="0.2">
      <c r="A33" s="121" t="str">
        <f>RTD("tickerplantrtdserver",,"12#2#1#6069#SUSDSGD#S#Descr.")</f>
        <v>USDSGD</v>
      </c>
      <c r="B33" s="122">
        <f>RTD("tickerplantrtdserver",,"12#2#1#6069#SUSDSGD#LTP")</f>
        <v>1.3428</v>
      </c>
      <c r="C33" s="122">
        <f>RTD("tickerplantrtdserver",,"12#2#1#6069#SUSDSGD#LTP")+RTD("tickerplantrtdserver",,"12#1#1#6069#FUSDSGD\01M#LTP")/10000</f>
        <v>1.341262</v>
      </c>
      <c r="D33" s="122">
        <f>RTD("tickerplantrtdserver",,"12#2#1#6069#SUSDSGD#LTP")+RTD("tickerplantrtdserver",,"12#1#1#6069#FUSDSGD\02M#LTP")/10000</f>
        <v>1.3397479999999999</v>
      </c>
      <c r="E33" s="122">
        <f>RTD("tickerplantrtdserver",,"12#2#1#6069#SUSDSGD#LTP")+RTD("tickerplantrtdserver",,"12#1#1#6069#FUSDSGD\03M#LTP")/10000</f>
        <v>1.337893</v>
      </c>
      <c r="F33" s="122">
        <f>RTD("tickerplantrtdserver",,"12#2#1#6069#SUSDSGD#LTP")+RTD("tickerplantrtdserver",,"12#1#1#6069#FUSDSGD\04M#LTP")/10000</f>
        <v>1.336328</v>
      </c>
      <c r="G33" s="122">
        <f>RTD("tickerplantrtdserver",,"12#2#1#6069#SUSDSGD#LTP")+RTD("tickerplantrtdserver",,"12#1#1#6069#FUSDSGD\05M#LTP")/10000</f>
        <v>1.3346819999999999</v>
      </c>
      <c r="H33" s="122">
        <f>RTD("tickerplantrtdserver",,"12#2#1#6069#SUSDSGD#LTP")+RTD("tickerplantrtdserver",,"12#1#1#6069#FUSDSGD\06M#LTP")/10000</f>
        <v>1.332816</v>
      </c>
      <c r="I33" s="122">
        <f>RTD("tickerplantrtdserver",,"12#2#1#6069#SUSDSGD#LTP")+RTD("tickerplantrtdserver",,"12#1#1#6069#FUSDSGD\07M#LTP")/10000</f>
        <v>1.3307180000000001</v>
      </c>
      <c r="J33" s="122">
        <f>RTD("tickerplantrtdserver",,"12#2#1#6069#SUSDSGD#LTP")+RTD("tickerplantrtdserver",,"12#1#1#6069#FUSDSGD\08M#LTP")/10000</f>
        <v>1.329221</v>
      </c>
      <c r="K33" s="122">
        <f>RTD("tickerplantrtdserver",,"12#2#1#6069#SUSDSGD#LTP")+RTD("tickerplantrtdserver",,"12#1#1#6069#FUSDSGD\09M#LTP")/10000</f>
        <v>1.328454</v>
      </c>
      <c r="L33" s="122">
        <f>RTD("tickerplantrtdserver",,"12#2#1#6069#SUSDSGD#LTP")+RTD("tickerplantrtdserver",,"12#1#1#6069#FUSDSGD\10M#LTP")/10000</f>
        <v>1.327178</v>
      </c>
      <c r="M33" s="122">
        <f>RTD("tickerplantrtdserver",,"12#2#1#6069#SUSDSGD#LTP")+RTD("tickerplantrtdserver",,"12#1#1#6069#FUSDSGD\11M#LTP")/10000</f>
        <v>1.3254269999999999</v>
      </c>
      <c r="N33" s="123">
        <f>RTD("tickerplantrtdserver",,"12#2#1#6069#SUSDSGD#LTP")+RTD("tickerplantrtdserver",,"12#1#1#6069#FUSDSGD\12M#LTP")/10000</f>
        <v>1.3246119999999999</v>
      </c>
    </row>
    <row r="34" spans="1:18" ht="18" customHeight="1" thickBot="1" x14ac:dyDescent="0.2"/>
    <row r="35" spans="1:18" ht="18" customHeight="1" thickBot="1" x14ac:dyDescent="0.2">
      <c r="A35" s="109" t="s">
        <v>14</v>
      </c>
      <c r="B35" s="135" t="s">
        <v>56</v>
      </c>
      <c r="C35" s="135" t="s">
        <v>57</v>
      </c>
      <c r="D35" s="135" t="s">
        <v>58</v>
      </c>
      <c r="E35" s="135" t="s">
        <v>36</v>
      </c>
      <c r="F35" s="135" t="s">
        <v>37</v>
      </c>
      <c r="G35" s="135" t="s">
        <v>35</v>
      </c>
      <c r="H35" s="135" t="s">
        <v>38</v>
      </c>
      <c r="I35" s="135" t="s">
        <v>39</v>
      </c>
      <c r="J35" s="135" t="s">
        <v>34</v>
      </c>
      <c r="K35" s="136" t="s">
        <v>43</v>
      </c>
      <c r="L35" s="136" t="s">
        <v>44</v>
      </c>
      <c r="M35" s="136" t="s">
        <v>40</v>
      </c>
      <c r="N35" s="136" t="s">
        <v>45</v>
      </c>
      <c r="O35" s="136" t="s">
        <v>46</v>
      </c>
      <c r="P35" s="137" t="s">
        <v>33</v>
      </c>
      <c r="R35" s="175" t="s">
        <v>61</v>
      </c>
    </row>
    <row r="36" spans="1:18" ht="18" customHeight="1" x14ac:dyDescent="0.15">
      <c r="A36" s="113" t="s">
        <v>27</v>
      </c>
      <c r="B36" s="138" t="str">
        <f>RTD("tickerplantrtdserver",,"47#5#1#5629#USDON.LIBOR#LTP")</f>
        <v/>
      </c>
      <c r="C36" s="138" t="str">
        <f>RTD("tickerplantrtdserver",,"47#5#1#5629#USD1W.LIBOR#LTP")</f>
        <v/>
      </c>
      <c r="D36" s="138" t="str">
        <f>RTD("tickerplantrtdserver",,"47#5#1#5629#USD2W.LIBOR#LTP")</f>
        <v/>
      </c>
      <c r="E36" s="139" t="str">
        <f>RTD("tickerplantrtdserver",,"47#5#1#5629#USD1M.LIBOR#LTP")</f>
        <v/>
      </c>
      <c r="F36" s="139" t="str">
        <f>RTD("tickerplantrtdserver",,"47#5#1#5629#USD2M.LIBOR#LTP")</f>
        <v/>
      </c>
      <c r="G36" s="139" t="str">
        <f>RTD("tickerplantrtdserver",,"47#5#1#5629#USD3M.LIBOR#LTP")</f>
        <v/>
      </c>
      <c r="H36" s="139" t="str">
        <f>RTD("tickerplantrtdserver",,"47#5#1#5629#USD4M.LIBOR#LTP")</f>
        <v/>
      </c>
      <c r="I36" s="139" t="str">
        <f>RTD("tickerplantrtdserver",,"47#5#1#5629#USD5M.LIBOR#LTP")</f>
        <v/>
      </c>
      <c r="J36" s="139" t="str">
        <f>RTD("tickerplantrtdserver",,"47#5#1#5629#USD6M.LIBOR#LTP")</f>
        <v/>
      </c>
      <c r="K36" s="140" t="str">
        <f>RTD("tickerplantrtdserver",,"47#5#1#5629#USD7M.LIBOR#LTP")</f>
        <v/>
      </c>
      <c r="L36" s="140" t="str">
        <f>RTD("tickerplantrtdserver",,"47#5#1#5629#USD8M.LIBOR#LTP")</f>
        <v/>
      </c>
      <c r="M36" s="140" t="str">
        <f>RTD("tickerplantrtdserver",,"47#5#1#5629#USD9M.LIBOR#LTP")</f>
        <v/>
      </c>
      <c r="N36" s="140" t="str">
        <f>RTD("tickerplantrtdserver",,"47#5#1#5629#USD10M.LIBOR#LTP")</f>
        <v/>
      </c>
      <c r="O36" s="140" t="str">
        <f>RTD("tickerplantrtdserver",,"47#5#1#5629#USD11M.LIBOR#LTP")</f>
        <v/>
      </c>
      <c r="P36" s="141" t="str">
        <f>RTD("tickerplantrtdserver",,"47#5#1#5629#USD1Y.LIBOR#LTP")</f>
        <v/>
      </c>
      <c r="R36" s="175"/>
    </row>
    <row r="37" spans="1:18" ht="18" customHeight="1" x14ac:dyDescent="0.15">
      <c r="A37" s="116" t="s">
        <v>25</v>
      </c>
      <c r="B37" s="142" t="str">
        <f>RTD("tickerplantrtdserver",,"47#5#1#5629#EURON.LIBOR#LTP")</f>
        <v/>
      </c>
      <c r="C37" s="142" t="str">
        <f>RTD("tickerplantrtdserver",,"47#5#1#5629#EUR1W.LIBOR#LTP")</f>
        <v/>
      </c>
      <c r="D37" s="142" t="str">
        <f>RTD("tickerplantrtdserver",,"47#5#1#5629#EUR2W.LIBOR#LTP")</f>
        <v/>
      </c>
      <c r="E37" s="143" t="str">
        <f>RTD("tickerplantrtdserver",,"47#5#1#5629#EUR1M.LIBOR#LTP")</f>
        <v/>
      </c>
      <c r="F37" s="143" t="str">
        <f>RTD("tickerplantrtdserver",,"47#5#1#5629#EUR2M.LIBOR#LTP")</f>
        <v/>
      </c>
      <c r="G37" s="143" t="str">
        <f>RTD("tickerplantrtdserver",,"47#5#1#5629#EUR3M.LIBOR#LTP")</f>
        <v/>
      </c>
      <c r="H37" s="143" t="str">
        <f>RTD("tickerplantrtdserver",,"47#5#1#5629#EUR4M.LIBOR#LTP")</f>
        <v/>
      </c>
      <c r="I37" s="143" t="str">
        <f>RTD("tickerplantrtdserver",,"47#5#1#5629#EUR5M.LIBOR#LTP")</f>
        <v/>
      </c>
      <c r="J37" s="143" t="str">
        <f>RTD("tickerplantrtdserver",,"47#5#1#5629#EUR6M.LIBOR#LTP")</f>
        <v/>
      </c>
      <c r="K37" s="144" t="str">
        <f>RTD("tickerplantrtdserver",,"47#5#1#5629#EUR7M.LIBOR#LTP")</f>
        <v/>
      </c>
      <c r="L37" s="144" t="str">
        <f>RTD("tickerplantrtdserver",,"47#5#1#5629#EUR8M.LIBOR#LTP")</f>
        <v/>
      </c>
      <c r="M37" s="144" t="str">
        <f>RTD("tickerplantrtdserver",,"47#5#1#5629#EUR9M.LIBOR#LTP")</f>
        <v/>
      </c>
      <c r="N37" s="144" t="str">
        <f>RTD("tickerplantrtdserver",,"47#5#1#5629#EUR10M.LIBOR#LTP")</f>
        <v/>
      </c>
      <c r="O37" s="144" t="str">
        <f>RTD("tickerplantrtdserver",,"47#5#1#5629#EUR11M.LIBOR#LTP")</f>
        <v/>
      </c>
      <c r="P37" s="145" t="str">
        <f>RTD("tickerplantrtdserver",,"47#5#1#5629#EUR1Y.LIBOR#LTP")</f>
        <v/>
      </c>
      <c r="R37" s="175"/>
    </row>
    <row r="38" spans="1:18" ht="18" customHeight="1" x14ac:dyDescent="0.15">
      <c r="A38" s="116" t="s">
        <v>23</v>
      </c>
      <c r="B38" s="142" t="str">
        <f>RTD("tickerplantrtdserver",,"47#5#1#5629#GBPON.LIBOR#LTP")</f>
        <v/>
      </c>
      <c r="C38" s="142" t="str">
        <f>RTD("tickerplantrtdserver",,"47#5#1#5629#GBP1W.LIBOR#LTP")</f>
        <v/>
      </c>
      <c r="D38" s="142" t="str">
        <f>RTD("tickerplantrtdserver",,"47#5#1#5629#GBP1W.LIBOR#LTP")</f>
        <v/>
      </c>
      <c r="E38" s="143" t="str">
        <f>RTD("tickerplantrtdserver",,"47#5#1#5629#GBP1M.LIBOR#LTP")</f>
        <v/>
      </c>
      <c r="F38" s="143" t="str">
        <f>RTD("tickerplantrtdserver",,"47#5#1#5629#GBP2M.LIBOR#LTP")</f>
        <v/>
      </c>
      <c r="G38" s="143" t="str">
        <f>RTD("tickerplantrtdserver",,"47#5#1#5629#GBP3M.LIBOR#LTP")</f>
        <v/>
      </c>
      <c r="H38" s="143" t="str">
        <f>RTD("tickerplantrtdserver",,"47#5#1#5629#GBP4M.LIBOR#LTP")</f>
        <v/>
      </c>
      <c r="I38" s="143" t="str">
        <f>RTD("tickerplantrtdserver",,"47#5#1#5629#GBP5M.LIBOR#LTP")</f>
        <v/>
      </c>
      <c r="J38" s="143" t="str">
        <f>RTD("tickerplantrtdserver",,"47#5#1#5629#GBP6M.LIBOR#LTP")</f>
        <v/>
      </c>
      <c r="K38" s="144" t="str">
        <f>RTD("tickerplantrtdserver",,"47#5#1#5629#GBP7M.LIBOR#LTP")</f>
        <v/>
      </c>
      <c r="L38" s="144" t="str">
        <f>RTD("tickerplantrtdserver",,"47#5#1#5629#GBP8M.LIBOR#LTP")</f>
        <v/>
      </c>
      <c r="M38" s="144" t="str">
        <f>RTD("tickerplantrtdserver",,"47#5#1#5629#GBP9M.LIBOR#LTP")</f>
        <v/>
      </c>
      <c r="N38" s="144" t="str">
        <f>RTD("tickerplantrtdserver",,"47#5#1#5629#GBP10M.LIBOR#LTP")</f>
        <v/>
      </c>
      <c r="O38" s="144" t="str">
        <f>RTD("tickerplantrtdserver",,"47#5#1#5629#GBP11M.LIBOR#LTP")</f>
        <v/>
      </c>
      <c r="P38" s="145" t="str">
        <f>RTD("tickerplantrtdserver",,"47#5#1#5629#GBP1Y.LIBOR#LTP")</f>
        <v/>
      </c>
      <c r="R38" s="175"/>
    </row>
    <row r="39" spans="1:18" ht="18" customHeight="1" thickBot="1" x14ac:dyDescent="0.2">
      <c r="A39" s="121" t="s">
        <v>22</v>
      </c>
      <c r="B39" s="146" t="str">
        <f>RTD("tickerplantrtdserver",,"47#5#1#5629#JPYSN.LIBOR#LTP")</f>
        <v/>
      </c>
      <c r="C39" s="146" t="str">
        <f>RTD("tickerplantrtdserver",,"47#5#1#5629#JPY1W.LIBOR#LTP")</f>
        <v/>
      </c>
      <c r="D39" s="146" t="str">
        <f>RTD("tickerplantrtdserver",,"47#5#1#5629#JPY2W.LIBOR#LTP")</f>
        <v/>
      </c>
      <c r="E39" s="147" t="str">
        <f>RTD("tickerplantrtdserver",,"47#5#1#5629#JPY1M.LIBOR#LTP")</f>
        <v/>
      </c>
      <c r="F39" s="147" t="str">
        <f>RTD("tickerplantrtdserver",,"47#5#1#5629#JPY2M.LIBOR#LTP")</f>
        <v/>
      </c>
      <c r="G39" s="147" t="str">
        <f>RTD("tickerplantrtdserver",,"47#5#1#5629#JPY3M.LIBOR#LTP")</f>
        <v/>
      </c>
      <c r="H39" s="147" t="str">
        <f>RTD("tickerplantrtdserver",,"47#5#1#5629#JPY2M.LIBOR#LTP")</f>
        <v/>
      </c>
      <c r="I39" s="147" t="str">
        <f>RTD("tickerplantrtdserver",,"47#5#1#5629#JPY5M.LIBOR#LTP")</f>
        <v/>
      </c>
      <c r="J39" s="147" t="str">
        <f>RTD("tickerplantrtdserver",,"47#5#1#5629#JPY6M.LIBOR#LTP")</f>
        <v/>
      </c>
      <c r="K39" s="148" t="str">
        <f>RTD("tickerplantrtdserver",,"47#5#1#5629#JPY7M.LIBOR#LTP")</f>
        <v/>
      </c>
      <c r="L39" s="148" t="str">
        <f>RTD("tickerplantrtdserver",,"47#5#1#5629#JPY8M.LIBOR#LTP")</f>
        <v/>
      </c>
      <c r="M39" s="148" t="str">
        <f>RTD("tickerplantrtdserver",,"47#5#1#5629#JPY9M.LIBOR#LTP")</f>
        <v/>
      </c>
      <c r="N39" s="148" t="str">
        <f>RTD("tickerplantrtdserver",,"47#5#1#5629#JPY10M.LIBOR#LTP")</f>
        <v/>
      </c>
      <c r="O39" s="148" t="str">
        <f>RTD("tickerplantrtdserver",,"47#5#1#5629#JPY11M.LIBOR#LTP")</f>
        <v/>
      </c>
      <c r="P39" s="149" t="str">
        <f>RTD("tickerplantrtdserver",,"47#5#1#5629#JPY1Y.LIBOR#LTP")</f>
        <v/>
      </c>
      <c r="R39" s="175"/>
    </row>
  </sheetData>
  <mergeCells count="3">
    <mergeCell ref="G5:G9"/>
    <mergeCell ref="P23:P27"/>
    <mergeCell ref="R35:R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USDINR</vt:lpstr>
      <vt:lpstr>EURINR</vt:lpstr>
      <vt:lpstr>GBPINR</vt:lpstr>
      <vt:lpstr>JPYINR</vt:lpstr>
      <vt:lpstr>LIBOR</vt:lpstr>
      <vt:lpstr>OHLC</vt:lpstr>
      <vt:lpstr>Currency futures 1 Month</vt:lpstr>
      <vt:lpstr>Currency Futures 2 Month</vt:lpstr>
      <vt:lpstr>Currency Futures 3 Month</vt:lpstr>
      <vt:lpstr>Forward Rates Tab 1USDINR ME</vt:lpstr>
      <vt:lpstr>Forward Rates Tab 2USDINR MW</vt:lpstr>
      <vt:lpstr>Forward Rates Tab 3EURINR ME</vt:lpstr>
      <vt:lpstr>Forward Rates Tab 4GBPINR ME</vt:lpstr>
      <vt:lpstr>Forward Rates Tab 5JPYINR ME</vt:lpstr>
      <vt:lpstr>Forward Rates Tab 6EURUSD MW</vt:lpstr>
      <vt:lpstr>Forward Rates Tab 7GBPUSD MW</vt:lpstr>
      <vt:lpstr>Forward Rates Tab 8USDJPY MW</vt:lpstr>
      <vt:lpstr>Forward Rate Calculator</vt:lpstr>
      <vt:lpstr>Historical Rates</vt:lpstr>
      <vt:lpstr>LIBOR!Print_Area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siddhesh.ghare</dc:creator>
  <cp:lastModifiedBy>Windows User</cp:lastModifiedBy>
  <dcterms:created xsi:type="dcterms:W3CDTF">2020-04-23T19:35:55Z</dcterms:created>
  <dcterms:modified xsi:type="dcterms:W3CDTF">2023-05-17T14:48:32Z</dcterms:modified>
</cp:coreProperties>
</file>