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165" yWindow="-135" windowWidth="3645" windowHeight="2610" firstSheet="2" activeTab="5"/>
  </bookViews>
  <sheets>
    <sheet name="USDINR" sheetId="4" r:id="rId1"/>
    <sheet name="EURINR" sheetId="5" r:id="rId2"/>
    <sheet name="GBPINR" sheetId="6" r:id="rId3"/>
    <sheet name="JPYINR" sheetId="7" r:id="rId4"/>
    <sheet name="LIBOR" sheetId="8" r:id="rId5"/>
    <sheet name="OHLC" sheetId="10" r:id="rId6"/>
    <sheet name="Currency futures 1 Month" sheetId="11" r:id="rId7"/>
    <sheet name="Currency Futures 2 Month" sheetId="12" r:id="rId8"/>
    <sheet name="Currency Futures 3 Month" sheetId="13" r:id="rId9"/>
    <sheet name="Forward Rates Tab 1USDINR ME" sheetId="14" r:id="rId10"/>
    <sheet name="Forward Rates Tab 2USDINR MW" sheetId="15" r:id="rId11"/>
    <sheet name="Forward Rates Tab 3EURINR ME" sheetId="16" r:id="rId12"/>
    <sheet name="Forward Rates Tab 4GBPINR ME" sheetId="17" r:id="rId13"/>
    <sheet name="Forward Rates Tab 5JPYINR ME" sheetId="18" r:id="rId14"/>
    <sheet name="Forward Rates Tab 6EURUSD MW" sheetId="19" r:id="rId15"/>
    <sheet name="Forward Rates Tab 7GBPUSD MW" sheetId="20" r:id="rId16"/>
    <sheet name="Forward Rates Tab 8USDJPY MW" sheetId="21" r:id="rId17"/>
    <sheet name="Forward Rate Calculator" sheetId="22" r:id="rId18"/>
    <sheet name="Historical Rates" sheetId="23" r:id="rId19"/>
  </sheets>
  <definedNames>
    <definedName name="_xlnm.Print_Area" localSheetId="4">LIBOR!$A$1:$M$16</definedName>
  </definedNames>
  <calcPr calcId="145621"/>
</workbook>
</file>

<file path=xl/calcChain.xml><?xml version="1.0" encoding="utf-8"?>
<calcChain xmlns="http://schemas.openxmlformats.org/spreadsheetml/2006/main">
  <c r="J2" i="21" l="1" a="1"/>
  <c r="K1" i="19" a="1"/>
  <c r="C2" i="19" a="1"/>
  <c r="G1" i="16" a="1"/>
  <c r="K1" i="17" a="1"/>
  <c r="C2" i="20" a="1"/>
  <c r="I2" i="19" a="1"/>
  <c r="L2" i="20" a="1"/>
  <c r="F2" i="20" a="1"/>
  <c r="C1" i="18" a="1"/>
  <c r="I2" i="21" a="1"/>
  <c r="J2" i="16" a="1"/>
  <c r="O1" i="18" a="1"/>
  <c r="M2" i="14" a="1"/>
  <c r="M1" i="20" a="1"/>
  <c r="M2" i="21" a="1"/>
  <c r="N2" i="17" a="1"/>
  <c r="L2" i="19" a="1"/>
  <c r="G1" i="20" a="1"/>
  <c r="K2" i="18" a="1"/>
  <c r="H1" i="17" a="1"/>
  <c r="B20" i="23" a="1"/>
  <c r="D2" i="20" a="1"/>
  <c r="M2" i="16" a="1"/>
  <c r="K1" i="21" a="1"/>
  <c r="O1" i="17" a="1"/>
  <c r="K2" i="16" a="1"/>
  <c r="L2" i="18" a="1"/>
  <c r="M2" i="19" a="1"/>
  <c r="N2" i="18" a="1"/>
  <c r="C1" i="21" a="1"/>
  <c r="E1" i="18" a="1"/>
  <c r="I1" i="21" a="1"/>
  <c r="E2" i="19" a="1"/>
  <c r="I1" i="19" a="1"/>
  <c r="N2" i="21" a="1"/>
  <c r="L1" i="20" a="1"/>
  <c r="H2" i="21" a="1"/>
  <c r="L2" i="21" a="1"/>
  <c r="G2" i="20" a="1"/>
  <c r="K2" i="14" a="1"/>
  <c r="K1" i="20" a="1"/>
  <c r="H1" i="19" a="1"/>
  <c r="D1" i="17" a="1"/>
  <c r="H2" i="19" a="1"/>
  <c r="O2" i="20" a="1"/>
  <c r="N2" i="20" a="1"/>
  <c r="G1" i="17" a="1"/>
  <c r="K2" i="19" a="1"/>
  <c r="J2" i="14" a="1"/>
  <c r="J1" i="17" a="1"/>
  <c r="N1" i="20" a="1"/>
  <c r="M2" i="18" a="1"/>
  <c r="G2" i="19" a="1"/>
  <c r="J2" i="19" a="1"/>
  <c r="E1" i="21" a="1"/>
  <c r="I1" i="20" a="1"/>
  <c r="F1" i="17" a="1"/>
  <c r="O2" i="19" a="1"/>
  <c r="J2" i="20" a="1"/>
  <c r="L2" i="16" a="1"/>
  <c r="N1" i="21" a="1"/>
  <c r="B21" i="23" a="1"/>
  <c r="J1" i="20" a="1"/>
  <c r="I1" i="18" a="1"/>
  <c r="N2" i="19" a="1"/>
  <c r="K1" i="18" a="1"/>
  <c r="C1" i="17" a="1"/>
  <c r="N2" i="16" a="1"/>
  <c r="H1" i="21" a="1"/>
  <c r="I2" i="20" a="1"/>
  <c r="M2" i="20" a="1"/>
  <c r="J2" i="18" a="1"/>
  <c r="L2" i="17" a="1"/>
  <c r="O2" i="16" a="1"/>
  <c r="N1" i="19" a="1"/>
  <c r="K2" i="17" a="1"/>
  <c r="J2" i="17" a="1"/>
  <c r="H1" i="20" a="1"/>
  <c r="G1" i="18" a="1"/>
  <c r="E2" i="20" a="1"/>
  <c r="E1" i="17" a="1"/>
  <c r="O1" i="19" a="1"/>
  <c r="M1" i="18" a="1"/>
  <c r="D1" i="18" a="1"/>
  <c r="M1" i="19" a="1"/>
  <c r="F1" i="21" a="1"/>
  <c r="K2" i="21" a="1"/>
  <c r="L1" i="18" a="1"/>
  <c r="N1" i="17" a="1"/>
  <c r="H1" i="16" a="1"/>
  <c r="F1" i="18" a="1"/>
  <c r="F1" i="16" a="1"/>
  <c r="O1" i="20" a="1"/>
  <c r="E1" i="16" a="1"/>
  <c r="J1" i="19" a="1"/>
  <c r="L2" i="14" a="1"/>
  <c r="O2" i="18" a="1"/>
  <c r="J1" i="18" a="1"/>
  <c r="K2" i="20" a="1"/>
  <c r="D1" i="16" a="1"/>
  <c r="M1" i="21" a="1"/>
  <c r="G1" i="19" a="1"/>
  <c r="O2" i="21" a="1"/>
  <c r="J1" i="21" a="1"/>
  <c r="N1" i="18" a="1"/>
  <c r="H1" i="18" a="1"/>
  <c r="H2" i="20" a="1"/>
  <c r="G2" i="21" a="1"/>
  <c r="C1" i="16" a="1"/>
  <c r="M1" i="17" a="1"/>
  <c r="L1" i="17" a="1"/>
  <c r="L1" i="19" a="1"/>
  <c r="O1" i="21" a="1"/>
  <c r="O2" i="17" a="1"/>
  <c r="D2" i="19" a="1"/>
  <c r="F2" i="19" a="1"/>
  <c r="L1" i="21" a="1"/>
  <c r="G1" i="21" a="1"/>
  <c r="M2" i="17" a="1"/>
  <c r="I1" i="17" a="1"/>
  <c r="N2" i="14" a="1"/>
  <c r="I1" i="16" a="1"/>
  <c r="D1" i="21" a="1"/>
  <c r="G2" i="15" a="1"/>
  <c r="K1" i="15" a="1"/>
  <c r="J2" i="15" a="1"/>
  <c r="L1" i="15" a="1"/>
  <c r="L2" i="15" a="1"/>
  <c r="O2" i="15" a="1"/>
  <c r="K2" i="15" a="1"/>
  <c r="H2" i="15" a="1"/>
  <c r="M2" i="15" a="1"/>
  <c r="N1" i="15" a="1"/>
  <c r="N2" i="15" a="1"/>
  <c r="I1" i="15" a="1"/>
  <c r="G1" i="15" a="1"/>
  <c r="H1" i="15" a="1"/>
  <c r="I2" i="15" a="1"/>
  <c r="J1" i="15" a="1"/>
  <c r="M1" i="15" a="1"/>
  <c r="O1" i="15" a="1"/>
  <c r="M1" i="16" a="1"/>
  <c r="K1" i="16" a="1"/>
  <c r="L1" i="16" a="1"/>
  <c r="J1" i="16" a="1"/>
  <c r="N1" i="16" a="1"/>
  <c r="O1" i="16" a="1"/>
  <c r="D2" i="16" a="1"/>
  <c r="F2" i="15" a="1"/>
  <c r="E2" i="16" a="1"/>
  <c r="I2" i="16" a="1"/>
  <c r="E1" i="15" a="1"/>
  <c r="H2" i="16" a="1"/>
  <c r="D1" i="15" a="1"/>
  <c r="F2" i="16" a="1"/>
  <c r="G2" i="16" a="1"/>
  <c r="F1" i="15" a="1"/>
  <c r="C2" i="16" a="1"/>
  <c r="C1" i="15" a="1"/>
  <c r="F1" i="20" a="1"/>
  <c r="I2" i="14" a="1"/>
  <c r="G2" i="14" a="1"/>
  <c r="C2" i="17" a="1"/>
  <c r="E2" i="17" a="1"/>
  <c r="D2" i="17" a="1"/>
  <c r="E2" i="14" a="1"/>
  <c r="C2" i="15" a="1"/>
  <c r="H2" i="17" a="1"/>
  <c r="G2" i="17" a="1"/>
  <c r="H2" i="14" a="1"/>
  <c r="F2" i="14" a="1"/>
  <c r="F2" i="17" a="1"/>
  <c r="E2" i="15" a="1"/>
  <c r="A23" i="23"/>
  <c r="A4" i="23"/>
  <c r="A32" i="23"/>
  <c r="E2" i="15"/>
  <c r="H2" i="17"/>
  <c r="A29" i="23"/>
  <c r="A10" i="23"/>
  <c r="A2" i="23"/>
  <c r="A27" i="23"/>
  <c r="A20" i="23"/>
  <c r="E2" i="17"/>
  <c r="A7" i="23"/>
  <c r="A28" i="23"/>
  <c r="D2" i="17"/>
  <c r="O2" i="14"/>
  <c r="O1" i="14"/>
  <c r="D1" i="14"/>
  <c r="E1" i="14"/>
  <c r="A31" i="23"/>
  <c r="D2" i="14"/>
  <c r="I6" i="10"/>
  <c r="I1" i="14"/>
  <c r="A25" i="23"/>
  <c r="A24" i="23"/>
  <c r="J8" i="10"/>
  <c r="F2" i="17"/>
  <c r="F1" i="14"/>
  <c r="N1" i="14"/>
  <c r="A19" i="23"/>
  <c r="J5" i="10"/>
  <c r="I4" i="10"/>
  <c r="A15" i="23"/>
  <c r="A21" i="23"/>
  <c r="A14" i="23"/>
  <c r="H1" i="14"/>
  <c r="G2" i="17"/>
  <c r="L1" i="14"/>
  <c r="A6" i="23"/>
  <c r="A22" i="23"/>
  <c r="A5" i="23"/>
  <c r="I5" i="10"/>
  <c r="J6" i="10"/>
  <c r="J7" i="10"/>
  <c r="A26" i="23"/>
  <c r="M1" i="14"/>
  <c r="A11" i="23"/>
  <c r="J4" i="10"/>
  <c r="A30" i="23"/>
  <c r="G1" i="14"/>
  <c r="K1" i="14"/>
  <c r="A9" i="23"/>
  <c r="A13" i="23"/>
  <c r="C1" i="14"/>
  <c r="A8" i="23"/>
  <c r="A3" i="23"/>
  <c r="J1" i="14"/>
  <c r="A12" i="23"/>
  <c r="I3" i="10"/>
  <c r="J3" i="10"/>
  <c r="J9" i="10"/>
  <c r="E2" i="18" a="1"/>
  <c r="C2" i="18" a="1"/>
  <c r="H2" i="18" a="1"/>
  <c r="F2" i="18" a="1"/>
  <c r="G2" i="18" a="1"/>
  <c r="D2" i="18" a="1"/>
  <c r="C1" i="19" a="1"/>
  <c r="F1" i="19" a="1"/>
  <c r="E1" i="19" a="1"/>
  <c r="E1" i="19"/>
  <c r="F1" i="19"/>
  <c r="C1" i="19"/>
  <c r="F2" i="21" a="1"/>
  <c r="C2" i="21" a="1"/>
  <c r="E2" i="21" a="1"/>
  <c r="E2" i="21"/>
  <c r="D11" i="17" a="1"/>
  <c r="D7" i="17" a="1"/>
  <c r="D10" i="17" a="1"/>
  <c r="M11" i="17" a="1"/>
  <c r="M10" i="17" a="1"/>
  <c r="M7" i="17" a="1"/>
  <c r="D8" i="17" a="1"/>
  <c r="M8" i="17" a="1"/>
  <c r="E3" i="5" a="1"/>
  <c r="E2" i="5" a="1"/>
  <c r="E11" i="17" a="1"/>
  <c r="E8" i="17" a="1"/>
  <c r="E10" i="17" a="1"/>
  <c r="E7" i="17" a="1"/>
  <c r="N7" i="17" a="1"/>
  <c r="K8" i="17" a="1"/>
  <c r="K7" i="17" a="1"/>
  <c r="N10" i="17" a="1"/>
  <c r="N11" i="17" a="1"/>
  <c r="K10" i="17" a="1"/>
  <c r="K11" i="17" a="1"/>
  <c r="N8" i="17" a="1"/>
  <c r="M10" i="18" a="1"/>
  <c r="K11" i="18" a="1"/>
  <c r="K7" i="18" a="1"/>
  <c r="M7" i="18" a="1"/>
  <c r="K10" i="18" a="1"/>
  <c r="M8" i="18" a="1"/>
  <c r="K8" i="18" a="1"/>
  <c r="M11" i="18" a="1"/>
  <c r="O11" i="17" a="1"/>
  <c r="O10" i="17" a="1"/>
  <c r="O7" i="17" a="1"/>
  <c r="O8" i="17" a="1"/>
  <c r="O8" i="18" a="1"/>
  <c r="O11" i="18" a="1"/>
  <c r="O7" i="18" a="1"/>
  <c r="O10" i="18" a="1"/>
  <c r="L7" i="17" a="1"/>
  <c r="L10" i="17" a="1"/>
  <c r="L8" i="17" a="1"/>
  <c r="L11" i="17" a="1"/>
  <c r="N8" i="18" a="1"/>
  <c r="N10" i="18" a="1"/>
  <c r="N7" i="18" a="1"/>
  <c r="N11" i="18" a="1"/>
  <c r="N10" i="16" a="1"/>
  <c r="N8" i="16" a="1"/>
  <c r="F15" i="22" a="1"/>
  <c r="O7" i="16" a="1"/>
  <c r="N5" i="16" a="1"/>
  <c r="O11" i="16" a="1"/>
  <c r="O5" i="16" a="1"/>
  <c r="N11" i="16" a="1"/>
  <c r="F14" i="22" a="1"/>
  <c r="N7" i="16" a="1"/>
  <c r="N4" i="16" a="1"/>
  <c r="O10" i="16" a="1"/>
  <c r="O4" i="16" a="1"/>
  <c r="E14" i="22" a="1"/>
  <c r="O8" i="16" a="1"/>
  <c r="E15" i="22" a="1"/>
  <c r="O10" i="14" a="1"/>
  <c r="O5" i="15" a="1"/>
  <c r="O4" i="14" a="1"/>
  <c r="N4" i="15" a="1"/>
  <c r="O5" i="14" a="1"/>
  <c r="N11" i="15" a="1"/>
  <c r="N5" i="15" a="1"/>
  <c r="O10" i="15" a="1"/>
  <c r="C14" i="22" a="1"/>
  <c r="N10" i="15" a="1"/>
  <c r="O11" i="15" a="1"/>
  <c r="O4" i="15" a="1"/>
  <c r="D14" i="22" a="1"/>
  <c r="O11" i="14" a="1"/>
  <c r="D15" i="22" a="1"/>
  <c r="C15" i="22" a="1"/>
  <c r="M7" i="16" a="1"/>
  <c r="M8" i="16" a="1"/>
  <c r="M10" i="16" a="1"/>
  <c r="F13" i="22" a="1"/>
  <c r="M5" i="16" a="1"/>
  <c r="M4" i="16" a="1"/>
  <c r="E13" i="22" a="1"/>
  <c r="M11" i="16" a="1"/>
  <c r="M11" i="15" a="1"/>
  <c r="N10" i="14" a="1"/>
  <c r="M4" i="15" a="1"/>
  <c r="N5" i="14" a="1"/>
  <c r="N4" i="14" a="1"/>
  <c r="D13" i="22" a="1"/>
  <c r="C13" i="22" a="1"/>
  <c r="N11" i="14" a="1"/>
  <c r="M5" i="15" a="1"/>
  <c r="M10" i="15" a="1"/>
  <c r="L11" i="18" a="1"/>
  <c r="L5" i="16" a="1"/>
  <c r="L10" i="18" a="1"/>
  <c r="E12" i="22" a="1"/>
  <c r="L4" i="16" a="1"/>
  <c r="L7" i="18" a="1"/>
  <c r="L8" i="18" a="1"/>
  <c r="L8" i="16" a="1"/>
  <c r="L10" i="16" a="1"/>
  <c r="F12" i="22" a="1"/>
  <c r="L11" i="16" a="1"/>
  <c r="L10" i="15" a="1"/>
  <c r="L4" i="15" a="1"/>
  <c r="L11" i="15" a="1"/>
  <c r="M4" i="14" a="1"/>
  <c r="M10" i="14" a="1"/>
  <c r="M11" i="14" a="1"/>
  <c r="D12" i="22" a="1"/>
  <c r="L5" i="15" a="1"/>
  <c r="C12" i="22" a="1"/>
  <c r="J10" i="18" a="1"/>
  <c r="K5" i="16" a="1"/>
  <c r="J11" i="18" a="1"/>
  <c r="J7" i="18" a="1"/>
  <c r="E11" i="22" a="1"/>
  <c r="K7" i="16" a="1"/>
  <c r="J8" i="18" a="1"/>
  <c r="K11" i="16" a="1"/>
  <c r="K10" i="16" a="1"/>
  <c r="F11" i="22" a="1"/>
  <c r="K8" i="16" a="1"/>
  <c r="K4" i="16" a="1"/>
  <c r="J7" i="17" a="1"/>
  <c r="K5" i="15" a="1"/>
  <c r="D11" i="22" a="1"/>
  <c r="L10" i="14" a="1"/>
  <c r="K10" i="15" a="1"/>
  <c r="L11" i="14" a="1"/>
  <c r="J8" i="17" a="1"/>
  <c r="C11" i="22" a="1"/>
  <c r="L4" i="14" a="1"/>
  <c r="K11" i="15" a="1"/>
  <c r="L5" i="14" a="1"/>
  <c r="J11" i="17" a="1"/>
  <c r="K4" i="15" a="1"/>
  <c r="J10" i="17" a="1"/>
  <c r="E10" i="22" a="1"/>
  <c r="J7" i="16" a="1"/>
  <c r="J10" i="16" a="1"/>
  <c r="J8" i="16" a="1"/>
  <c r="J5" i="16" a="1"/>
  <c r="F10" i="22" a="1"/>
  <c r="J4" i="16" a="1"/>
  <c r="J11" i="16" a="1"/>
  <c r="D10" i="22" a="1"/>
  <c r="C10" i="22" a="1"/>
  <c r="G10" i="17" a="1"/>
  <c r="H11" i="17" a="1"/>
  <c r="K11" i="14" a="1"/>
  <c r="J10" i="15" a="1"/>
  <c r="G7" i="17" a="1"/>
  <c r="K5" i="14" a="1"/>
  <c r="I11" i="17" a="1"/>
  <c r="K10" i="14" a="1"/>
  <c r="G8" i="17" a="1"/>
  <c r="J11" i="15" a="1"/>
  <c r="J5" i="15" a="1"/>
  <c r="H7" i="17" a="1"/>
  <c r="I8" i="17" a="1"/>
  <c r="K4" i="14" a="1"/>
  <c r="G11" i="17" a="1"/>
  <c r="J4" i="15" a="1"/>
  <c r="H8" i="17" a="1"/>
  <c r="I10" i="17" a="1"/>
  <c r="H10" i="17" a="1"/>
  <c r="F4" i="16" a="1"/>
  <c r="E7" i="16" a="1"/>
  <c r="G7" i="16" a="1"/>
  <c r="H4" i="16" a="1"/>
  <c r="H7" i="16" a="1"/>
  <c r="I11" i="16" a="1"/>
  <c r="E9" i="22" a="1"/>
  <c r="E8" i="22" a="1"/>
  <c r="F6" i="22" a="1"/>
  <c r="H8" i="16" a="1"/>
  <c r="E10" i="16" a="1"/>
  <c r="F10" i="16" a="1"/>
  <c r="H10" i="16" a="1"/>
  <c r="E11" i="16" a="1"/>
  <c r="E5" i="22" a="1"/>
  <c r="F5" i="16" a="1"/>
  <c r="G10" i="16" a="1"/>
  <c r="F11" i="16" a="1"/>
  <c r="F9" i="22" a="1"/>
  <c r="F7" i="22" a="1"/>
  <c r="F8" i="16" a="1"/>
  <c r="E5" i="16" a="1"/>
  <c r="I7" i="16" a="1"/>
  <c r="I5" i="16" a="1"/>
  <c r="I10" i="16" a="1"/>
  <c r="F8" i="22" a="1"/>
  <c r="G8" i="16" a="1"/>
  <c r="I8" i="16" a="1"/>
  <c r="G4" i="16" a="1"/>
  <c r="G5" i="16" a="1"/>
  <c r="H11" i="16" a="1"/>
  <c r="F5" i="22" a="1"/>
  <c r="I4" i="16" a="1"/>
  <c r="H5" i="16" a="1"/>
  <c r="G11" i="16" a="1"/>
  <c r="E7" i="22" a="1"/>
  <c r="E8" i="16" a="1"/>
  <c r="I8" i="18" a="1"/>
  <c r="I10" i="18" a="1"/>
  <c r="I10" i="15" a="1"/>
  <c r="J10" i="14" a="1"/>
  <c r="I5" i="15" a="1"/>
  <c r="I4" i="15" a="1"/>
  <c r="J11" i="14" a="1"/>
  <c r="D9" i="22" a="1"/>
  <c r="C9" i="22" a="1"/>
  <c r="I11" i="18" a="1"/>
  <c r="I7" i="18" a="1"/>
  <c r="J4" i="14" a="1"/>
  <c r="I11" i="15" a="1"/>
  <c r="J5" i="14" a="1"/>
  <c r="F8" i="18" a="1"/>
  <c r="H11" i="18" a="1"/>
  <c r="F11" i="18" a="1"/>
  <c r="G11" i="18" a="1"/>
  <c r="H7" i="18" a="1"/>
  <c r="F7" i="18" a="1"/>
  <c r="G8" i="18" a="1"/>
  <c r="E8" i="18" a="1"/>
  <c r="E11" i="18" a="1"/>
  <c r="E10" i="18" a="1"/>
  <c r="H8" i="18" a="1"/>
  <c r="G10" i="18" a="1"/>
  <c r="H10" i="18" a="1"/>
  <c r="F10" i="18" a="1"/>
  <c r="G7" i="18" a="1"/>
  <c r="E7" i="18" a="1"/>
  <c r="I4" i="14" a="1"/>
  <c r="I10" i="14" a="1"/>
  <c r="H5" i="15" a="1"/>
  <c r="C8" i="22" a="1"/>
  <c r="I5" i="14" a="1"/>
  <c r="I11" i="14" a="1"/>
  <c r="D8" i="22" a="1"/>
  <c r="H11" i="15" a="1"/>
  <c r="H4" i="15" a="1"/>
  <c r="H10" i="15" a="1"/>
  <c r="H5" i="14" a="1"/>
  <c r="G10" i="15" a="1"/>
  <c r="G11" i="15" a="1"/>
  <c r="C7" i="22" a="1"/>
  <c r="D7" i="22" a="1"/>
  <c r="H4" i="14" a="1"/>
  <c r="H11" i="14" a="1"/>
  <c r="G5" i="15" a="1"/>
  <c r="H10" i="14" a="1"/>
  <c r="F10" i="17" a="1"/>
  <c r="F11" i="17" a="1"/>
  <c r="F8" i="17" a="1"/>
  <c r="F7" i="17" a="1"/>
  <c r="D8" i="18" a="1"/>
  <c r="D10" i="18" a="1"/>
  <c r="D11" i="18" a="1"/>
  <c r="D7" i="18" a="1"/>
  <c r="G4" i="14" a="1"/>
  <c r="F5" i="15" a="1"/>
  <c r="D6" i="22" a="1"/>
  <c r="F10" i="15" a="1"/>
  <c r="F4" i="15" a="1"/>
  <c r="G5" i="14" a="1"/>
  <c r="C6" i="22" a="1"/>
  <c r="G10" i="14" a="1"/>
  <c r="F11" i="15" a="1"/>
  <c r="G11" i="14" a="1"/>
  <c r="E5" i="15" a="1"/>
  <c r="E11" i="15" a="1"/>
  <c r="F11" i="14" a="1"/>
  <c r="F5" i="14" a="1"/>
  <c r="F4" i="14" a="1"/>
  <c r="E10" i="15" a="1"/>
  <c r="F10" i="14" a="1"/>
  <c r="C5" i="22" a="1"/>
  <c r="D5" i="22" a="1"/>
  <c r="E4" i="15" a="1"/>
  <c r="D10" i="16" a="1"/>
  <c r="D11" i="15" a="1"/>
  <c r="D5" i="16" a="1"/>
  <c r="D11" i="16" a="1"/>
  <c r="E4" i="14" a="1"/>
  <c r="E11" i="14" a="1"/>
  <c r="D8" i="16" a="1"/>
  <c r="D4" i="16" a="1"/>
  <c r="D4" i="22" a="1"/>
  <c r="D5" i="15" a="1"/>
  <c r="D10" i="15" a="1"/>
  <c r="E10" i="14" a="1"/>
  <c r="E5" i="14" a="1"/>
  <c r="C4" i="22" a="1"/>
  <c r="D11" i="14" a="1"/>
  <c r="D10" i="14" a="1"/>
  <c r="C11" i="17" a="1"/>
  <c r="C5" i="16" a="1"/>
  <c r="E3" i="4" a="1"/>
  <c r="C10" i="17" a="1"/>
  <c r="C10" i="18" a="1"/>
  <c r="C11" i="16" a="1"/>
  <c r="C3" i="5" a="1"/>
  <c r="C10" i="16" a="1"/>
  <c r="C11" i="18" a="1"/>
  <c r="C3" i="4" a="1"/>
  <c r="C11" i="14" a="1"/>
  <c r="C10" i="14" a="1"/>
  <c r="N11" i="20" a="1"/>
  <c r="M11" i="22" a="1"/>
  <c r="J4" i="20" a="1"/>
  <c r="K11" i="20" a="1"/>
  <c r="K5" i="20" a="1"/>
  <c r="N10" i="20" a="1"/>
  <c r="G10" i="20" a="1"/>
  <c r="K4" i="20" a="1"/>
  <c r="F10" i="20" a="1"/>
  <c r="F4" i="20" a="1"/>
  <c r="F5" i="20" a="1"/>
  <c r="N5" i="20" a="1"/>
  <c r="J5" i="20" a="1"/>
  <c r="G7" i="20" a="1"/>
  <c r="J8" i="20" a="1"/>
  <c r="J7" i="20" a="1"/>
  <c r="F8" i="20" a="1"/>
  <c r="F7" i="20" a="1"/>
  <c r="N11" i="22" a="1"/>
  <c r="K10" i="20" a="1"/>
  <c r="M10" i="22" a="1"/>
  <c r="J11" i="20" a="1"/>
  <c r="G5" i="20" a="1"/>
  <c r="N10" i="22" a="1"/>
  <c r="N6" i="22" a="1"/>
  <c r="F11" i="20" a="1"/>
  <c r="M14" i="22" a="1"/>
  <c r="N4" i="20" a="1"/>
  <c r="N7" i="22" a="1"/>
  <c r="G11" i="20" a="1"/>
  <c r="G4" i="20" a="1"/>
  <c r="M7" i="22" a="1"/>
  <c r="M6" i="22" a="1"/>
  <c r="N14" i="22" a="1"/>
  <c r="J10" i="20" a="1"/>
  <c r="L5" i="22" a="1"/>
  <c r="E7" i="19" a="1"/>
  <c r="E11" i="19" a="1"/>
  <c r="K5" i="22" a="1"/>
  <c r="E10" i="19" a="1"/>
  <c r="E8" i="19" a="1"/>
  <c r="E5" i="19" a="1"/>
  <c r="E4" i="19" a="1"/>
  <c r="C7" i="21" a="1"/>
  <c r="C10" i="21" a="1"/>
  <c r="C8" i="21" a="1"/>
  <c r="C5" i="21" a="1"/>
  <c r="C7" i="19" a="1"/>
  <c r="C4" i="21" a="1"/>
  <c r="C11" i="21" a="1"/>
  <c r="C8" i="19" a="1"/>
  <c r="C5" i="19" a="1"/>
  <c r="C4" i="19" a="1"/>
  <c r="C11" i="19" a="1"/>
  <c r="O4" i="20" a="1"/>
  <c r="N15" i="22" a="1"/>
  <c r="I7" i="19" a="1"/>
  <c r="O5" i="20" a="1"/>
  <c r="K9" i="22" a="1"/>
  <c r="I4" i="19" a="1"/>
  <c r="O11" i="20" a="1"/>
  <c r="L9" i="22" a="1"/>
  <c r="O10" i="20" a="1"/>
  <c r="I5" i="19" a="1"/>
  <c r="I10" i="19" a="1"/>
  <c r="M15" i="22" a="1"/>
  <c r="I11" i="19" a="1"/>
  <c r="G4" i="19" a="1"/>
  <c r="G11" i="19" a="1"/>
  <c r="G7" i="19" a="1"/>
  <c r="G10" i="19" a="1"/>
  <c r="G5" i="19" a="1"/>
  <c r="L7" i="22" a="1"/>
  <c r="K7" i="22" a="1"/>
  <c r="O10" i="22" a="1"/>
  <c r="P10" i="22" a="1"/>
  <c r="J11" i="21" a="1"/>
  <c r="J7" i="21" a="1"/>
  <c r="J5" i="21" a="1"/>
  <c r="J8" i="21" a="1"/>
  <c r="J4" i="21" a="1"/>
  <c r="J10" i="21" a="1"/>
  <c r="D4" i="19" a="1"/>
  <c r="D7" i="19" a="1"/>
  <c r="D8" i="19" a="1"/>
  <c r="L4" i="22" a="1"/>
  <c r="D5" i="19" a="1"/>
  <c r="D10" i="19" a="1"/>
  <c r="K4" i="22" a="1"/>
  <c r="D11" i="19" a="1"/>
  <c r="N7" i="21" a="1"/>
  <c r="M13" i="22" a="1"/>
  <c r="M4" i="20" a="1"/>
  <c r="N13" i="22" a="1"/>
  <c r="N5" i="21" a="1"/>
  <c r="M11" i="20" a="1"/>
  <c r="M8" i="20" a="1"/>
  <c r="N11" i="21" a="1"/>
  <c r="N4" i="21" a="1"/>
  <c r="M5" i="20" a="1"/>
  <c r="P14" i="22" a="1"/>
  <c r="M10" i="20" a="1"/>
  <c r="O14" i="22" a="1"/>
  <c r="N10" i="21" a="1"/>
  <c r="M7" i="20" a="1"/>
  <c r="N8" i="21" a="1"/>
  <c r="D8" i="21" a="1"/>
  <c r="D7" i="21" a="1"/>
  <c r="C7" i="20" a="1"/>
  <c r="M11" i="21" a="1"/>
  <c r="C11" i="20" a="1"/>
  <c r="M5" i="21" a="1"/>
  <c r="M10" i="21" a="1"/>
  <c r="M8" i="21" a="1"/>
  <c r="C4" i="20" a="1"/>
  <c r="P13" i="22" a="1"/>
  <c r="C10" i="20" a="1"/>
  <c r="C8" i="20" a="1"/>
  <c r="M4" i="21" a="1"/>
  <c r="O13" i="22" a="1"/>
  <c r="C5" i="20" a="1"/>
  <c r="M7" i="21" a="1"/>
  <c r="D5" i="20" a="1"/>
  <c r="I8" i="20" a="1"/>
  <c r="D4" i="20" a="1"/>
  <c r="D8" i="20" a="1"/>
  <c r="E8" i="20" a="1"/>
  <c r="E11" i="20" a="1"/>
  <c r="H5" i="20" a="1"/>
  <c r="M8" i="22" a="1"/>
  <c r="M9" i="22" a="1"/>
  <c r="M4" i="22" a="1"/>
  <c r="E7" i="20" a="1"/>
  <c r="E4" i="20" a="1"/>
  <c r="H11" i="20" a="1"/>
  <c r="H10" i="20" a="1"/>
  <c r="N9" i="22" a="1"/>
  <c r="I5" i="20" a="1"/>
  <c r="G8" i="21" a="1"/>
  <c r="G11" i="21" a="1"/>
  <c r="O5" i="21" a="1"/>
  <c r="O15" i="22" a="1"/>
  <c r="N4" i="22" a="1"/>
  <c r="E5" i="20" a="1"/>
  <c r="N8" i="22" a="1"/>
  <c r="G4" i="21" a="1"/>
  <c r="G5" i="21" a="1"/>
  <c r="P15" i="22" a="1"/>
  <c r="D7" i="20" a="1"/>
  <c r="D10" i="20" a="1"/>
  <c r="D11" i="20" a="1"/>
  <c r="E10" i="20" a="1"/>
  <c r="N5" i="22" a="1"/>
  <c r="H4" i="20" a="1"/>
  <c r="H7" i="20" a="1"/>
  <c r="I4" i="20" a="1"/>
  <c r="I11" i="20" a="1"/>
  <c r="P7" i="22" a="1"/>
  <c r="O7" i="22" a="1"/>
  <c r="O10" i="21" a="1"/>
  <c r="O8" i="21" a="1"/>
  <c r="O11" i="21" a="1"/>
  <c r="O4" i="21" a="1"/>
  <c r="M5" i="22" a="1"/>
  <c r="I7" i="20" a="1"/>
  <c r="G10" i="21" a="1"/>
  <c r="O7" i="21" a="1"/>
  <c r="I10" i="20" a="1"/>
  <c r="G7" i="21" a="1"/>
  <c r="F5" i="19" a="1"/>
  <c r="F8" i="19" a="1"/>
  <c r="L6" i="22" a="1"/>
  <c r="L10" i="20" a="1"/>
  <c r="H10" i="19" a="1"/>
  <c r="H11" i="19" a="1"/>
  <c r="L11" i="20" a="1"/>
  <c r="H4" i="19" a="1"/>
  <c r="K8" i="22" a="1"/>
  <c r="F4" i="19" a="1"/>
  <c r="H5" i="19" a="1"/>
  <c r="L8" i="22" a="1"/>
  <c r="F11" i="19" a="1"/>
  <c r="K6" i="22" a="1"/>
  <c r="F10" i="19" a="1"/>
  <c r="F7" i="19" a="1"/>
  <c r="H7" i="19" a="1"/>
  <c r="F3" i="22" a="1"/>
  <c r="G3" i="22" a="1"/>
  <c r="K8" i="20" a="1"/>
  <c r="N8" i="20" a="1"/>
  <c r="G8" i="20" a="1"/>
  <c r="E11" i="21" a="1"/>
  <c r="F11" i="21" a="1"/>
  <c r="E5" i="21" a="1"/>
  <c r="F10" i="21" a="1"/>
  <c r="K5" i="21" a="1"/>
  <c r="H11" i="21" a="1"/>
  <c r="H7" i="21" a="1"/>
  <c r="K10" i="21" a="1"/>
  <c r="H10" i="21" a="1"/>
  <c r="O11" i="22" a="1"/>
  <c r="K11" i="22" a="1"/>
  <c r="N4" i="19" a="1"/>
  <c r="K10" i="22" a="1"/>
  <c r="L14" i="22" a="1"/>
  <c r="D4" i="21" a="1"/>
  <c r="I11" i="21" a="1"/>
  <c r="M4" i="19" a="1"/>
  <c r="K13" i="22" a="1"/>
  <c r="M10" i="19" a="1"/>
  <c r="L15" i="22" a="1"/>
  <c r="O12" i="22" a="1"/>
  <c r="N7" i="19" a="1"/>
  <c r="D1" i="19" a="1"/>
  <c r="J3" i="22" a="1"/>
  <c r="A33" i="23"/>
  <c r="K11" i="19" a="1"/>
  <c r="O3" i="22" a="1"/>
  <c r="N12" i="22" a="1"/>
  <c r="L4" i="20" a="1"/>
  <c r="J11" i="19" a="1"/>
  <c r="L7" i="20" a="1"/>
  <c r="J10" i="19" a="1"/>
  <c r="E1" i="20" a="1"/>
  <c r="B19" i="23" a="1"/>
  <c r="H3" i="22" a="1"/>
  <c r="N7" i="20" a="1"/>
  <c r="E10" i="21" a="1"/>
  <c r="F4" i="21" a="1"/>
  <c r="F7" i="21" a="1"/>
  <c r="E7" i="21" a="1"/>
  <c r="E8" i="21" a="1"/>
  <c r="P11" i="22" a="1"/>
  <c r="O8" i="22" a="1"/>
  <c r="K4" i="21" a="1"/>
  <c r="P8" i="22" a="1"/>
  <c r="H8" i="21" a="1"/>
  <c r="L11" i="22" a="1"/>
  <c r="I8" i="21" a="1"/>
  <c r="K14" i="22" a="1"/>
  <c r="P4" i="22" a="1"/>
  <c r="I4" i="21" a="1"/>
  <c r="I7" i="21" a="1"/>
  <c r="K12" i="22" a="1"/>
  <c r="L10" i="21" a="1"/>
  <c r="L5" i="19" a="1"/>
  <c r="L12" i="22" a="1"/>
  <c r="L4" i="19" a="1"/>
  <c r="M5" i="19" a="1"/>
  <c r="O4" i="19" a="1"/>
  <c r="L3" i="22" a="1"/>
  <c r="D2" i="15" a="1"/>
  <c r="L7" i="21" a="1"/>
  <c r="A16" i="23"/>
  <c r="M8" i="19" a="1"/>
  <c r="D1" i="20" a="1"/>
  <c r="I3" i="22" a="1"/>
  <c r="B3" i="4" a="1"/>
  <c r="O7" i="20" a="1"/>
  <c r="H8" i="20" a="1"/>
  <c r="O6" i="22" a="1"/>
  <c r="O5" i="22" a="1"/>
  <c r="H5" i="21" a="1"/>
  <c r="K8" i="21" a="1"/>
  <c r="H8" i="19" a="1"/>
  <c r="K5" i="19" a="1"/>
  <c r="O9" i="22" a="1"/>
  <c r="N5" i="19" a="1"/>
  <c r="J4" i="19" a="1"/>
  <c r="P9" i="22" a="1"/>
  <c r="D5" i="21" a="1"/>
  <c r="L11" i="21" a="1"/>
  <c r="K15" i="22" a="1"/>
  <c r="N11" i="19" a="1"/>
  <c r="J7" i="19" a="1"/>
  <c r="L8" i="19" a="1"/>
  <c r="P3" i="22" a="1"/>
  <c r="L5" i="21" a="1"/>
  <c r="E6" i="22" a="1"/>
  <c r="N8" i="19" a="1"/>
  <c r="L11" i="19" a="1"/>
  <c r="O7" i="19" a="1"/>
  <c r="M7" i="19" a="1"/>
  <c r="P12" i="22" a="1"/>
  <c r="K3" i="22" a="1"/>
  <c r="M3" i="22" a="1"/>
  <c r="O10" i="19" a="1"/>
  <c r="I8" i="10"/>
  <c r="O8" i="20" a="1"/>
  <c r="K7" i="20" a="1"/>
  <c r="I8" i="19" a="1"/>
  <c r="G8" i="19" a="1"/>
  <c r="E4" i="21" a="1"/>
  <c r="P6" i="22" a="1"/>
  <c r="F5" i="21" a="1"/>
  <c r="F8" i="21" a="1"/>
  <c r="P5" i="22" a="1"/>
  <c r="K7" i="21" a="1"/>
  <c r="H4" i="21" a="1"/>
  <c r="K11" i="21" a="1"/>
  <c r="K4" i="19" a="1"/>
  <c r="I5" i="21" a="1"/>
  <c r="J5" i="19" a="1"/>
  <c r="I10" i="21" a="1"/>
  <c r="L10" i="22" a="1"/>
  <c r="O4" i="22" a="1"/>
  <c r="M11" i="19" a="1"/>
  <c r="O5" i="19" a="1"/>
  <c r="L13" i="22" a="1"/>
  <c r="L4" i="21" a="1"/>
  <c r="L10" i="19" a="1"/>
  <c r="N3" i="22" a="1"/>
  <c r="L5" i="20" a="1"/>
  <c r="M5" i="14" a="1"/>
  <c r="L7" i="19" a="1"/>
  <c r="I7" i="10"/>
  <c r="L8" i="21" a="1"/>
  <c r="L7" i="16" a="1"/>
  <c r="L8" i="20" a="1"/>
  <c r="D10" i="21" a="1"/>
  <c r="J8" i="19" a="1"/>
  <c r="I2" i="17" a="1"/>
  <c r="M12" i="22" a="1"/>
  <c r="D2" i="21" a="1"/>
  <c r="K7" i="19" a="1"/>
  <c r="K8" i="19" a="1"/>
  <c r="O11" i="19" a="1"/>
  <c r="K10" i="19" a="1"/>
  <c r="O8" i="19" a="1"/>
  <c r="N10" i="19" a="1"/>
  <c r="C1" i="20" a="1"/>
  <c r="I2" i="18" a="1"/>
  <c r="D11" i="21" a="1"/>
  <c r="H9" i="10"/>
  <c r="B5" i="12"/>
  <c r="B3" i="11"/>
  <c r="C5" i="13"/>
  <c r="C4" i="12"/>
  <c r="C3" i="11"/>
  <c r="C5" i="12"/>
  <c r="C4" i="13"/>
  <c r="H7" i="10"/>
  <c r="C3" i="13"/>
  <c r="B5" i="11"/>
  <c r="C4" i="11"/>
  <c r="D3" i="10"/>
  <c r="C2" i="13"/>
  <c r="B4" i="11"/>
  <c r="C3" i="12"/>
  <c r="B13" i="23"/>
  <c r="B4" i="13"/>
  <c r="C2" i="11"/>
  <c r="B3" i="10"/>
  <c r="C3" i="10"/>
  <c r="B5" i="13"/>
  <c r="E2" i="23"/>
  <c r="B2" i="12"/>
  <c r="H8" i="10"/>
  <c r="C2" i="12"/>
  <c r="B2" i="13"/>
  <c r="B3" i="12"/>
  <c r="C5" i="11"/>
  <c r="B4" i="12"/>
  <c r="B3" i="13"/>
  <c r="B2" i="11"/>
  <c r="D1" i="21" l="1"/>
  <c r="E1" i="21"/>
  <c r="L1" i="18"/>
  <c r="D2" i="16"/>
  <c r="I1" i="17"/>
  <c r="J1" i="15"/>
  <c r="J1" i="18"/>
  <c r="O1" i="20"/>
  <c r="J2" i="14"/>
  <c r="H2" i="15"/>
  <c r="D1" i="15"/>
  <c r="L1" i="20"/>
  <c r="N1" i="15"/>
  <c r="G2" i="16"/>
  <c r="L2" i="16"/>
  <c r="G1" i="17"/>
  <c r="M1" i="21"/>
  <c r="O1" i="21"/>
  <c r="O1" i="19"/>
  <c r="N2" i="14"/>
  <c r="C1" i="18"/>
  <c r="F1" i="20"/>
  <c r="F1" i="18"/>
  <c r="F2" i="16"/>
  <c r="G1" i="16"/>
  <c r="I1" i="19"/>
  <c r="O1" i="15"/>
  <c r="N2" i="18"/>
  <c r="F2" i="14"/>
  <c r="K1" i="18"/>
  <c r="C1" i="21"/>
  <c r="N1" i="20"/>
  <c r="M1" i="18"/>
  <c r="K2" i="16"/>
  <c r="D2" i="18"/>
  <c r="J1" i="16"/>
  <c r="F1" i="15"/>
  <c r="H1" i="16"/>
  <c r="F1" i="21"/>
  <c r="M2" i="21"/>
  <c r="N2" i="17"/>
  <c r="C1" i="16"/>
  <c r="O2" i="16"/>
  <c r="H1" i="20"/>
  <c r="K1" i="16"/>
  <c r="M1" i="17"/>
  <c r="K2" i="17"/>
  <c r="H2" i="16"/>
  <c r="K1" i="21"/>
  <c r="J1" i="21"/>
  <c r="J2" i="21"/>
  <c r="J2" i="16"/>
  <c r="J2" i="18"/>
  <c r="I2" i="16"/>
  <c r="O2" i="18"/>
  <c r="G1" i="15"/>
  <c r="G2" i="14"/>
  <c r="K1" i="19"/>
  <c r="O1" i="18"/>
  <c r="E1" i="18"/>
  <c r="O1" i="17"/>
  <c r="J1" i="20"/>
  <c r="N1" i="17"/>
  <c r="C1" i="17"/>
  <c r="G1" i="21"/>
  <c r="N1" i="19"/>
  <c r="G2" i="21"/>
  <c r="N1" i="16"/>
  <c r="I1" i="16"/>
  <c r="G2" i="18"/>
  <c r="M1" i="16"/>
  <c r="I1" i="15"/>
  <c r="E2" i="14"/>
  <c r="M1" i="20"/>
  <c r="F1" i="17"/>
  <c r="D1" i="16"/>
  <c r="G1" i="18"/>
  <c r="K1" i="15"/>
  <c r="I1" i="18"/>
  <c r="N2" i="16"/>
  <c r="H1" i="18"/>
  <c r="N1" i="21"/>
  <c r="H1" i="19"/>
  <c r="O2" i="17"/>
  <c r="H2" i="14"/>
  <c r="K2" i="14"/>
  <c r="E2" i="16"/>
  <c r="N1" i="18"/>
  <c r="M2" i="18"/>
  <c r="L1" i="17"/>
  <c r="M2" i="16"/>
  <c r="J2" i="17"/>
  <c r="I1" i="20"/>
  <c r="L2" i="14"/>
  <c r="G1" i="20"/>
  <c r="E2" i="18"/>
  <c r="O1" i="16"/>
  <c r="H1" i="17"/>
  <c r="L2" i="18"/>
  <c r="L1" i="16"/>
  <c r="F1" i="16"/>
  <c r="D1" i="18"/>
  <c r="F2" i="18"/>
  <c r="K1" i="17"/>
  <c r="K1" i="20"/>
  <c r="L2" i="17"/>
  <c r="L1" i="21"/>
  <c r="H2" i="18"/>
  <c r="E1" i="17"/>
  <c r="M1" i="19"/>
  <c r="D1" i="17"/>
  <c r="C1" i="15"/>
  <c r="L1" i="15"/>
  <c r="H2" i="21"/>
  <c r="M2" i="14"/>
  <c r="I1" i="21"/>
  <c r="J1" i="19"/>
  <c r="I2" i="14"/>
  <c r="I9" i="10"/>
  <c r="K2" i="18"/>
  <c r="L1" i="19"/>
  <c r="E1" i="16"/>
  <c r="E1" i="15"/>
  <c r="M2" i="17"/>
  <c r="H1" i="21"/>
  <c r="G1" i="19"/>
  <c r="J1" i="17"/>
  <c r="M1" i="15"/>
  <c r="H1" i="15"/>
  <c r="I2" i="17"/>
  <c r="K2" i="21"/>
  <c r="E3" i="23"/>
  <c r="F2" i="21"/>
  <c r="D2" i="21"/>
  <c r="E4" i="23"/>
  <c r="C2" i="21"/>
  <c r="E5" i="23"/>
  <c r="N2" i="21"/>
  <c r="I2" i="21"/>
  <c r="O2" i="21"/>
  <c r="C2" i="17"/>
  <c r="L2" i="21"/>
  <c r="H2" i="20" l="1"/>
  <c r="G2" i="20"/>
  <c r="M2" i="20"/>
  <c r="E2" i="19"/>
  <c r="H2" i="19"/>
  <c r="M2" i="15"/>
  <c r="I2" i="18"/>
  <c r="G2" i="15"/>
  <c r="D1" i="19"/>
  <c r="E2" i="20"/>
  <c r="J2" i="20"/>
  <c r="J2" i="15"/>
  <c r="B19" i="23"/>
  <c r="K2" i="20"/>
  <c r="N2" i="20"/>
  <c r="C2" i="20"/>
  <c r="M2" i="19"/>
  <c r="J2" i="19"/>
  <c r="G2" i="19"/>
  <c r="D2" i="20"/>
  <c r="I2" i="20"/>
  <c r="L2" i="20"/>
  <c r="O2" i="20"/>
  <c r="F2" i="20"/>
  <c r="H8" i="21"/>
  <c r="C4" i="19"/>
  <c r="C1" i="20"/>
  <c r="C2" i="14"/>
  <c r="B3" i="23"/>
  <c r="C13" i="22"/>
  <c r="N5" i="14"/>
  <c r="E3" i="10"/>
  <c r="E6" i="10"/>
  <c r="K5" i="15"/>
  <c r="D1" i="20"/>
  <c r="L4" i="15"/>
  <c r="F5" i="15"/>
  <c r="C5" i="19"/>
  <c r="B7" i="23"/>
  <c r="O7" i="19"/>
  <c r="G5" i="14"/>
  <c r="N4" i="15"/>
  <c r="E3" i="4"/>
  <c r="O5" i="14"/>
  <c r="C10" i="22"/>
  <c r="I4" i="14"/>
  <c r="D8" i="22"/>
  <c r="O5" i="15"/>
  <c r="M8" i="19"/>
  <c r="C7" i="22"/>
  <c r="M5" i="15"/>
  <c r="D13" i="22"/>
  <c r="E9" i="10"/>
  <c r="B11" i="23"/>
  <c r="H4" i="16"/>
  <c r="G11" i="14"/>
  <c r="D5" i="18"/>
  <c r="C4" i="10"/>
  <c r="L5" i="22"/>
  <c r="E3" i="6"/>
  <c r="E2" i="5"/>
  <c r="G13" i="22"/>
  <c r="L5" i="18"/>
  <c r="G5" i="16"/>
  <c r="N10" i="14"/>
  <c r="C3" i="5"/>
  <c r="I5" i="16"/>
  <c r="B4" i="10"/>
  <c r="F10" i="15"/>
  <c r="H13" i="22"/>
  <c r="D8" i="19"/>
  <c r="G9" i="22"/>
  <c r="H9" i="22"/>
  <c r="M11" i="15"/>
  <c r="N5" i="16"/>
  <c r="G10" i="22"/>
  <c r="K11" i="14"/>
  <c r="G15" i="22"/>
  <c r="E2" i="7"/>
  <c r="E3" i="5"/>
  <c r="I4" i="16"/>
  <c r="M11" i="14"/>
  <c r="N11" i="14"/>
  <c r="J4" i="16"/>
  <c r="H5" i="18"/>
  <c r="D11" i="14"/>
  <c r="G12" i="22"/>
  <c r="O4" i="16"/>
  <c r="H11" i="14"/>
  <c r="K10" i="19"/>
  <c r="L11" i="15"/>
  <c r="G10" i="15"/>
  <c r="L10" i="14"/>
  <c r="G5" i="18"/>
  <c r="G3" i="10"/>
  <c r="D5" i="23"/>
  <c r="E19" i="23"/>
  <c r="G19" i="23"/>
  <c r="E2" i="4"/>
  <c r="F5" i="10"/>
  <c r="H19" i="23"/>
  <c r="H5" i="17"/>
  <c r="L4" i="17"/>
  <c r="I4" i="17"/>
  <c r="L5" i="17"/>
  <c r="C4" i="15"/>
  <c r="C4" i="23"/>
  <c r="C11" i="15"/>
  <c r="C3" i="22"/>
  <c r="O5" i="17"/>
  <c r="D4" i="14"/>
  <c r="C3" i="23"/>
  <c r="C19" i="23"/>
  <c r="B2" i="6"/>
  <c r="D13" i="23"/>
  <c r="F26" i="23"/>
  <c r="F25" i="23"/>
  <c r="L24" i="23"/>
  <c r="L25" i="23"/>
  <c r="G7" i="10"/>
  <c r="C14" i="23"/>
  <c r="F24" i="23"/>
  <c r="G26" i="23"/>
  <c r="D11" i="23"/>
  <c r="F9" i="10"/>
  <c r="L26" i="23"/>
  <c r="K24" i="23"/>
  <c r="F23" i="23"/>
  <c r="I24" i="23"/>
  <c r="M26" i="23"/>
  <c r="M8" i="22"/>
  <c r="L2" i="19"/>
  <c r="M13" i="22"/>
  <c r="H10" i="20"/>
  <c r="K4" i="20"/>
  <c r="K3" i="22"/>
  <c r="C4" i="8"/>
  <c r="K7" i="16"/>
  <c r="F33" i="23"/>
  <c r="E7" i="21"/>
  <c r="G11" i="17"/>
  <c r="B30" i="23"/>
  <c r="M7" i="20"/>
  <c r="J12" i="22"/>
  <c r="C23" i="23"/>
  <c r="M21" i="23"/>
  <c r="L10" i="17"/>
  <c r="L31" i="23"/>
  <c r="F9" i="22"/>
  <c r="H10" i="21"/>
  <c r="L11" i="16"/>
  <c r="B5" i="23"/>
  <c r="K4" i="14"/>
  <c r="D5" i="22"/>
  <c r="E4" i="10"/>
  <c r="J4" i="14"/>
  <c r="B4" i="23"/>
  <c r="D5" i="15"/>
  <c r="C11" i="22"/>
  <c r="C2" i="16"/>
  <c r="D15" i="22"/>
  <c r="F5" i="14"/>
  <c r="H5" i="14"/>
  <c r="B6" i="23"/>
  <c r="C4" i="22"/>
  <c r="L5" i="15"/>
  <c r="E4" i="14"/>
  <c r="O4" i="15"/>
  <c r="E4" i="15"/>
  <c r="H4" i="14"/>
  <c r="F4" i="15"/>
  <c r="C14" i="22"/>
  <c r="L8" i="19"/>
  <c r="K4" i="15"/>
  <c r="B12" i="23"/>
  <c r="E8" i="10"/>
  <c r="I11" i="15"/>
  <c r="C4" i="17"/>
  <c r="E10" i="15"/>
  <c r="C5" i="16"/>
  <c r="E11" i="14"/>
  <c r="O4" i="22"/>
  <c r="J10" i="15"/>
  <c r="G11" i="22"/>
  <c r="F3" i="22"/>
  <c r="J10" i="14"/>
  <c r="H8" i="22"/>
  <c r="H10" i="22"/>
  <c r="C4" i="18"/>
  <c r="N10" i="15"/>
  <c r="E5" i="16"/>
  <c r="B6" i="10"/>
  <c r="E10" i="14"/>
  <c r="N4" i="18"/>
  <c r="G8" i="22"/>
  <c r="D4" i="18"/>
  <c r="L4" i="16"/>
  <c r="D4" i="21"/>
  <c r="F4" i="16"/>
  <c r="J11" i="14"/>
  <c r="M10" i="14"/>
  <c r="H10" i="14"/>
  <c r="H5" i="16"/>
  <c r="K5" i="16"/>
  <c r="G10" i="14"/>
  <c r="E4" i="18"/>
  <c r="E3" i="7"/>
  <c r="K5" i="18"/>
  <c r="G4" i="18"/>
  <c r="K4" i="16"/>
  <c r="L10" i="15"/>
  <c r="H8" i="20"/>
  <c r="M5" i="16"/>
  <c r="E5" i="18"/>
  <c r="K4" i="18"/>
  <c r="G4" i="15"/>
  <c r="C9" i="23"/>
  <c r="C10" i="15"/>
  <c r="K5" i="17"/>
  <c r="D5" i="17"/>
  <c r="C4" i="14"/>
  <c r="G5" i="10"/>
  <c r="B2" i="7"/>
  <c r="H4" i="17"/>
  <c r="L19" i="23"/>
  <c r="M4" i="17"/>
  <c r="D19" i="23"/>
  <c r="F3" i="10"/>
  <c r="D4" i="23"/>
  <c r="M5" i="17"/>
  <c r="J4" i="17"/>
  <c r="K4" i="17"/>
  <c r="C5" i="14"/>
  <c r="G4" i="10"/>
  <c r="F4" i="17"/>
  <c r="G8" i="10"/>
  <c r="C15" i="23"/>
  <c r="H24" i="23"/>
  <c r="B26" i="23"/>
  <c r="K25" i="23"/>
  <c r="I23" i="23"/>
  <c r="D10" i="23"/>
  <c r="E16" i="23"/>
  <c r="J25" i="23"/>
  <c r="G23" i="23"/>
  <c r="N26" i="23"/>
  <c r="F7" i="10"/>
  <c r="B23" i="23"/>
  <c r="B33" i="23"/>
  <c r="M25" i="23"/>
  <c r="N25" i="23"/>
  <c r="G8" i="19"/>
  <c r="E5" i="20"/>
  <c r="D7" i="19"/>
  <c r="I4" i="20"/>
  <c r="J10" i="20"/>
  <c r="D7" i="23"/>
  <c r="M38" i="23"/>
  <c r="C5" i="8"/>
  <c r="I8" i="19"/>
  <c r="E10" i="20"/>
  <c r="H10" i="19"/>
  <c r="D8" i="20"/>
  <c r="J36" i="23"/>
  <c r="E27" i="23"/>
  <c r="M8" i="20"/>
  <c r="J5" i="19"/>
  <c r="F4" i="21"/>
  <c r="K22" i="23"/>
  <c r="L20" i="23"/>
  <c r="G28" i="23"/>
  <c r="H4" i="19"/>
  <c r="I9" i="22"/>
  <c r="H4" i="10"/>
  <c r="H3" i="10"/>
  <c r="F2" i="15"/>
  <c r="B9" i="23"/>
  <c r="J5" i="15"/>
  <c r="K2" i="15"/>
  <c r="H6" i="10"/>
  <c r="I5" i="15"/>
  <c r="E5" i="10"/>
  <c r="H5" i="10"/>
  <c r="D10" i="22"/>
  <c r="O4" i="14"/>
  <c r="L5" i="14"/>
  <c r="B2" i="23"/>
  <c r="E1" i="20"/>
  <c r="G4" i="14"/>
  <c r="C8" i="22"/>
  <c r="M4" i="15"/>
  <c r="C3" i="4"/>
  <c r="E5" i="14"/>
  <c r="C15" i="22"/>
  <c r="D12" i="22"/>
  <c r="D9" i="22"/>
  <c r="C6" i="22"/>
  <c r="L4" i="14"/>
  <c r="D4" i="22"/>
  <c r="J4" i="15"/>
  <c r="D6" i="22"/>
  <c r="H4" i="15"/>
  <c r="B15" i="23"/>
  <c r="B14" i="23"/>
  <c r="C5" i="17"/>
  <c r="K10" i="14"/>
  <c r="C5" i="18"/>
  <c r="H10" i="15"/>
  <c r="E4" i="16"/>
  <c r="C3" i="6"/>
  <c r="O10" i="14"/>
  <c r="F5" i="18"/>
  <c r="C2" i="5"/>
  <c r="J3" i="22"/>
  <c r="O4" i="18"/>
  <c r="O5" i="16"/>
  <c r="C5" i="10"/>
  <c r="E5" i="19"/>
  <c r="M5" i="18"/>
  <c r="C5" i="20"/>
  <c r="J11" i="15"/>
  <c r="H14" i="22"/>
  <c r="E11" i="15"/>
  <c r="M4" i="16"/>
  <c r="O5" i="18"/>
  <c r="L5" i="16"/>
  <c r="I11" i="14"/>
  <c r="F11" i="14"/>
  <c r="F10" i="14"/>
  <c r="H7" i="22"/>
  <c r="M4" i="18"/>
  <c r="D4" i="16"/>
  <c r="P4" i="22"/>
  <c r="F4" i="18"/>
  <c r="N11" i="15"/>
  <c r="N5" i="18"/>
  <c r="M5" i="14"/>
  <c r="H11" i="22"/>
  <c r="E2" i="6"/>
  <c r="H4" i="18"/>
  <c r="K11" i="15"/>
  <c r="G4" i="16"/>
  <c r="C5" i="15"/>
  <c r="C7" i="23"/>
  <c r="D6" i="10"/>
  <c r="N19" i="23"/>
  <c r="G4" i="17"/>
  <c r="C2" i="23"/>
  <c r="D3" i="22"/>
  <c r="D4" i="17"/>
  <c r="I5" i="17"/>
  <c r="I19" i="23"/>
  <c r="K19" i="23"/>
  <c r="E3" i="22"/>
  <c r="F4" i="10"/>
  <c r="E5" i="17"/>
  <c r="E4" i="17"/>
  <c r="J5" i="17"/>
  <c r="F5" i="17"/>
  <c r="D2" i="23"/>
  <c r="G6" i="10"/>
  <c r="D4" i="10"/>
  <c r="D9" i="10"/>
  <c r="C11" i="23"/>
  <c r="I25" i="23"/>
  <c r="H23" i="23"/>
  <c r="C10" i="23"/>
  <c r="M23" i="23"/>
  <c r="D12" i="23"/>
  <c r="B3" i="7"/>
  <c r="H26" i="23"/>
  <c r="J24" i="23"/>
  <c r="N23" i="23"/>
  <c r="F8" i="10"/>
  <c r="M24" i="23"/>
  <c r="D14" i="23"/>
  <c r="H25" i="23"/>
  <c r="C16" i="23"/>
  <c r="N2" i="19"/>
  <c r="N14" i="22"/>
  <c r="M7" i="22"/>
  <c r="M5" i="22"/>
  <c r="E4" i="20"/>
  <c r="N9" i="22"/>
  <c r="J8" i="19"/>
  <c r="I22" i="23"/>
  <c r="H11" i="20"/>
  <c r="F13" i="22"/>
  <c r="D27" i="23"/>
  <c r="I7" i="22"/>
  <c r="C11" i="14"/>
  <c r="N10" i="17"/>
  <c r="H8" i="18"/>
  <c r="H7" i="17"/>
  <c r="G11" i="18"/>
  <c r="D8" i="17"/>
  <c r="K9" i="22"/>
  <c r="G8" i="16"/>
  <c r="H4" i="21"/>
  <c r="I4" i="19"/>
  <c r="L2" i="15"/>
  <c r="N2" i="15"/>
  <c r="D14" i="22"/>
  <c r="I5" i="14"/>
  <c r="C2" i="15"/>
  <c r="D7" i="22"/>
  <c r="C2" i="18"/>
  <c r="I2" i="15"/>
  <c r="C9" i="22"/>
  <c r="K5" i="14"/>
  <c r="O2" i="15"/>
  <c r="D2" i="15"/>
  <c r="N5" i="15"/>
  <c r="C12" i="22"/>
  <c r="D11" i="22"/>
  <c r="G5" i="15"/>
  <c r="C5" i="22"/>
  <c r="J5" i="14"/>
  <c r="I4" i="15"/>
  <c r="N4" i="14"/>
  <c r="M4" i="14"/>
  <c r="H5" i="15"/>
  <c r="B8" i="23"/>
  <c r="E5" i="15"/>
  <c r="F4" i="14"/>
  <c r="B16" i="23"/>
  <c r="B10" i="23"/>
  <c r="E7" i="10"/>
  <c r="I10" i="14"/>
  <c r="L11" i="14"/>
  <c r="H3" i="22"/>
  <c r="G14" i="22"/>
  <c r="G3" i="22"/>
  <c r="C2" i="6"/>
  <c r="C2" i="7"/>
  <c r="D10" i="14"/>
  <c r="B3" i="4"/>
  <c r="F11" i="15"/>
  <c r="C3" i="7"/>
  <c r="D11" i="15"/>
  <c r="I3" i="22"/>
  <c r="I5" i="18"/>
  <c r="M10" i="15"/>
  <c r="C6" i="10"/>
  <c r="C4" i="16"/>
  <c r="B5" i="10"/>
  <c r="H11" i="15"/>
  <c r="L4" i="18"/>
  <c r="N4" i="16"/>
  <c r="H15" i="22"/>
  <c r="G7" i="22"/>
  <c r="O11" i="15"/>
  <c r="I4" i="18"/>
  <c r="O11" i="14"/>
  <c r="D10" i="15"/>
  <c r="H12" i="22"/>
  <c r="G11" i="15"/>
  <c r="C4" i="20"/>
  <c r="K10" i="15"/>
  <c r="J4" i="18"/>
  <c r="D5" i="16"/>
  <c r="J5" i="18"/>
  <c r="I10" i="15"/>
  <c r="J5" i="16"/>
  <c r="D5" i="21"/>
  <c r="F5" i="16"/>
  <c r="O10" i="15"/>
  <c r="C2" i="4"/>
  <c r="D3" i="23"/>
  <c r="B2" i="4"/>
  <c r="N4" i="17"/>
  <c r="D4" i="15"/>
  <c r="C5" i="23"/>
  <c r="C8" i="23"/>
  <c r="O4" i="17"/>
  <c r="J19" i="23"/>
  <c r="F19" i="23"/>
  <c r="B3" i="6"/>
  <c r="D5" i="14"/>
  <c r="C6" i="23"/>
  <c r="D5" i="10"/>
  <c r="B3" i="5"/>
  <c r="M19" i="23"/>
  <c r="G5" i="17"/>
  <c r="F6" i="10"/>
  <c r="B2" i="5"/>
  <c r="N5" i="17"/>
  <c r="D16" i="23"/>
  <c r="J26" i="23"/>
  <c r="J23" i="23"/>
  <c r="I26" i="23"/>
  <c r="C12" i="23"/>
  <c r="G25" i="23"/>
  <c r="C13" i="23"/>
  <c r="G24" i="23"/>
  <c r="B24" i="23"/>
  <c r="L23" i="23"/>
  <c r="G9" i="10"/>
  <c r="D15" i="23"/>
  <c r="K23" i="23"/>
  <c r="N24" i="23"/>
  <c r="K26" i="23"/>
  <c r="B25" i="23"/>
  <c r="J8" i="20"/>
  <c r="K8" i="20"/>
  <c r="N28" i="23"/>
  <c r="N11" i="16"/>
  <c r="I8" i="18"/>
  <c r="I7" i="17"/>
  <c r="I11" i="16"/>
  <c r="L10" i="18"/>
  <c r="E4" i="21"/>
  <c r="I28" i="23"/>
  <c r="K7" i="21"/>
  <c r="G7" i="18"/>
  <c r="J22" i="23"/>
  <c r="I2" i="8"/>
  <c r="L10" i="22"/>
  <c r="H39" i="23"/>
  <c r="D4" i="20"/>
  <c r="I5" i="20"/>
  <c r="N7" i="22"/>
  <c r="C7" i="18"/>
  <c r="C8" i="16"/>
  <c r="L7" i="19"/>
  <c r="E10" i="19"/>
  <c r="N4" i="21"/>
  <c r="N8" i="19"/>
  <c r="O8" i="18"/>
  <c r="H28" i="23"/>
  <c r="O7" i="18"/>
  <c r="I4" i="8"/>
  <c r="E8" i="23"/>
  <c r="J27" i="23"/>
  <c r="L8" i="21"/>
  <c r="F27" i="23"/>
  <c r="H7" i="20"/>
  <c r="E12" i="23"/>
  <c r="F37" i="23"/>
  <c r="E36" i="23"/>
  <c r="C28" i="23"/>
  <c r="C10" i="19"/>
  <c r="K4" i="22"/>
  <c r="B7" i="10"/>
  <c r="L37" i="23"/>
  <c r="G7" i="16"/>
  <c r="B4" i="8"/>
  <c r="C8" i="10"/>
  <c r="F10" i="21"/>
  <c r="M4" i="20"/>
  <c r="N4" i="20"/>
  <c r="O11" i="20"/>
  <c r="I10" i="20"/>
  <c r="F7" i="20"/>
  <c r="N27" i="23"/>
  <c r="I11" i="19"/>
  <c r="L11" i="21"/>
  <c r="F31" i="23"/>
  <c r="L3" i="22"/>
  <c r="C11" i="17"/>
  <c r="C11" i="20"/>
  <c r="L8" i="20"/>
  <c r="E37" i="23"/>
  <c r="I6" i="22"/>
  <c r="B28" i="23"/>
  <c r="L5" i="19"/>
  <c r="O9" i="22"/>
  <c r="H8" i="17"/>
  <c r="J7" i="22"/>
  <c r="J33" i="23"/>
  <c r="G38" i="23"/>
  <c r="E8" i="16"/>
  <c r="F3" i="8"/>
  <c r="K11" i="22"/>
  <c r="L10" i="20"/>
  <c r="K11" i="19"/>
  <c r="J32" i="23"/>
  <c r="N20" i="23"/>
  <c r="I8" i="16"/>
  <c r="F8" i="22"/>
  <c r="N8" i="21"/>
  <c r="B37" i="23"/>
  <c r="M11" i="22"/>
  <c r="F22" i="23"/>
  <c r="J21" i="23"/>
  <c r="E14" i="22"/>
  <c r="P13" i="22"/>
  <c r="C11" i="18"/>
  <c r="O37" i="23"/>
  <c r="F8" i="20"/>
  <c r="I32" i="23"/>
  <c r="K37" i="23"/>
  <c r="L7" i="16"/>
  <c r="M29" i="23"/>
  <c r="C25" i="23"/>
  <c r="E8" i="18"/>
  <c r="I12" i="22"/>
  <c r="O10" i="21"/>
  <c r="E8" i="17"/>
  <c r="D26" i="23"/>
  <c r="H5" i="21"/>
  <c r="J4" i="21"/>
  <c r="K5" i="21"/>
  <c r="M12" i="22"/>
  <c r="D36" i="23"/>
  <c r="E14" i="23"/>
  <c r="N29" i="23"/>
  <c r="D37" i="23"/>
  <c r="K7" i="18"/>
  <c r="O12" i="22"/>
  <c r="P5" i="22"/>
  <c r="J38" i="23"/>
  <c r="G10" i="20"/>
  <c r="D11" i="20"/>
  <c r="H31" i="23"/>
  <c r="D22" i="23"/>
  <c r="K10" i="16"/>
  <c r="I5" i="22"/>
  <c r="D11" i="19"/>
  <c r="M4" i="19"/>
  <c r="J7" i="17"/>
  <c r="B31" i="23"/>
  <c r="D11" i="21"/>
  <c r="F11" i="21"/>
  <c r="I11" i="20"/>
  <c r="I11" i="18"/>
  <c r="K15" i="22"/>
  <c r="I7" i="21"/>
  <c r="F10" i="22"/>
  <c r="H20" i="23"/>
  <c r="N11" i="20"/>
  <c r="D10" i="21"/>
  <c r="O11" i="18"/>
  <c r="K11" i="18"/>
  <c r="D5" i="8"/>
  <c r="E8" i="21"/>
  <c r="G22" i="23"/>
  <c r="I13" i="22"/>
  <c r="K10" i="17"/>
  <c r="M7" i="17"/>
  <c r="F39" i="23"/>
  <c r="F4" i="8"/>
  <c r="O4" i="19"/>
  <c r="M39" i="23"/>
  <c r="I3" i="8"/>
  <c r="D2" i="19"/>
  <c r="F5" i="20"/>
  <c r="O8" i="20"/>
  <c r="N10" i="20"/>
  <c r="I7" i="19"/>
  <c r="E8" i="22"/>
  <c r="H11" i="18"/>
  <c r="I10" i="21"/>
  <c r="F10" i="18"/>
  <c r="K8" i="17"/>
  <c r="E15" i="22"/>
  <c r="N39" i="23"/>
  <c r="L15" i="22"/>
  <c r="E8" i="20"/>
  <c r="H8" i="19"/>
  <c r="D11" i="16"/>
  <c r="K21" i="23"/>
  <c r="D8" i="18"/>
  <c r="D39" i="23"/>
  <c r="E38" i="23"/>
  <c r="J6" i="22"/>
  <c r="I33" i="23"/>
  <c r="D32" i="23"/>
  <c r="M8" i="17"/>
  <c r="I31" i="23"/>
  <c r="F11" i="16"/>
  <c r="K13" i="22"/>
  <c r="M37" i="23"/>
  <c r="I7" i="16"/>
  <c r="L14" i="22"/>
  <c r="F5" i="21"/>
  <c r="H36" i="23"/>
  <c r="O2" i="19"/>
  <c r="G11" i="20"/>
  <c r="E7" i="19"/>
  <c r="M10" i="20"/>
  <c r="F7" i="17"/>
  <c r="H7" i="16"/>
  <c r="E11" i="18"/>
  <c r="C8" i="17"/>
  <c r="G33" i="23"/>
  <c r="F11" i="17"/>
  <c r="J11" i="19"/>
  <c r="L7" i="18"/>
  <c r="C21" i="23"/>
  <c r="K8" i="21"/>
  <c r="B9" i="10"/>
  <c r="G4" i="21"/>
  <c r="O11" i="21"/>
  <c r="N10" i="18"/>
  <c r="G20" i="23"/>
  <c r="J7" i="20"/>
  <c r="H33" i="23"/>
  <c r="K33" i="23"/>
  <c r="N5" i="19"/>
  <c r="G37" i="23"/>
  <c r="L27" i="23"/>
  <c r="J8" i="17"/>
  <c r="G36" i="23"/>
  <c r="O10" i="19"/>
  <c r="H10" i="17"/>
  <c r="N38" i="23"/>
  <c r="E26" i="23"/>
  <c r="G11" i="16"/>
  <c r="O10" i="20"/>
  <c r="I2" i="19"/>
  <c r="G7" i="19"/>
  <c r="L8" i="17"/>
  <c r="O39" i="23"/>
  <c r="K14" i="22"/>
  <c r="M3" i="22"/>
  <c r="C7" i="20"/>
  <c r="D6" i="23"/>
  <c r="C11" i="21"/>
  <c r="K6" i="22"/>
  <c r="F7" i="22"/>
  <c r="F20" i="23"/>
  <c r="D21" i="23"/>
  <c r="E7" i="18"/>
  <c r="E11" i="23"/>
  <c r="G5" i="8"/>
  <c r="K5" i="19"/>
  <c r="K7" i="17"/>
  <c r="E7" i="17"/>
  <c r="M8" i="18"/>
  <c r="G10" i="17"/>
  <c r="L29" i="23"/>
  <c r="O8" i="22"/>
  <c r="H5" i="19"/>
  <c r="J9" i="22"/>
  <c r="L12" i="22"/>
  <c r="F36" i="23"/>
  <c r="I5" i="21"/>
  <c r="L22" i="23"/>
  <c r="F5" i="22"/>
  <c r="F11" i="20"/>
  <c r="O5" i="19"/>
  <c r="N7" i="20"/>
  <c r="E13" i="22"/>
  <c r="D10" i="20"/>
  <c r="B21" i="23"/>
  <c r="P38" i="23"/>
  <c r="L8" i="18"/>
  <c r="O7" i="20"/>
  <c r="F8" i="17"/>
  <c r="I14" i="22"/>
  <c r="C30" i="23"/>
  <c r="K38" i="23"/>
  <c r="M11" i="17"/>
  <c r="J4" i="22"/>
  <c r="F5" i="19"/>
  <c r="J29" i="23"/>
  <c r="K5" i="20"/>
  <c r="F28" i="23"/>
  <c r="P12" i="22"/>
  <c r="F7" i="16"/>
  <c r="F10" i="20"/>
  <c r="J4" i="19"/>
  <c r="M8" i="21"/>
  <c r="C38" i="23"/>
  <c r="J7" i="21"/>
  <c r="C10" i="20"/>
  <c r="K7" i="20"/>
  <c r="L28" i="23"/>
  <c r="F32" i="23"/>
  <c r="D38" i="23"/>
  <c r="N7" i="16"/>
  <c r="M6" i="22"/>
  <c r="M5" i="20"/>
  <c r="M9" i="22"/>
  <c r="M7" i="19"/>
  <c r="O13" i="22"/>
  <c r="O7" i="22"/>
  <c r="C10" i="17"/>
  <c r="D5" i="19"/>
  <c r="B20" i="23"/>
  <c r="G5" i="19"/>
  <c r="M11" i="20"/>
  <c r="O6" i="22"/>
  <c r="C32" i="23"/>
  <c r="K32" i="23"/>
  <c r="M10" i="17"/>
  <c r="C36" i="23"/>
  <c r="K20" i="23"/>
  <c r="F7" i="21"/>
  <c r="N11" i="18"/>
  <c r="J8" i="22"/>
  <c r="F7" i="19"/>
  <c r="O10" i="18"/>
  <c r="H8" i="16"/>
  <c r="D10" i="19"/>
  <c r="D8" i="10"/>
  <c r="D28" i="23"/>
  <c r="J28" i="23"/>
  <c r="E5" i="8"/>
  <c r="E7" i="16"/>
  <c r="B8" i="10"/>
  <c r="M4" i="22"/>
  <c r="M10" i="22"/>
  <c r="N8" i="20"/>
  <c r="B27" i="23"/>
  <c r="O11" i="17"/>
  <c r="D10" i="16"/>
  <c r="N8" i="16"/>
  <c r="H4" i="22"/>
  <c r="P10" i="22"/>
  <c r="J10" i="17"/>
  <c r="I36" i="23"/>
  <c r="J10" i="22"/>
  <c r="E10" i="16"/>
  <c r="I11" i="22"/>
  <c r="G31" i="23"/>
  <c r="D29" i="23"/>
  <c r="P6" i="22"/>
  <c r="N7" i="21"/>
  <c r="O7" i="16"/>
  <c r="E10" i="23"/>
  <c r="I5" i="8"/>
  <c r="G7" i="20"/>
  <c r="H2" i="8"/>
  <c r="E21" i="23"/>
  <c r="D11" i="17"/>
  <c r="G27" i="23"/>
  <c r="N31" i="23"/>
  <c r="F5" i="8"/>
  <c r="E23" i="23"/>
  <c r="H10" i="18"/>
  <c r="D31" i="23"/>
  <c r="D8" i="21"/>
  <c r="M15" i="22"/>
  <c r="F4" i="20"/>
  <c r="G4" i="20"/>
  <c r="M10" i="16"/>
  <c r="E7" i="22"/>
  <c r="L7" i="22"/>
  <c r="L32" i="23"/>
  <c r="E29" i="23"/>
  <c r="M20" i="23"/>
  <c r="B36" i="23"/>
  <c r="G7" i="17"/>
  <c r="F11" i="22"/>
  <c r="E9" i="23"/>
  <c r="K11" i="16"/>
  <c r="E25" i="23"/>
  <c r="I10" i="18"/>
  <c r="D7" i="16"/>
  <c r="F10" i="17"/>
  <c r="G21" i="23"/>
  <c r="J8" i="18"/>
  <c r="O10" i="22"/>
  <c r="N36" i="23"/>
  <c r="G8" i="21"/>
  <c r="C26" i="23"/>
  <c r="J11" i="18"/>
  <c r="G4" i="22"/>
  <c r="O36" i="23"/>
  <c r="L36" i="23"/>
  <c r="C3" i="8"/>
  <c r="J8" i="16"/>
  <c r="O14" i="22"/>
  <c r="N4" i="22"/>
  <c r="D8" i="16"/>
  <c r="I11" i="17"/>
  <c r="N8" i="17"/>
  <c r="G3" i="8"/>
  <c r="E24" i="23"/>
  <c r="G8" i="18"/>
  <c r="F8" i="18"/>
  <c r="I10" i="16"/>
  <c r="D2" i="8"/>
  <c r="P8" i="22"/>
  <c r="B29" i="23"/>
  <c r="H37" i="23"/>
  <c r="J7" i="16"/>
  <c r="G10" i="18"/>
  <c r="G4" i="8"/>
  <c r="D24" i="23"/>
  <c r="C7" i="16"/>
  <c r="N10" i="16"/>
  <c r="J11" i="21"/>
  <c r="F8" i="16"/>
  <c r="G5" i="20"/>
  <c r="I21" i="23"/>
  <c r="H3" i="8"/>
  <c r="L9" i="22"/>
  <c r="M27" i="23"/>
  <c r="K8" i="16"/>
  <c r="C10" i="21"/>
  <c r="P7" i="22"/>
  <c r="K10" i="18"/>
  <c r="K4" i="21"/>
  <c r="K5" i="22"/>
  <c r="N21" i="23"/>
  <c r="J5" i="22"/>
  <c r="B2" i="8"/>
  <c r="N5" i="22"/>
  <c r="N15" i="22"/>
  <c r="N8" i="22"/>
  <c r="M14" i="22"/>
  <c r="N5" i="20"/>
  <c r="F4" i="19"/>
  <c r="M36" i="23"/>
  <c r="L7" i="20"/>
  <c r="I8" i="21"/>
  <c r="M8" i="16"/>
  <c r="F38" i="23"/>
  <c r="I10" i="17"/>
  <c r="J11" i="20"/>
  <c r="J15" i="22"/>
  <c r="M10" i="19"/>
  <c r="I7" i="20"/>
  <c r="E11" i="21"/>
  <c r="E7" i="20"/>
  <c r="M7" i="16"/>
  <c r="L11" i="20"/>
  <c r="I5" i="19"/>
  <c r="C9" i="10"/>
  <c r="H4" i="8"/>
  <c r="N7" i="18"/>
  <c r="E20" i="23"/>
  <c r="H7" i="18"/>
  <c r="J11" i="17"/>
  <c r="K30" i="23"/>
  <c r="G39" i="23"/>
  <c r="G2" i="8"/>
  <c r="F10" i="19"/>
  <c r="F2" i="19"/>
  <c r="O4" i="20"/>
  <c r="N6" i="22"/>
  <c r="D9" i="23"/>
  <c r="E8" i="19"/>
  <c r="L5" i="21"/>
  <c r="D30" i="23"/>
  <c r="M31" i="23"/>
  <c r="L11" i="22"/>
  <c r="B22" i="23"/>
  <c r="M5" i="19"/>
  <c r="E15" i="23"/>
  <c r="M11" i="19"/>
  <c r="K10" i="21"/>
  <c r="F12" i="22"/>
  <c r="E11" i="22"/>
  <c r="E7" i="23"/>
  <c r="J13" i="22"/>
  <c r="F8" i="19"/>
  <c r="H32" i="23"/>
  <c r="L4" i="20"/>
  <c r="E28" i="23"/>
  <c r="J11" i="16"/>
  <c r="F7" i="18"/>
  <c r="F11" i="19"/>
  <c r="H6" i="22"/>
  <c r="C33" i="23"/>
  <c r="J20" i="23"/>
  <c r="E30" i="23"/>
  <c r="N11" i="19"/>
  <c r="L11" i="17"/>
  <c r="L30" i="23"/>
  <c r="K11" i="20"/>
  <c r="K2" i="19"/>
  <c r="N13" i="22"/>
  <c r="H27" i="23"/>
  <c r="P36" i="23"/>
  <c r="G11" i="21"/>
  <c r="G4" i="19"/>
  <c r="K31" i="23"/>
  <c r="C10" i="14"/>
  <c r="E2" i="8"/>
  <c r="N33" i="23"/>
  <c r="N3" i="22"/>
  <c r="E6" i="23"/>
  <c r="L39" i="23"/>
  <c r="D7" i="18"/>
  <c r="J31" i="23"/>
  <c r="D7" i="21"/>
  <c r="J11" i="22"/>
  <c r="E5" i="21"/>
  <c r="L21" i="23"/>
  <c r="O8" i="17"/>
  <c r="F14" i="22"/>
  <c r="F29" i="23"/>
  <c r="C11" i="19"/>
  <c r="F15" i="22"/>
  <c r="E39" i="23"/>
  <c r="H21" i="23"/>
  <c r="K12" i="22"/>
  <c r="H5" i="8"/>
  <c r="G8" i="17"/>
  <c r="H11" i="17"/>
  <c r="J5" i="20"/>
  <c r="I8" i="20"/>
  <c r="C27" i="23"/>
  <c r="L6" i="22"/>
  <c r="G10" i="21"/>
  <c r="C7" i="17"/>
  <c r="O8" i="19"/>
  <c r="N10" i="21"/>
  <c r="E22" i="23"/>
  <c r="O5" i="21"/>
  <c r="M5" i="21"/>
  <c r="E12" i="22"/>
  <c r="M10" i="21"/>
  <c r="D25" i="23"/>
  <c r="I8" i="17"/>
  <c r="K10" i="22"/>
  <c r="P9" i="22"/>
  <c r="D10" i="17"/>
  <c r="F2" i="8"/>
  <c r="I38" i="23"/>
  <c r="C5" i="21"/>
  <c r="M28" i="23"/>
  <c r="H7" i="21"/>
  <c r="C8" i="19"/>
  <c r="L38" i="23"/>
  <c r="D33" i="23"/>
  <c r="G10" i="16"/>
  <c r="O11" i="16"/>
  <c r="B32" i="23"/>
  <c r="O11" i="22"/>
  <c r="I15" i="22"/>
  <c r="K28" i="23"/>
  <c r="D7" i="20"/>
  <c r="E10" i="17"/>
  <c r="O5" i="22"/>
  <c r="C22" i="23"/>
  <c r="L7" i="21"/>
  <c r="D4" i="19"/>
  <c r="L4" i="21"/>
  <c r="C20" i="23"/>
  <c r="F10" i="16"/>
  <c r="F6" i="22"/>
  <c r="D3" i="8"/>
  <c r="O8" i="21"/>
  <c r="M30" i="23"/>
  <c r="H29" i="23"/>
  <c r="N11" i="22"/>
  <c r="K10" i="20"/>
  <c r="C10" i="16"/>
  <c r="D7" i="17"/>
  <c r="J7" i="18"/>
  <c r="G10" i="19"/>
  <c r="O10" i="17"/>
  <c r="O7" i="17"/>
  <c r="E13" i="23"/>
  <c r="J10" i="21"/>
  <c r="O10" i="16"/>
  <c r="K8" i="19"/>
  <c r="L10" i="16"/>
  <c r="O8" i="16"/>
  <c r="H22" i="23"/>
  <c r="K8" i="18"/>
  <c r="L4" i="19"/>
  <c r="L8" i="22"/>
  <c r="F11" i="18"/>
  <c r="C29" i="23"/>
  <c r="I10" i="22"/>
  <c r="G5" i="21"/>
  <c r="B3" i="8"/>
  <c r="K29" i="23"/>
  <c r="E11" i="17"/>
  <c r="G29" i="23"/>
  <c r="M4" i="21"/>
  <c r="D10" i="18"/>
  <c r="D11" i="18"/>
  <c r="K11" i="21"/>
  <c r="E5" i="22"/>
  <c r="I7" i="18"/>
  <c r="B5" i="8"/>
  <c r="L5" i="20"/>
  <c r="N8" i="18"/>
  <c r="I11" i="21"/>
  <c r="G7" i="21"/>
  <c r="C31" i="23"/>
  <c r="N10" i="22"/>
  <c r="J7" i="19"/>
  <c r="O7" i="21"/>
  <c r="C7" i="19"/>
  <c r="C37" i="23"/>
  <c r="M7" i="21"/>
  <c r="K8" i="22"/>
  <c r="P15" i="22"/>
  <c r="I37" i="23"/>
  <c r="M22" i="23"/>
  <c r="L4" i="22"/>
  <c r="J8" i="21"/>
  <c r="I29" i="23"/>
  <c r="L11" i="19"/>
  <c r="H38" i="23"/>
  <c r="C2" i="19"/>
  <c r="H4" i="20"/>
  <c r="H7" i="19"/>
  <c r="L33" i="23"/>
  <c r="I4" i="21"/>
  <c r="K11" i="17"/>
  <c r="O11" i="19"/>
  <c r="C24" i="23"/>
  <c r="M33" i="23"/>
  <c r="H11" i="21"/>
  <c r="K7" i="22"/>
  <c r="N37" i="23"/>
  <c r="I8" i="22"/>
  <c r="E4" i="8"/>
  <c r="M11" i="16"/>
  <c r="H11" i="19"/>
  <c r="L11" i="18"/>
  <c r="D5" i="20"/>
  <c r="C2" i="8"/>
  <c r="J10" i="16"/>
  <c r="M11" i="18"/>
  <c r="J39" i="23"/>
  <c r="E11" i="20"/>
  <c r="I20" i="23"/>
  <c r="K39" i="23"/>
  <c r="K7" i="19"/>
  <c r="F8" i="21"/>
  <c r="E3" i="8"/>
  <c r="E11" i="19"/>
  <c r="D23" i="23"/>
  <c r="N5" i="21"/>
  <c r="C8" i="20"/>
  <c r="N12" i="22"/>
  <c r="I10" i="19"/>
  <c r="K4" i="19"/>
  <c r="E32" i="23"/>
  <c r="F4" i="22"/>
  <c r="O38" i="23"/>
  <c r="O15" i="22"/>
  <c r="G30" i="23"/>
  <c r="H5" i="20"/>
  <c r="D7" i="10"/>
  <c r="M32" i="23"/>
  <c r="I39" i="23"/>
  <c r="C10" i="18"/>
  <c r="J30" i="23"/>
  <c r="G5" i="22"/>
  <c r="J10" i="18"/>
  <c r="N11" i="21"/>
  <c r="P14" i="22"/>
  <c r="E10" i="18"/>
  <c r="K27" i="23"/>
  <c r="C8" i="18"/>
  <c r="H11" i="16"/>
  <c r="G11" i="19"/>
  <c r="E6" i="22"/>
  <c r="P39" i="23"/>
  <c r="C7" i="21"/>
  <c r="D4" i="8"/>
  <c r="O4" i="21"/>
  <c r="C11" i="16"/>
  <c r="F21" i="23"/>
  <c r="P37" i="23"/>
  <c r="H10" i="16"/>
  <c r="E11" i="16"/>
  <c r="D8" i="23"/>
  <c r="C4" i="21"/>
  <c r="I30" i="23"/>
  <c r="J10" i="19"/>
  <c r="I4" i="22"/>
  <c r="C7" i="10"/>
  <c r="O3" i="22"/>
  <c r="E10" i="22"/>
  <c r="N30" i="23"/>
  <c r="G32" i="23"/>
  <c r="F30" i="23"/>
  <c r="C8" i="21"/>
  <c r="M10" i="18"/>
  <c r="H5" i="22"/>
  <c r="N32" i="23"/>
  <c r="E9" i="22"/>
  <c r="P3" i="22"/>
  <c r="N7" i="17"/>
  <c r="G6" i="22"/>
  <c r="D20" i="23"/>
  <c r="J37" i="23"/>
  <c r="L8" i="16"/>
  <c r="N22" i="23"/>
  <c r="N4" i="19"/>
  <c r="E4" i="22"/>
  <c r="I27" i="23"/>
  <c r="E31" i="23"/>
  <c r="H30" i="23"/>
  <c r="O5" i="20"/>
  <c r="J4" i="20"/>
  <c r="B38" i="23"/>
  <c r="N7" i="19"/>
  <c r="J5" i="21"/>
  <c r="J14" i="22"/>
  <c r="E33" i="23"/>
  <c r="N10" i="19"/>
  <c r="E10" i="21"/>
  <c r="P11" i="22"/>
  <c r="M11" i="21"/>
  <c r="L10" i="19"/>
  <c r="C39" i="23"/>
  <c r="K36" i="23"/>
  <c r="L10" i="21"/>
  <c r="B39" i="23"/>
  <c r="M7" i="18"/>
  <c r="L13" i="22"/>
  <c r="E4" i="19"/>
  <c r="G8" i="20"/>
  <c r="N11" i="17"/>
  <c r="L7" i="17"/>
  <c r="D3" i="7" l="1"/>
  <c r="F3" i="7"/>
  <c r="D3" i="6"/>
  <c r="F3" i="6"/>
  <c r="I7" i="14"/>
  <c r="M7" i="14"/>
  <c r="F2" i="4"/>
  <c r="C7" i="15" s="1"/>
  <c r="D7" i="14"/>
  <c r="E7" i="14"/>
  <c r="D7" i="15"/>
  <c r="L7" i="14"/>
  <c r="G7" i="14"/>
  <c r="K7" i="14"/>
  <c r="O7" i="14"/>
  <c r="H7" i="14"/>
  <c r="G7" i="15"/>
  <c r="J7" i="14"/>
  <c r="N7" i="15"/>
  <c r="D2" i="4"/>
  <c r="C7" i="14" s="1"/>
  <c r="H7" i="15"/>
  <c r="M7" i="15"/>
  <c r="F7" i="14"/>
  <c r="L7" i="15"/>
  <c r="N7" i="14"/>
  <c r="F7" i="15"/>
  <c r="K7" i="15"/>
  <c r="O7" i="15"/>
  <c r="E7" i="15"/>
  <c r="I7" i="15"/>
  <c r="J7" i="15"/>
  <c r="D2" i="5"/>
  <c r="F2" i="5"/>
  <c r="D3" i="5"/>
  <c r="F3" i="5"/>
  <c r="F2" i="6"/>
  <c r="D2" i="6"/>
  <c r="F2" i="7"/>
  <c r="D2" i="7"/>
  <c r="N8" i="14"/>
  <c r="G8" i="15"/>
  <c r="I8" i="15"/>
  <c r="E8" i="14"/>
  <c r="H8" i="14"/>
  <c r="G8" i="14"/>
  <c r="J8" i="15"/>
  <c r="E8" i="15"/>
  <c r="L8" i="14"/>
  <c r="L8" i="15"/>
  <c r="N8" i="15"/>
  <c r="K8" i="15"/>
  <c r="D8" i="15"/>
  <c r="F3" i="4"/>
  <c r="C8" i="15" s="1"/>
  <c r="K8" i="14"/>
  <c r="D8" i="14"/>
  <c r="M8" i="15"/>
  <c r="F8" i="14"/>
  <c r="F8" i="15"/>
  <c r="J8" i="14"/>
  <c r="O8" i="14"/>
  <c r="H8" i="15"/>
  <c r="D3" i="4"/>
  <c r="C8" i="14" s="1"/>
  <c r="I8" i="14"/>
  <c r="O8" i="15"/>
  <c r="M8" i="14"/>
</calcChain>
</file>

<file path=xl/sharedStrings.xml><?xml version="1.0" encoding="utf-8"?>
<sst xmlns="http://schemas.openxmlformats.org/spreadsheetml/2006/main" count="247" uniqueCount="62">
  <si>
    <t>ASK</t>
  </si>
  <si>
    <t>BID</t>
  </si>
  <si>
    <t>Annualised Premium %</t>
  </si>
  <si>
    <t>Outright Rate</t>
  </si>
  <si>
    <t>Forward Premium</t>
  </si>
  <si>
    <t>End Date</t>
  </si>
  <si>
    <t>Description</t>
  </si>
  <si>
    <t>USDJPY</t>
  </si>
  <si>
    <t>GBPUSD</t>
  </si>
  <si>
    <t>EURUSD</t>
  </si>
  <si>
    <t>JPYINR</t>
  </si>
  <si>
    <t>GBPINR</t>
  </si>
  <si>
    <t>EURINR</t>
  </si>
  <si>
    <t>USDINR</t>
  </si>
  <si>
    <t>Currency</t>
  </si>
  <si>
    <t>52 Week Low</t>
  </si>
  <si>
    <t>52 Week High</t>
  </si>
  <si>
    <t>Prv. Close</t>
  </si>
  <si>
    <t>Low</t>
  </si>
  <si>
    <t>High</t>
  </si>
  <si>
    <t>Open</t>
  </si>
  <si>
    <t>% Change</t>
  </si>
  <si>
    <t>JPY</t>
  </si>
  <si>
    <t>GBP</t>
  </si>
  <si>
    <t>Ask</t>
  </si>
  <si>
    <t>EUR</t>
  </si>
  <si>
    <t>Bid</t>
  </si>
  <si>
    <t>USD</t>
  </si>
  <si>
    <t>Tom Rate</t>
  </si>
  <si>
    <t>Tom</t>
  </si>
  <si>
    <t>Cash Rate</t>
  </si>
  <si>
    <t>Cash</t>
  </si>
  <si>
    <t>Spot</t>
  </si>
  <si>
    <t>12M</t>
  </si>
  <si>
    <t>6M</t>
  </si>
  <si>
    <t>3M</t>
  </si>
  <si>
    <t>1M</t>
  </si>
  <si>
    <t>2M</t>
  </si>
  <si>
    <t>4M</t>
  </si>
  <si>
    <t>5M</t>
  </si>
  <si>
    <t>9M</t>
  </si>
  <si>
    <t>Currency Pair</t>
  </si>
  <si>
    <t>SPOT</t>
  </si>
  <si>
    <t>7M</t>
  </si>
  <si>
    <t>8M</t>
  </si>
  <si>
    <t>10M</t>
  </si>
  <si>
    <t>11M</t>
  </si>
  <si>
    <t>BID (Export)</t>
  </si>
  <si>
    <t>ASK (Import)</t>
  </si>
  <si>
    <t>BID
(Export)</t>
  </si>
  <si>
    <t>ASK
(Import)</t>
  </si>
  <si>
    <t>Bid (Export)</t>
  </si>
  <si>
    <t>Ask (Import)</t>
  </si>
  <si>
    <t>Days</t>
  </si>
  <si>
    <t>Close</t>
  </si>
  <si>
    <t>Spot Rate</t>
  </si>
  <si>
    <t>O/N</t>
  </si>
  <si>
    <t>1W</t>
  </si>
  <si>
    <t>2W</t>
  </si>
  <si>
    <t>TABLE FOR HISTORICAL SPOT</t>
  </si>
  <si>
    <t>TABLE FOR HISTORICAL FORWARD</t>
  </si>
  <si>
    <t>TABLE FOR HISTORICAL LIBOR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</si>
</sst>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6" formatCode="dd\-mmm\-yyyy"/>
    <numFmt numFmtId="167" formatCode="mmm\-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indexed="8"/>
      <name val="Calibri"/>
      <family val="2"/>
    </font>
    <font>
      <sz val="8"/>
      <color indexed="8"/>
      <name val="Calibri"/>
      <family val="2"/>
      <scheme val="minor"/>
    </font>
    <font>
      <sz val="8"/>
      <color rgb="FF000000"/>
      <name val="Calibri"/>
      <family val="2"/>
      <scheme val="minor"/>
    </font>
    <font>
      <sz val="9"/>
      <color indexed="8"/>
      <name val="Calibri"/>
      <family val="2"/>
    </font>
    <font>
      <b/>
      <sz val="8"/>
      <color rgb="FF00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indexed="8"/>
      <name val="Verdana"/>
      <family val="2"/>
    </font>
    <font>
      <sz val="8"/>
      <color rgb="FF00000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7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Fill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/>
    </xf>
    <xf numFmtId="164" fontId="0" fillId="0" borderId="0" xfId="0" applyNumberFormat="1" applyBorder="1"/>
    <xf numFmtId="164" fontId="0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164" fontId="0" fillId="0" borderId="0" xfId="0" applyNumberFormat="1" applyBorder="1" applyAlignment="1">
      <alignment horizontal="right" vertical="center"/>
    </xf>
    <xf numFmtId="2" fontId="0" fillId="0" borderId="0" xfId="0" applyNumberFormat="1" applyBorder="1" applyAlignment="1">
      <alignment horizontal="right" vertical="center"/>
    </xf>
    <xf numFmtId="165" fontId="0" fillId="0" borderId="0" xfId="0" applyNumberFormat="1" applyBorder="1" applyAlignment="1">
      <alignment horizontal="right" vertical="center"/>
    </xf>
    <xf numFmtId="165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4" fontId="0" fillId="0" borderId="13" xfId="0" applyNumberFormat="1" applyFont="1" applyBorder="1" applyAlignment="1">
      <alignment horizontal="center" vertical="center"/>
    </xf>
    <xf numFmtId="164" fontId="0" fillId="0" borderId="9" xfId="0" applyNumberFormat="1" applyFont="1" applyFill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/>
    <xf numFmtId="0" fontId="1" fillId="0" borderId="0" xfId="1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Alignment="1">
      <alignment horizontal="right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2" fillId="0" borderId="7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164" fontId="7" fillId="0" borderId="0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2" fontId="8" fillId="0" borderId="0" xfId="0" applyNumberFormat="1" applyFont="1" applyFill="1" applyBorder="1" applyAlignment="1" applyProtection="1">
      <alignment horizontal="center" vertical="center"/>
    </xf>
    <xf numFmtId="2" fontId="7" fillId="0" borderId="4" xfId="0" applyNumberFormat="1" applyFont="1" applyFill="1" applyBorder="1" applyAlignment="1" applyProtection="1">
      <alignment horizontal="center" vertical="center"/>
    </xf>
    <xf numFmtId="164" fontId="7" fillId="0" borderId="4" xfId="0" applyNumberFormat="1" applyFont="1" applyFill="1" applyBorder="1" applyAlignment="1" applyProtection="1">
      <alignment horizontal="center"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0" borderId="1" xfId="0" applyNumberFormat="1" applyFont="1" applyFill="1" applyBorder="1" applyAlignment="1" applyProtection="1">
      <alignment horizontal="center" vertical="center"/>
    </xf>
    <xf numFmtId="166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0" fontId="7" fillId="0" borderId="7" xfId="0" applyNumberFormat="1" applyFont="1" applyFill="1" applyBorder="1" applyAlignment="1" applyProtection="1">
      <alignment horizontal="center" vertical="center"/>
    </xf>
    <xf numFmtId="0" fontId="7" fillId="0" borderId="6" xfId="0" applyNumberFormat="1" applyFont="1" applyFill="1" applyBorder="1" applyAlignment="1" applyProtection="1">
      <alignment horizontal="center" vertical="center"/>
    </xf>
    <xf numFmtId="166" fontId="7" fillId="0" borderId="4" xfId="0" applyNumberFormat="1" applyFont="1" applyFill="1" applyBorder="1" applyAlignment="1" applyProtection="1">
      <alignment horizontal="center" vertical="center"/>
    </xf>
    <xf numFmtId="167" fontId="7" fillId="0" borderId="7" xfId="0" applyNumberFormat="1" applyFont="1" applyFill="1" applyBorder="1" applyAlignment="1" applyProtection="1">
      <alignment horizontal="center" vertical="center"/>
    </xf>
    <xf numFmtId="167" fontId="7" fillId="0" borderId="6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1" fillId="0" borderId="26" xfId="1" applyFont="1" applyBorder="1" applyAlignment="1">
      <alignment horizontal="center" vertical="center"/>
    </xf>
    <xf numFmtId="0" fontId="0" fillId="0" borderId="0" xfId="0"/>
    <xf numFmtId="2" fontId="7" fillId="0" borderId="27" xfId="0" applyNumberFormat="1" applyFont="1" applyFill="1" applyBorder="1" applyAlignment="1" applyProtection="1">
      <alignment horizontal="center" vertical="center"/>
    </xf>
    <xf numFmtId="0" fontId="1" fillId="0" borderId="28" xfId="1" applyFont="1" applyBorder="1" applyAlignment="1">
      <alignment horizontal="center" vertical="center"/>
    </xf>
    <xf numFmtId="2" fontId="7" fillId="0" borderId="29" xfId="0" applyNumberFormat="1" applyFont="1" applyFill="1" applyBorder="1" applyAlignment="1" applyProtection="1">
      <alignment horizontal="center" vertical="center"/>
    </xf>
    <xf numFmtId="2" fontId="7" fillId="0" borderId="30" xfId="0" applyNumberFormat="1" applyFont="1" applyFill="1" applyBorder="1" applyAlignment="1" applyProtection="1">
      <alignment horizontal="center" vertical="center"/>
    </xf>
    <xf numFmtId="0" fontId="1" fillId="0" borderId="31" xfId="1" applyFont="1" applyBorder="1" applyAlignment="1">
      <alignment horizontal="center" vertical="center"/>
    </xf>
    <xf numFmtId="164" fontId="7" fillId="0" borderId="17" xfId="0" applyNumberFormat="1" applyFont="1" applyFill="1" applyBorder="1" applyAlignment="1" applyProtection="1">
      <alignment horizontal="center" vertical="center"/>
    </xf>
    <xf numFmtId="164" fontId="7" fillId="0" borderId="16" xfId="0" applyNumberFormat="1" applyFont="1" applyFill="1" applyBorder="1" applyAlignment="1" applyProtection="1">
      <alignment horizontal="center" vertical="center"/>
    </xf>
    <xf numFmtId="164" fontId="7" fillId="0" borderId="32" xfId="0" applyNumberFormat="1" applyFont="1" applyFill="1" applyBorder="1" applyAlignment="1" applyProtection="1">
      <alignment horizontal="center" vertical="center"/>
    </xf>
    <xf numFmtId="2" fontId="7" fillId="0" borderId="3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34" xfId="0" applyNumberFormat="1" applyFont="1" applyFill="1" applyBorder="1" applyAlignment="1" applyProtection="1">
      <alignment horizontal="center" vertical="center"/>
    </xf>
    <xf numFmtId="2" fontId="7" fillId="0" borderId="14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11" xfId="0" applyNumberFormat="1" applyFont="1" applyFill="1" applyBorder="1" applyAlignment="1" applyProtection="1">
      <alignment horizontal="center" vertical="center"/>
    </xf>
    <xf numFmtId="2" fontId="7" fillId="0" borderId="35" xfId="0" applyNumberFormat="1" applyFont="1" applyFill="1" applyBorder="1" applyAlignment="1" applyProtection="1">
      <alignment horizontal="center" vertical="center"/>
    </xf>
    <xf numFmtId="2" fontId="7" fillId="0" borderId="36" xfId="0" applyNumberFormat="1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>
      <alignment horizontal="center" vertical="center"/>
    </xf>
    <xf numFmtId="0" fontId="9" fillId="0" borderId="38" xfId="0" applyFont="1" applyFill="1" applyBorder="1" applyAlignment="1">
      <alignment horizontal="center" vertical="center"/>
    </xf>
    <xf numFmtId="0" fontId="9" fillId="0" borderId="39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164" fontId="10" fillId="0" borderId="40" xfId="0" applyNumberFormat="1" applyFont="1" applyFill="1" applyBorder="1" applyAlignment="1" applyProtection="1">
      <alignment horizontal="center" vertical="center"/>
    </xf>
    <xf numFmtId="2" fontId="10" fillId="0" borderId="40" xfId="0" applyNumberFormat="1" applyFont="1" applyFill="1" applyBorder="1" applyAlignment="1" applyProtection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2" fillId="0" borderId="0" xfId="0" applyFont="1"/>
    <xf numFmtId="0" fontId="13" fillId="0" borderId="25" xfId="0" applyFont="1" applyBorder="1" applyAlignment="1">
      <alignment horizontal="center" vertical="center"/>
    </xf>
    <xf numFmtId="164" fontId="12" fillId="0" borderId="29" xfId="0" applyNumberFormat="1" applyFont="1" applyBorder="1" applyAlignment="1">
      <alignment horizontal="center" vertical="center"/>
    </xf>
    <xf numFmtId="164" fontId="12" fillId="0" borderId="41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12" fillId="0" borderId="40" xfId="0" applyNumberFormat="1" applyFont="1" applyBorder="1" applyAlignment="1">
      <alignment horizontal="center" vertical="center"/>
    </xf>
    <xf numFmtId="164" fontId="12" fillId="0" borderId="34" xfId="0" applyNumberFormat="1" applyFont="1" applyBorder="1" applyAlignment="1">
      <alignment horizontal="center" vertical="center"/>
    </xf>
    <xf numFmtId="2" fontId="12" fillId="0" borderId="40" xfId="0" applyNumberFormat="1" applyFont="1" applyBorder="1" applyAlignment="1">
      <alignment horizontal="center" vertical="center"/>
    </xf>
    <xf numFmtId="2" fontId="12" fillId="0" borderId="34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164" fontId="12" fillId="0" borderId="35" xfId="0" applyNumberFormat="1" applyFont="1" applyBorder="1" applyAlignment="1">
      <alignment horizontal="center" vertical="center"/>
    </xf>
    <xf numFmtId="164" fontId="12" fillId="0" borderId="3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4" fillId="2" borderId="29" xfId="0" applyNumberFormat="1" applyFont="1" applyFill="1" applyBorder="1" applyAlignment="1" applyProtection="1">
      <alignment horizontal="center" vertical="center"/>
    </xf>
    <xf numFmtId="0" fontId="14" fillId="2" borderId="29" xfId="0" applyNumberFormat="1" applyFont="1" applyFill="1" applyBorder="1" applyAlignment="1" applyProtection="1">
      <alignment horizontal="center" vertical="center"/>
    </xf>
    <xf numFmtId="164" fontId="15" fillId="2" borderId="29" xfId="0" applyNumberFormat="1" applyFont="1" applyFill="1" applyBorder="1" applyAlignment="1">
      <alignment horizontal="center" vertical="center"/>
    </xf>
    <xf numFmtId="164" fontId="15" fillId="2" borderId="41" xfId="0" applyNumberFormat="1" applyFont="1" applyFill="1" applyBorder="1" applyAlignment="1">
      <alignment horizontal="center" vertical="center"/>
    </xf>
    <xf numFmtId="0" fontId="14" fillId="2" borderId="40" xfId="0" applyNumberFormat="1" applyFont="1" applyFill="1" applyBorder="1" applyAlignment="1" applyProtection="1">
      <alignment horizontal="center" vertical="center"/>
    </xf>
    <xf numFmtId="164" fontId="14" fillId="2" borderId="40" xfId="0" applyNumberFormat="1" applyFont="1" applyFill="1" applyBorder="1" applyAlignment="1" applyProtection="1">
      <alignment horizontal="center" vertical="center"/>
    </xf>
    <xf numFmtId="164" fontId="14" fillId="2" borderId="34" xfId="0" applyNumberFormat="1" applyFont="1" applyFill="1" applyBorder="1" applyAlignment="1" applyProtection="1">
      <alignment horizontal="center" vertical="center"/>
    </xf>
    <xf numFmtId="2" fontId="14" fillId="2" borderId="40" xfId="0" applyNumberFormat="1" applyFont="1" applyFill="1" applyBorder="1" applyAlignment="1" applyProtection="1">
      <alignment horizontal="center" vertical="center"/>
    </xf>
    <xf numFmtId="2" fontId="14" fillId="2" borderId="34" xfId="0" applyNumberFormat="1" applyFont="1" applyFill="1" applyBorder="1" applyAlignment="1" applyProtection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165" fontId="12" fillId="0" borderId="43" xfId="0" applyNumberFormat="1" applyFont="1" applyBorder="1" applyAlignment="1">
      <alignment horizontal="center" vertical="center"/>
    </xf>
    <xf numFmtId="165" fontId="12" fillId="0" borderId="29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/>
    </xf>
    <xf numFmtId="165" fontId="12" fillId="0" borderId="41" xfId="0" applyNumberFormat="1" applyFont="1" applyBorder="1" applyAlignment="1">
      <alignment horizontal="center" vertical="center"/>
    </xf>
    <xf numFmtId="165" fontId="12" fillId="0" borderId="45" xfId="0" applyNumberFormat="1" applyFont="1" applyBorder="1" applyAlignment="1">
      <alignment horizontal="center" vertical="center"/>
    </xf>
    <xf numFmtId="165" fontId="12" fillId="0" borderId="40" xfId="0" applyNumberFormat="1" applyFont="1" applyBorder="1" applyAlignment="1">
      <alignment horizontal="center" vertical="center"/>
    </xf>
    <xf numFmtId="165" fontId="12" fillId="0" borderId="22" xfId="0" applyNumberFormat="1" applyFont="1" applyBorder="1" applyAlignment="1">
      <alignment horizontal="center" vertical="center"/>
    </xf>
    <xf numFmtId="165" fontId="12" fillId="0" borderId="34" xfId="0" applyNumberFormat="1" applyFont="1" applyBorder="1" applyAlignment="1">
      <alignment horizontal="center" vertical="center"/>
    </xf>
    <xf numFmtId="165" fontId="12" fillId="0" borderId="46" xfId="0" applyNumberFormat="1" applyFont="1" applyBorder="1" applyAlignment="1">
      <alignment horizontal="center" vertical="center"/>
    </xf>
    <xf numFmtId="165" fontId="12" fillId="0" borderId="35" xfId="0" applyNumberFormat="1" applyFon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165" fontId="12" fillId="0" borderId="36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49" fontId="3" fillId="0" borderId="47" xfId="0" applyNumberFormat="1" applyFont="1" applyBorder="1" applyAlignment="1">
      <alignment horizontal="center" vertical="center"/>
    </xf>
    <xf numFmtId="49" fontId="3" fillId="0" borderId="48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1" fillId="0" borderId="19" xfId="1" applyFont="1" applyBorder="1" applyAlignment="1">
      <alignment horizontal="center" vertical="center" wrapText="1"/>
    </xf>
    <xf numFmtId="0" fontId="1" fillId="0" borderId="18" xfId="1" applyFont="1" applyBorder="1" applyAlignment="1">
      <alignment horizontal="center" vertical="center" wrapText="1"/>
    </xf>
    <xf numFmtId="0" fontId="1" fillId="0" borderId="20" xfId="1" applyFont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</cellXfs>
  <cellStyles count="2">
    <cellStyle name="Normal" xfId="0" builtinId="0"/>
    <cellStyle name="Normal 4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ickerplantrtdserver">
      <tp t="s">
        <v>TN</v>
        <stp/>
        <stp>FWRC1#GBPUSD#Month Wise Rates#0#S#Desc.2</stp>
        <tr r="C1" s="20"/>
      </tp>
      <tp t="s">
        <v>1M</v>
        <stp/>
        <stp>FWRC1#GBPUSD#Month Wise Rates#0#S#Desc.7</stp>
        <tr r="D1" s="20"/>
      </tp>
      <tp t="s">
        <v>2M</v>
        <stp/>
        <stp>FWRC1#GBPUSD#Month Wise Rates#0#S#Desc.8</stp>
        <tr r="E1" s="20"/>
      </tp>
      <tp t="s">
        <v>3M</v>
        <stp/>
        <stp>FWRC1#GBPUSD#Month Wise Rates#0#S#Desc.9</stp>
        <tr r="F1" s="20"/>
      </tp>
      <tp t="s">
        <v>1M</v>
        <stp/>
        <stp>FWRC1#EURUSD#Month Wise Rates#0#S#Desc.7</stp>
        <tr r="D1" s="19"/>
      </tp>
      <tp t="s">
        <v>TN</v>
        <stp/>
        <stp>FWRC1#EURUSD#Month Wise Rates#0#S#Desc.2</stp>
        <tr r="C1" s="19"/>
      </tp>
      <tp t="s">
        <v>3M</v>
        <stp/>
        <stp>FWRC1#EURUSD#Month Wise Rates#0#S#Desc.9</stp>
        <tr r="F1" s="19"/>
      </tp>
      <tp t="s">
        <v>2M</v>
        <stp/>
        <stp>FWRC1#EURUSD#Month Wise Rates#0#S#Desc.8</stp>
        <tr r="E1" s="19"/>
      </tp>
      <tp>
        <v>0.14000000000000001</v>
        <stp/>
        <stp>12#2#1#6069#SUSDJPY#%Chg</stp>
        <tr r="D9" s="10"/>
      </tp>
      <tp>
        <v>134.989</v>
        <stp/>
        <stp>12#2#1#6069#SUSDJPY#LTP</stp>
        <tr r="E12" s="23"/>
      </tp>
      <tp>
        <v>134.60499999999999</v>
        <stp/>
        <stp>12#2#1#6069#SUSDJPY#Low</stp>
        <tr r="G9" s="10"/>
        <tr r="D12" s="23"/>
      </tp>
      <tp t="s">
        <v>USDJPY</v>
        <stp/>
        <stp>12#2#1#6069#SUSDJPY#S#Descr.</stp>
        <tr r="A29" s="23"/>
        <tr r="A12" s="23"/>
      </tp>
      <tp>
        <v>134.989</v>
        <stp/>
        <stp>12#2#1#6069#SUSDJPY#Bid</stp>
        <tr r="B9" s="10"/>
      </tp>
      <tp>
        <v>1.2666900000000001</v>
        <stp/>
        <stp>12#2#1#6031#SGBPUSD#52WkHigh</stp>
        <tr r="I8" s="10"/>
      </tp>
      <tp t="s">
        <v>12-Jun-2023</v>
        <stp/>
        <stp>FWRC1#USDJPY#Month Wise Rates#0#S#PillarDate7</stp>
        <tr r="D2" s="21"/>
      </tp>
      <tp t="s">
        <v>10-May-2023</v>
        <stp/>
        <stp>FWRC1#USDJPY#Month Wise Rates#0#S#PillarDate2</stp>
        <tr r="C2" s="21"/>
      </tp>
      <tp t="s">
        <v>10-Jul-2023</v>
        <stp/>
        <stp>FWRC1#USDJPY#Month Wise Rates#0#S#PillarDate8</stp>
        <tr r="E2" s="21"/>
      </tp>
      <tp t="s">
        <v>10-Aug-2023</v>
        <stp/>
        <stp>FWRC1#USDJPY#Month Wise Rates#0#S#PillarDate9</stp>
        <tr r="F2" s="21"/>
      </tp>
      <tp>
        <v>134.99199999999999</v>
        <stp/>
        <stp>12#2#1#6069#SUSDJPY#Ask</stp>
        <tr r="C9" s="10"/>
      </tp>
      <tp t="s">
        <v>31-Oct-2023</v>
        <stp/>
        <stp>FWRC1#JPYINR#Month End Rates#0#S#PillarDate9</stp>
        <tr r="I2" s="18"/>
      </tp>
      <tp t="s">
        <v>29-Sep-2023</v>
        <stp/>
        <stp>FWRC1#JPYINR#Month End Rates#0#S#PillarDate8</stp>
        <tr r="H2" s="18"/>
      </tp>
      <tp t="s">
        <v>10-May-2023</v>
        <stp/>
        <stp>FWRC1#JPYINR#Month End Rates#0#S#PillarDate2</stp>
        <tr r="C2" s="18"/>
      </tp>
      <tp t="s">
        <v>31-Aug-2023</v>
        <stp/>
        <stp>FWRC1#JPYINR#Month End Rates#0#S#PillarDate7</stp>
        <tr r="G2" s="18"/>
      </tp>
      <tp t="s">
        <v>31-Jul-2023</v>
        <stp/>
        <stp>FWRC1#JPYINR#Month End Rates#0#S#PillarDate6</stp>
        <tr r="F2" s="18"/>
      </tp>
      <tp t="s">
        <v>30-Jun-2023</v>
        <stp/>
        <stp>FWRC1#JPYINR#Month End Rates#0#S#PillarDate5</stp>
        <tr r="E2" s="18"/>
      </tp>
      <tp t="s">
        <v>31-May-2023</v>
        <stp/>
        <stp>FWRC1#JPYINR#Month End Rates#0#S#PillarDate4</stp>
        <tr r="D2" s="18"/>
      </tp>
      <tp t="s">
        <v>31-Oct-2023</v>
        <stp/>
        <stp>FWRC1#GBPINR#Month End Rates#0#S#PillarDate9</stp>
        <tr r="I2" s="17"/>
      </tp>
      <tp t="s">
        <v>29-Sep-2023</v>
        <stp/>
        <stp>FWRC1#GBPINR#Month End Rates#0#S#PillarDate8</stp>
        <tr r="H2" s="17"/>
      </tp>
      <tp t="s">
        <v>10-May-2023</v>
        <stp/>
        <stp>FWRC1#GBPINR#Month End Rates#0#S#PillarDate2</stp>
        <tr r="C2" s="17"/>
      </tp>
      <tp t="s">
        <v>30-Jun-2023</v>
        <stp/>
        <stp>FWRC1#GBPINR#Month End Rates#0#S#PillarDate5</stp>
        <tr r="E2" s="17"/>
      </tp>
      <tp t="s">
        <v>31-May-2023</v>
        <stp/>
        <stp>FWRC1#GBPINR#Month End Rates#0#S#PillarDate4</stp>
        <tr r="D2" s="17"/>
      </tp>
      <tp t="s">
        <v>31-Aug-2023</v>
        <stp/>
        <stp>FWRC1#GBPINR#Month End Rates#0#S#PillarDate7</stp>
        <tr r="G2" s="17"/>
      </tp>
      <tp t="s">
        <v>31-Jul-2023</v>
        <stp/>
        <stp>FWRC1#GBPINR#Month End Rates#0#S#PillarDate6</stp>
        <tr r="F2" s="17"/>
      </tp>
      <tp>
        <v>1.10955</v>
        <stp/>
        <stp>12#2#1#5949#SEURUSD#52WkHigh</stp>
        <tr r="I7" s="10"/>
      </tp>
      <tp>
        <v>1.3345400000000001</v>
        <stp/>
        <stp>12#2#1#6069#SUSDCAD#LTP</stp>
        <tr r="E14" s="23"/>
      </tp>
      <tp>
        <v>0.88817999999999997</v>
        <stp/>
        <stp>12#2#1#6069#SUSDCHF#LTP</stp>
        <tr r="E13" s="23"/>
      </tp>
      <tp>
        <v>0.88615999999999995</v>
        <stp/>
        <stp>12#2#1#6069#SUSDCHF#Low</stp>
        <tr r="D13" s="23"/>
      </tp>
      <tp>
        <v>1.3332999999999999</v>
        <stp/>
        <stp>12#2#1#6069#SUSDCAD#Low</stp>
        <tr r="D14" s="23"/>
      </tp>
      <tp>
        <v>0.67905000000000004</v>
        <stp/>
        <stp>12#2#1#5903#SAUDUSD#LTP</stp>
        <tr r="E15" s="23"/>
      </tp>
      <tp>
        <v>1.10463</v>
        <stp/>
        <stp>12#2#1#5949#SEURUSD#LTP</stp>
        <tr r="E10" s="23"/>
      </tp>
      <tp>
        <v>0.67366000000000004</v>
        <stp/>
        <stp>12#2#1#5903#SAUDUSD#Low</stp>
        <tr r="D15" s="23"/>
      </tp>
      <tp>
        <v>1.10137</v>
        <stp/>
        <stp>12#2#1#5949#SEURUSD#Low</stp>
        <tr r="D10" s="23"/>
        <tr r="G7" s="10"/>
      </tp>
      <tp>
        <v>0.25</v>
        <stp/>
        <stp>12#2#1#6031#SGBPUSD#%Chg</stp>
        <tr r="D8" s="10"/>
      </tp>
      <tp>
        <v>103.47</v>
        <stp/>
        <stp>17#3#1#6031#GBPINRCOMP#LTP</stp>
        <tr r="E4" s="23"/>
      </tp>
      <tp>
        <v>92.037499999999994</v>
        <stp/>
        <stp>17#3#1#6056#CHFINRCOMP#LTP</stp>
        <tr r="E6" s="23"/>
      </tp>
      <tp>
        <v>61.765000000000001</v>
        <stp/>
        <stp>17#3#1#6041#SGDINRCOMP#LTP</stp>
        <tr r="E9" s="23"/>
      </tp>
      <tp>
        <v>61.61</v>
        <stp/>
        <stp>17#3#1#6041#SGDINRCOMP#Low</stp>
        <tr r="D9" s="23"/>
      </tp>
      <tp t="s">
        <v>USDSGD</v>
        <stp/>
        <stp>12#2#1#6069#SUSDSGD#S#Descr.</stp>
        <tr r="A16" s="23"/>
        <tr r="A33" s="23"/>
      </tp>
      <tp>
        <v>103.265</v>
        <stp/>
        <stp>17#3#1#6031#GBPINRCOMP#Low</stp>
        <tr r="D4" s="23"/>
        <tr r="G5" s="10"/>
      </tp>
      <tp>
        <v>91.814999999999998</v>
        <stp/>
        <stp>17#3#1#6056#CHFINRCOMP#Low</stp>
        <tr r="D6" s="23"/>
      </tp>
      <tp>
        <v>60.602499999999999</v>
        <stp/>
        <stp>17#3#1#5978#JPYINRCOMP#LTP</stp>
        <tr r="E5" s="23"/>
      </tp>
      <tp>
        <v>90.317499999999995</v>
        <stp/>
        <stp>17#3#1#5949#EURINRCOMP#LTP</stp>
        <tr r="E3" s="23"/>
      </tp>
      <tp>
        <v>55.545000000000002</v>
        <stp/>
        <stp>17#3#1#5903#AUDINRCOMP#LTP</stp>
        <tr r="E8" s="23"/>
      </tp>
      <tp>
        <v>61.302500000000002</v>
        <stp/>
        <stp>17#3#1#5921#CADINRCOMP#LTP</stp>
        <tr r="E7" s="23"/>
      </tp>
      <tp>
        <v>90.144999999999996</v>
        <stp/>
        <stp>17#3#1#5949#EURINRCOMP#Low</stp>
        <tr r="D3" s="23"/>
        <tr r="G4" s="10"/>
      </tp>
      <tp>
        <v>61.075000000000003</v>
        <stp/>
        <stp>17#3#1#5921#CADINRCOMP#Low</stp>
        <tr r="D7" s="23"/>
      </tp>
      <tp>
        <v>55.28</v>
        <stp/>
        <stp>17#3#1#5903#AUDINRCOMP#Low</stp>
        <tr r="D8" s="23"/>
      </tp>
      <tp t="s">
        <v>GBPUSD</v>
        <stp/>
        <stp>12#2#1#6031#SGBPUSD#S#Descr.</stp>
        <tr r="A28" s="23"/>
        <tr r="A11" s="23"/>
      </tp>
      <tp>
        <v>60.527500000000003</v>
        <stp/>
        <stp>17#3#1#5978#JPYINRCOMP#Low</stp>
        <tr r="G6" s="10"/>
        <tr r="D5" s="23"/>
      </tp>
      <tp>
        <v>81.8</v>
        <stp/>
        <stp>17#1#1#6069#USDINRCOMP#LTP</stp>
        <tr r="E2" s="23"/>
      </tp>
      <tp>
        <v>81.680000000000007</v>
        <stp/>
        <stp>17#1#1#6069#USDINRCOMP#Low</stp>
        <tr r="D2" s="23"/>
        <tr r="G3" s="10"/>
      </tp>
      <tp>
        <v>1.2659100000000001</v>
        <stp/>
        <stp>12#2#1#6031#SGBPUSD#Ask</stp>
        <tr r="C8" s="10"/>
      </tp>
      <tp t="s">
        <v>12-Jun-2023</v>
        <stp/>
        <stp>FWRC1#USDINR#Month Wise Rates#0#S#PillarDate7</stp>
        <tr r="D2" s="15"/>
      </tp>
      <tp t="s">
        <v>10-May-2023</v>
        <stp/>
        <stp>FWRC1#USDINR#Month Wise Rates#0#S#PillarDate2</stp>
        <tr r="C2" s="15"/>
      </tp>
      <tp t="s">
        <v>10-Jul-2023</v>
        <stp/>
        <stp>FWRC1#USDINR#Month Wise Rates#0#S#PillarDate8</stp>
        <tr r="E2" s="15"/>
      </tp>
      <tp t="s">
        <v>10-Aug-2023</v>
        <stp/>
        <stp>FWRC1#USDINR#Month Wise Rates#0#S#PillarDate9</stp>
        <tr r="F2" s="15"/>
      </tp>
      <tp>
        <v>0.27</v>
        <stp/>
        <stp>12#2#1#5949#SEURUSD#%Chg</stp>
        <tr r="D7" s="10"/>
      </tp>
      <tp>
        <v>1.26586</v>
        <stp/>
        <stp>12#2#1#6031#SGBPUSD#Bid</stp>
        <tr r="B8" s="10"/>
      </tp>
      <tp t="s">
        <v>AUDUSD</v>
        <stp/>
        <stp>12#2#1#5903#SAUDUSD#S#Descr.</stp>
        <tr r="A32" s="23"/>
        <tr r="A15" s="23"/>
      </tp>
      <tp t="s">
        <v>EURUSD</v>
        <stp/>
        <stp>12#2#1#5949#SEURUSD#S#Descr.</stp>
        <tr r="A10" s="23"/>
        <tr r="A27" s="23"/>
      </tp>
      <tp t="s">
        <v>USDCAD</v>
        <stp/>
        <stp>12#2#1#6069#SUSDCAD#S#Descr.</stp>
        <tr r="A31" s="23"/>
        <tr r="A14" s="23"/>
      </tp>
      <tp>
        <v>1.26586</v>
        <stp/>
        <stp>12#2#1#6031#SGBPUSD#LTP</stp>
        <tr r="E11" s="23"/>
      </tp>
      <tp t="s">
        <v>10-May-2023</v>
        <stp/>
        <stp>FWRC1#EURUSD#Month Wise Rates#0#S#PillarDate2</stp>
        <tr r="C2" s="19"/>
      </tp>
      <tp t="s">
        <v>12-Jun-2023</v>
        <stp/>
        <stp>FWRC1#EURUSD#Month Wise Rates#0#S#PillarDate7</stp>
        <tr r="D2" s="19"/>
      </tp>
      <tp t="s">
        <v>10-Jul-2023</v>
        <stp/>
        <stp>FWRC1#EURUSD#Month Wise Rates#0#S#PillarDate8</stp>
        <tr r="E2" s="19"/>
      </tp>
      <tp t="s">
        <v>10-Aug-2023</v>
        <stp/>
        <stp>FWRC1#EURUSD#Month Wise Rates#0#S#PillarDate9</stp>
        <tr r="F2" s="19"/>
      </tp>
      <tp>
        <v>1.2621</v>
        <stp/>
        <stp>12#2#1#6031#SGBPUSD#Low</stp>
        <tr r="G8" s="10"/>
        <tr r="D11" s="23"/>
      </tp>
      <tp t="s">
        <v>10-May-2023</v>
        <stp/>
        <stp>FWRC1#GBPUSD#Month Wise Rates#0#S#PillarDate2</stp>
        <tr r="C2" s="20"/>
      </tp>
      <tp t="s">
        <v>12-Jun-2023</v>
        <stp/>
        <stp>FWRC1#GBPUSD#Month Wise Rates#0#S#PillarDate7</stp>
        <tr r="D2" s="20"/>
      </tp>
      <tp t="s">
        <v>10-Jul-2023</v>
        <stp/>
        <stp>FWRC1#GBPUSD#Month Wise Rates#0#S#PillarDate8</stp>
        <tr r="E2" s="20"/>
      </tp>
      <tp t="s">
        <v>10-Aug-2023</v>
        <stp/>
        <stp>FWRC1#GBPUSD#Month Wise Rates#0#S#PillarDate9</stp>
        <tr r="F2" s="20"/>
      </tp>
      <tp t="s">
        <v>2M</v>
        <stp/>
        <stp>FWRC1#USDJPY#Month Wise Rates#0#S#Desc.8</stp>
        <tr r="E1" s="21"/>
      </tp>
      <tp t="s">
        <v>3M</v>
        <stp/>
        <stp>FWRC1#USDJPY#Month Wise Rates#0#S#Desc.9</stp>
        <tr r="F1" s="21"/>
      </tp>
      <tp t="s">
        <v>1M</v>
        <stp/>
        <stp>FWRC1#USDJPY#Month Wise Rates#0#S#Desc.7</stp>
        <tr r="D1" s="21"/>
      </tp>
      <tp t="s">
        <v>TN</v>
        <stp/>
        <stp>FWRC1#USDJPY#Month Wise Rates#0#S#Desc.2</stp>
        <tr r="C1" s="21"/>
      </tp>
      <tp>
        <v>103.4875</v>
        <stp/>
        <stp>17#3#1#6031#GBPINRCOMP#Ask</stp>
        <tr r="C5" s="10"/>
      </tp>
      <tp>
        <v>90.317499999999995</v>
        <stp/>
        <stp>17#3#1#5949#EURINRCOMP#Bid</stp>
        <tr r="B4" s="10"/>
      </tp>
      <tp>
        <v>60.602499999999999</v>
        <stp/>
        <stp>17#3#1#5978#JPYINRCOMP#Bid</stp>
        <tr r="B6" s="10"/>
      </tp>
      <tp>
        <v>1.10466</v>
        <stp/>
        <stp>12#2#1#5949#SEURUSD#Ask</stp>
        <tr r="C7" s="10"/>
      </tp>
      <tp>
        <v>81.8</v>
        <stp/>
        <stp>17#1#1#6069#USDINRCOMP#Bid</stp>
        <tr r="B3" s="10"/>
      </tp>
      <tp>
        <v>151.94499999999999</v>
        <stp/>
        <stp>12#2#1#6069#SUSDJPY#52WkHigh</stp>
        <tr r="I9" s="10"/>
      </tp>
      <tp>
        <v>1.10463</v>
        <stp/>
        <stp>12#2#1#5949#SEURUSD#Bid</stp>
        <tr r="B7" s="10"/>
      </tp>
      <tp t="s">
        <v>USDCHF</v>
        <stp/>
        <stp>12#2#1#6069#SUSDCHF#S#Descr.</stp>
        <tr r="A30" s="23"/>
        <tr r="A13" s="23"/>
      </tp>
      <tp>
        <v>81.805000000000007</v>
        <stp/>
        <stp>17#1#1#6069#USDINRCOMP#Ask</stp>
        <tr r="C3" s="10"/>
      </tp>
      <tp>
        <v>1.3243</v>
        <stp/>
        <stp>12#2#1#6069#SUSDSGD#LTP</stp>
        <tr r="E33" s="23"/>
        <tr r="M33" s="23"/>
        <tr r="L33" s="23"/>
        <tr r="D33" s="23"/>
        <tr r="N33" s="23"/>
        <tr r="C33" s="23"/>
        <tr r="K33" s="23"/>
        <tr r="H33" s="23"/>
        <tr r="G33" s="23"/>
        <tr r="I33" s="23"/>
        <tr r="J33" s="23"/>
        <tr r="B33" s="23"/>
        <tr r="E16" s="23"/>
        <tr r="F33" s="23"/>
      </tp>
      <tp t="s">
        <v>1M</v>
        <stp/>
        <stp>FWRC1#USDINR#Month Wise Rates#0#S#Desc.7</stp>
        <tr r="D1" s="15"/>
      </tp>
      <tp t="s">
        <v>TN</v>
        <stp/>
        <stp>FWRC1#USDINR#Month Wise Rates#0#S#Desc.2</stp>
        <tr r="C1" s="15"/>
      </tp>
      <tp t="s">
        <v>3M</v>
        <stp/>
        <stp>FWRC1#USDINR#Month Wise Rates#0#S#Desc.9</stp>
        <tr r="F1" s="15"/>
      </tp>
      <tp t="s">
        <v>2M</v>
        <stp/>
        <stp>FWRC1#USDINR#Month Wise Rates#0#S#Desc.8</stp>
        <tr r="E1" s="15"/>
      </tp>
      <tp>
        <v>1.3232999999999999</v>
        <stp/>
        <stp>12#2#1#6069#SUSDSGD#Low</stp>
        <tr r="D16" s="23"/>
      </tp>
      <tp>
        <v>60.61</v>
        <stp/>
        <stp>17#3#1#5978#JPYINRCOMP#Ask</stp>
        <tr r="C6" s="10"/>
      </tp>
      <tp>
        <v>90.325000000000003</v>
        <stp/>
        <stp>17#3#1#5949#EURINRCOMP#Ask</stp>
        <tr r="C4" s="10"/>
      </tp>
      <tp>
        <v>103.47</v>
        <stp/>
        <stp>17#3#1#6031#GBPINRCOMP#Bid</stp>
        <tr r="B5" s="10"/>
      </tp>
      <tp>
        <v>92.648799999999994</v>
        <stp/>
        <stp>FWRC1#EURINR#Month End Rates#0#FwdOutrightBid12</stp>
        <tr r="L7" s="16"/>
      </tp>
      <tp>
        <v>92.888599999999997</v>
        <stp/>
        <stp>FWRC1#EURINR#Month End Rates#0#FwdOutrightBid13</stp>
        <tr r="M7" s="16"/>
      </tp>
      <tp>
        <v>92.053200000000004</v>
        <stp/>
        <stp>FWRC1#EURINR#Month End Rates#0#FwdOutrightBid10</stp>
        <tr r="J7" s="16"/>
      </tp>
      <tp>
        <v>92.3673</v>
        <stp/>
        <stp>FWRC1#EURINR#Month End Rates#0#FwdOutrightBid11</stp>
        <tr r="K7" s="16"/>
      </tp>
      <tp>
        <v>93.168499999999995</v>
        <stp/>
        <stp>FWRC1#EURINR#Month End Rates#0#FwdOutrightBid14</stp>
        <tr r="N7" s="16"/>
      </tp>
      <tp>
        <v>93.514799999999994</v>
        <stp/>
        <stp>FWRC1#EURINR#Month End Rates#0#FwdOutrightBid15</stp>
        <tr r="O7" s="16"/>
      </tp>
      <tp>
        <v>91.569500000000005</v>
        <stp/>
        <stp>FWRC1#EURINR#Month End Rates#0#FwdOutrightAsk8</stp>
        <tr r="H8" s="16"/>
      </tp>
      <tp>
        <v>91.837699999999998</v>
        <stp/>
        <stp>FWRC1#EURINR#Month End Rates#0#FwdOutrightAsk9</stp>
        <tr r="I8" s="16"/>
      </tp>
      <tp>
        <v>90.449299999999994</v>
        <stp/>
        <stp>FWRC1#EURINR#Month End Rates#0#FwdOutrightAsk4</stp>
        <tr r="D8" s="16"/>
      </tp>
      <tp>
        <v>90.735900000000001</v>
        <stp/>
        <stp>FWRC1#EURINR#Month End Rates#0#FwdOutrightAsk5</stp>
        <tr r="E8" s="16"/>
      </tp>
      <tp>
        <v>91.024100000000004</v>
        <stp/>
        <stp>FWRC1#EURINR#Month End Rates#0#FwdOutrightAsk6</stp>
        <tr r="F8" s="16"/>
      </tp>
      <tp>
        <v>91.304000000000002</v>
        <stp/>
        <stp>FWRC1#EURINR#Month End Rates#0#FwdOutrightAsk7</stp>
        <tr r="G8" s="16"/>
      </tp>
      <tp>
        <v>90.25</v>
        <stp/>
        <stp>FWRC1#EURINR#Month End Rates#0#FwdOutrightAsk2</stp>
        <tr r="C8" s="16"/>
      </tp>
      <tp>
        <v>0</v>
        <stp/>
        <stp>17#3#1#6031#GBPINRCOMP#52WkLow</stp>
        <tr r="J5" s="10"/>
      </tp>
      <tp t="s">
        <v>31-Oct-2023</v>
        <stp/>
        <stp>FWRC1#EURINR#Month End Rates#0#S#MonthEndDate9</stp>
        <tr r="I2" s="16"/>
      </tp>
      <tp t="s">
        <v>29-Sep-2023</v>
        <stp/>
        <stp>FWRC1#EURINR#Month End Rates#0#S#MonthEndDate8</stp>
        <tr r="H2" s="16"/>
      </tp>
      <tp t="s">
        <v>31-Aug-2023</v>
        <stp/>
        <stp>FWRC1#EURINR#Month End Rates#0#S#MonthEndDate7</stp>
        <tr r="G2" s="16"/>
      </tp>
      <tp t="s">
        <v>31-Jul-2023</v>
        <stp/>
        <stp>FWRC1#EURINR#Month End Rates#0#S#MonthEndDate6</stp>
        <tr r="F2" s="16"/>
      </tp>
      <tp t="s">
        <v>30-Jun-2023</v>
        <stp/>
        <stp>FWRC1#EURINR#Month End Rates#0#S#MonthEndDate5</stp>
        <tr r="E2" s="16"/>
      </tp>
      <tp t="s">
        <v>31-May-2023</v>
        <stp/>
        <stp>FWRC1#EURINR#Month End Rates#0#S#MonthEndDate4</stp>
        <tr r="D2" s="16"/>
      </tp>
      <tp t="s">
        <v>10-May-2023</v>
        <stp/>
        <stp>FWRC1#EURINR#Month End Rates#0#S#MonthEndDate2</stp>
        <tr r="C2" s="16"/>
      </tp>
      <tp t="s">
        <v>13-Nov-2023</v>
        <stp/>
        <stp>FWRC1#USDJPY#Month Wise Rates#0#S#PillarDate12</stp>
        <tr r="I2" s="21"/>
      </tp>
      <tp t="s">
        <v>11-Dec-2023</v>
        <stp/>
        <stp>FWRC1#USDJPY#Month Wise Rates#0#S#PillarDate13</stp>
        <tr r="J2" s="21"/>
      </tp>
      <tp t="s">
        <v>11-Sep-2023</v>
        <stp/>
        <stp>FWRC1#USDJPY#Month Wise Rates#0#S#PillarDate10</stp>
        <tr r="G2" s="21"/>
      </tp>
      <tp t="s">
        <v>10-Oct-2023</v>
        <stp/>
        <stp>FWRC1#USDJPY#Month Wise Rates#0#S#PillarDate11</stp>
        <tr r="H2" s="21"/>
      </tp>
      <tp t="s">
        <v>11-Mar-2024</v>
        <stp/>
        <stp>FWRC1#USDJPY#Month Wise Rates#0#S#PillarDate16</stp>
        <tr r="M2" s="21"/>
      </tp>
      <tp t="s">
        <v>10-Apr-2024</v>
        <stp/>
        <stp>FWRC1#USDJPY#Month Wise Rates#0#S#PillarDate17</stp>
        <tr r="N2" s="21"/>
      </tp>
      <tp t="s">
        <v>10-Jan-2024</v>
        <stp/>
        <stp>FWRC1#USDJPY#Month Wise Rates#0#S#PillarDate14</stp>
        <tr r="K2" s="21"/>
      </tp>
      <tp t="s">
        <v>12-Feb-2024</v>
        <stp/>
        <stp>FWRC1#USDJPY#Month Wise Rates#0#S#PillarDate15</stp>
        <tr r="L2" s="21"/>
      </tp>
      <tp t="s">
        <v>10-May-2024</v>
        <stp/>
        <stp>FWRC1#USDJPY#Month Wise Rates#0#S#PillarDate18</stp>
        <tr r="O2" s="21"/>
      </tp>
      <tp>
        <v>1.3254999999999999</v>
        <stp/>
        <stp>12#2#1#6069#SUSDSGD#Open</stp>
        <tr r="B16" s="23"/>
      </tp>
      <tp>
        <v>2.2425999999999999</v>
        <stp/>
        <stp>FWRC1#GBPINR#Month End Rates#0#Bid%14</stp>
        <tr r="N10" s="17"/>
      </tp>
      <tp>
        <v>2.2879</v>
        <stp/>
        <stp>FWRC1#GBPINR#Month End Rates#0#Bid%15</stp>
        <tr r="O10" s="17"/>
      </tp>
      <tp>
        <v>2.2509999999999999</v>
        <stp/>
        <stp>FWRC1#GBPINR#Month End Rates#0#Bid%10</stp>
        <tr r="J10" s="17"/>
      </tp>
      <tp>
        <v>2.2812999999999999</v>
        <stp/>
        <stp>FWRC1#GBPINR#Month End Rates#0#Bid%11</stp>
        <tr r="K10" s="17"/>
      </tp>
      <tp>
        <v>2.2397999999999998</v>
        <stp/>
        <stp>FWRC1#GBPINR#Month End Rates#0#Bid%12</stp>
        <tr r="L10" s="17"/>
      </tp>
      <tp>
        <v>2.2305999999999999</v>
        <stp/>
        <stp>FWRC1#GBPINR#Month End Rates#0#Bid%13</stp>
        <tr r="M10" s="17"/>
      </tp>
      <tp>
        <v>2.2888000000000002</v>
        <stp/>
        <stp>FWRC1#GBPINR#Month End Rates#0#Ask%14</stp>
        <tr r="N11" s="17"/>
      </tp>
      <tp>
        <v>2.3290999999999999</v>
        <stp/>
        <stp>FWRC1#GBPINR#Month End Rates#0#Ask%15</stp>
        <tr r="O11" s="17"/>
      </tp>
      <tp>
        <v>2.2953000000000001</v>
        <stp/>
        <stp>FWRC1#GBPINR#Month End Rates#0#Ask%12</stp>
        <tr r="L11" s="17"/>
      </tp>
      <tp>
        <v>2.2791000000000001</v>
        <stp/>
        <stp>FWRC1#GBPINR#Month End Rates#0#Ask%13</stp>
        <tr r="M11" s="17"/>
      </tp>
      <tp>
        <v>2.3355000000000001</v>
        <stp/>
        <stp>FWRC1#GBPINR#Month End Rates#0#Ask%10</stp>
        <tr r="J11" s="17"/>
      </tp>
      <tp>
        <v>2.3418000000000001</v>
        <stp/>
        <stp>FWRC1#GBPINR#Month End Rates#0#Ask%11</stp>
        <tr r="K11" s="17"/>
      </tp>
      <tp>
        <v>104.6619</v>
        <stp/>
        <stp>FWRC1#GBPINR#Month End Rates#0#FwdOutrightBid10</stp>
        <tr r="J7" s="17"/>
      </tp>
      <tp>
        <v>104.87309999999999</v>
        <stp/>
        <stp>FWRC1#GBPINR#Month End Rates#0#FwdOutrightBid11</stp>
        <tr r="K7" s="17"/>
      </tp>
      <tp>
        <v>105.0551</v>
        <stp/>
        <stp>FWRC1#GBPINR#Month End Rates#0#FwdOutrightBid12</stp>
        <tr r="L7" s="17"/>
      </tp>
      <tp>
        <v>105.23139999999999</v>
        <stp/>
        <stp>FWRC1#GBPINR#Month End Rates#0#FwdOutrightBid13</stp>
        <tr r="M7" s="17"/>
      </tp>
      <tp>
        <v>105.41930000000001</v>
        <stp/>
        <stp>FWRC1#GBPINR#Month End Rates#0#FwdOutrightBid14</stp>
        <tr r="N7" s="17"/>
      </tp>
      <tp>
        <v>105.67449999999999</v>
        <stp/>
        <stp>FWRC1#GBPINR#Month End Rates#0#FwdOutrightBid15</stp>
        <tr r="O7" s="17"/>
      </tp>
      <tp>
        <v>1.26274</v>
        <stp/>
        <stp>12#2#1#6031#SGBPUSD#Open</stp>
        <tr r="E8" s="10"/>
        <tr r="B11" s="23"/>
      </tp>
      <tp>
        <v>75.989999999999995</v>
        <stp/>
        <stp>17#1#1#6069#USDINRCOMP#52WkLow</stp>
        <tr r="J3" s="10"/>
      </tp>
      <tp>
        <v>134.25</v>
        <stp/>
        <stp>FWRC1#USDINR#Month End Rates#0#AskPrice13</stp>
        <tr r="M5" s="14"/>
      </tp>
      <tp>
        <v>118.5</v>
        <stp/>
        <stp>FWRC1#USDINR#Month End Rates#0#AskPrice12</stp>
        <tr r="L5" s="14"/>
      </tp>
      <tp>
        <v>101</v>
        <stp/>
        <stp>FWRC1#USDINR#Month End Rates#0#AskPrice11</stp>
        <tr r="K5" s="14"/>
      </tp>
      <tp>
        <v>87</v>
        <stp/>
        <stp>FWRC1#USDINR#Month End Rates#0#AskPrice10</stp>
        <tr r="J5" s="14"/>
      </tp>
      <tp>
        <v>175</v>
        <stp/>
        <stp>FWRC1#USDINR#Month End Rates#0#AskPrice15</stp>
        <tr r="O5" s="14"/>
      </tp>
      <tp>
        <v>149.5</v>
        <stp/>
        <stp>FWRC1#USDINR#Month End Rates#0#AskPrice14</stp>
        <tr r="N5" s="14"/>
      </tp>
      <tp>
        <v>99</v>
        <stp/>
        <stp>FWRC1#USDINR#Month End Rates#0#BidPrice11</stp>
        <tr r="K4" s="14"/>
      </tp>
      <tp>
        <v>85</v>
        <stp/>
        <stp>FWRC1#USDINR#Month End Rates#0#BidPrice10</stp>
        <tr r="J4" s="14"/>
      </tp>
      <tp>
        <v>132.25</v>
        <stp/>
        <stp>FWRC1#USDINR#Month End Rates#0#BidPrice13</stp>
        <tr r="M4" s="14"/>
      </tp>
      <tp>
        <v>116.5</v>
        <stp/>
        <stp>FWRC1#USDINR#Month End Rates#0#BidPrice12</stp>
        <tr r="L4" s="14"/>
      </tp>
      <tp>
        <v>173</v>
        <stp/>
        <stp>FWRC1#USDINR#Month End Rates#0#BidPrice15</stp>
        <tr r="O4" s="14"/>
      </tp>
      <tp>
        <v>147.5</v>
        <stp/>
        <stp>FWRC1#USDINR#Month End Rates#0#BidPrice14</stp>
        <tr r="N4" s="14"/>
      </tp>
      <tp>
        <v>0</v>
        <stp/>
        <stp>17#3#1#5978#JPYINRCOMP#52WkLow</stp>
        <tr r="J6" s="10"/>
      </tp>
      <tp>
        <v>3.7530000000000001</v>
        <stp/>
        <stp>FWRC1#EURINR#Month End Rates#0#Ask%14</stp>
        <tr r="N11" s="16"/>
      </tp>
      <tp>
        <v>3.7808999999999999</v>
        <stp/>
        <stp>FWRC1#EURINR#Month End Rates#0#Ask%15</stp>
        <tr r="O11" s="16"/>
      </tp>
      <tp>
        <v>3.6966999999999999</v>
        <stp/>
        <stp>FWRC1#EURINR#Month End Rates#0#Ask%10</stp>
        <tr r="J11" s="16"/>
      </tp>
      <tp>
        <v>3.7644000000000002</v>
        <stp/>
        <stp>FWRC1#EURINR#Month End Rates#0#Ask%11</stp>
        <tr r="K11" s="16"/>
      </tp>
      <tp>
        <v>3.7296</v>
        <stp/>
        <stp>FWRC1#EURINR#Month End Rates#0#Ask%12</stp>
        <tr r="L11" s="16"/>
      </tp>
      <tp>
        <v>3.7198000000000002</v>
        <stp/>
        <stp>FWRC1#EURINR#Month End Rates#0#Ask%13</stp>
        <tr r="M11" s="16"/>
      </tp>
      <tp>
        <v>3.67</v>
        <stp/>
        <stp>FWRC1#EURINR#Month End Rates#0#Bid%14</stp>
        <tr r="N10" s="16"/>
      </tp>
      <tp>
        <v>3.7231000000000001</v>
        <stp/>
        <stp>FWRC1#EURINR#Month End Rates#0#Bid%15</stp>
        <tr r="O10" s="16"/>
      </tp>
      <tp>
        <v>3.6661999999999999</v>
        <stp/>
        <stp>FWRC1#EURINR#Month End Rates#0#Bid%12</stp>
        <tr r="L10" s="16"/>
      </tp>
      <tp>
        <v>3.6345999999999998</v>
        <stp/>
        <stp>FWRC1#EURINR#Month End Rates#0#Bid%13</stp>
        <tr r="M10" s="16"/>
      </tp>
      <tp>
        <v>3.5996000000000001</v>
        <stp/>
        <stp>FWRC1#EURINR#Month End Rates#0#Bid%10</stp>
        <tr r="J10" s="16"/>
      </tp>
      <tp>
        <v>3.6966999999999999</v>
        <stp/>
        <stp>FWRC1#EURINR#Month End Rates#0#Bid%11</stp>
        <tr r="K10" s="16"/>
      </tp>
      <tp>
        <v>64.759600000000006</v>
        <stp/>
        <stp>FWRC1#JPYINR#Month End Rates#0#FwdOutrightAsk14</stp>
        <tr r="N8" s="18"/>
      </tp>
      <tp>
        <v>65.202600000000004</v>
        <stp/>
        <stp>FWRC1#JPYINR#Month End Rates#0#FwdOutrightAsk15</stp>
        <tr r="O8" s="18"/>
      </tp>
      <tp>
        <v>64.028700000000001</v>
        <stp/>
        <stp>FWRC1#JPYINR#Month End Rates#0#FwdOutrightAsk12</stp>
        <tr r="L8" s="18"/>
      </tp>
      <tp>
        <v>64.379900000000006</v>
        <stp/>
        <stp>FWRC1#JPYINR#Month End Rates#0#FwdOutrightAsk13</stp>
        <tr r="M8" s="18"/>
      </tp>
      <tp>
        <v>63.179400000000001</v>
        <stp/>
        <stp>FWRC1#JPYINR#Month End Rates#0#FwdOutrightAsk10</stp>
        <tr r="J8" s="18"/>
      </tp>
      <tp>
        <v>63.606699999999996</v>
        <stp/>
        <stp>FWRC1#JPYINR#Month End Rates#0#FwdOutrightAsk11</stp>
        <tr r="K8" s="18"/>
      </tp>
      <tp t="s">
        <v>APR-2024</v>
        <stp/>
        <stp>FWRC1#USDINR#Month End Rates#0#S#Desc.15</stp>
        <tr r="O1" s="14"/>
      </tp>
      <tp t="s">
        <v>MAR-2024</v>
        <stp/>
        <stp>FWRC1#USDINR#Month End Rates#0#S#Desc.14</stp>
        <tr r="N1" s="14"/>
      </tp>
      <tp t="s">
        <v>FEB-2024</v>
        <stp/>
        <stp>FWRC1#USDINR#Month End Rates#0#S#Desc.13</stp>
        <tr r="M1" s="14"/>
      </tp>
      <tp t="s">
        <v>JAN-2024</v>
        <stp/>
        <stp>FWRC1#USDINR#Month End Rates#0#S#Desc.12</stp>
        <tr r="L1" s="14"/>
      </tp>
      <tp t="s">
        <v>DEC-2023</v>
        <stp/>
        <stp>FWRC1#USDINR#Month End Rates#0#S#Desc.11</stp>
        <tr r="K1" s="14"/>
      </tp>
      <tp t="s">
        <v>NOV-2023</v>
        <stp/>
        <stp>FWRC1#USDINR#Month End Rates#0#S#Desc.10</stp>
        <tr r="J1" s="14"/>
      </tp>
      <tp t="s">
        <v>MAR-2024</v>
        <stp/>
        <stp>FWRC1#GBPINR#Month End Rates#0#S#Desc.14</stp>
        <tr r="N1" s="17"/>
      </tp>
      <tp t="s">
        <v>APR-2024</v>
        <stp/>
        <stp>FWRC1#GBPINR#Month End Rates#0#S#Desc.15</stp>
        <tr r="O1" s="17"/>
      </tp>
      <tp t="s">
        <v>JAN-2024</v>
        <stp/>
        <stp>FWRC1#GBPINR#Month End Rates#0#S#Desc.12</stp>
        <tr r="L1" s="17"/>
      </tp>
      <tp t="s">
        <v>FEB-2024</v>
        <stp/>
        <stp>FWRC1#GBPINR#Month End Rates#0#S#Desc.13</stp>
        <tr r="M1" s="17"/>
      </tp>
      <tp t="s">
        <v>NOV-2023</v>
        <stp/>
        <stp>FWRC1#GBPINR#Month End Rates#0#S#Desc.10</stp>
        <tr r="J1" s="17"/>
      </tp>
      <tp t="s">
        <v>DEC-2023</v>
        <stp/>
        <stp>FWRC1#GBPINR#Month End Rates#0#S#Desc.11</stp>
        <tr r="K1" s="17"/>
      </tp>
      <tp t="s">
        <v>DEC-2023</v>
        <stp/>
        <stp>FWRC1#EURINR#Month End Rates#0#S#Desc.11</stp>
        <tr r="K1" s="16"/>
      </tp>
      <tp t="s">
        <v>NOV-2023</v>
        <stp/>
        <stp>FWRC1#EURINR#Month End Rates#0#S#Desc.10</stp>
        <tr r="J1" s="16"/>
      </tp>
      <tp t="s">
        <v>FEB-2024</v>
        <stp/>
        <stp>FWRC1#EURINR#Month End Rates#0#S#Desc.13</stp>
        <tr r="M1" s="16"/>
      </tp>
      <tp t="s">
        <v>JAN-2024</v>
        <stp/>
        <stp>FWRC1#EURINR#Month End Rates#0#S#Desc.12</stp>
        <tr r="L1" s="16"/>
      </tp>
      <tp t="s">
        <v>APR-2024</v>
        <stp/>
        <stp>FWRC1#EURINR#Month End Rates#0#S#Desc.15</stp>
        <tr r="O1" s="16"/>
      </tp>
      <tp t="s">
        <v>MAR-2024</v>
        <stp/>
        <stp>FWRC1#EURINR#Month End Rates#0#S#Desc.14</stp>
        <tr r="N1" s="16"/>
      </tp>
      <tp t="s">
        <v>MAR-2024</v>
        <stp/>
        <stp>FWRC1#JPYINR#Month End Rates#0#S#Desc.14</stp>
        <tr r="N1" s="18"/>
      </tp>
      <tp t="s">
        <v>APR-2024</v>
        <stp/>
        <stp>FWRC1#JPYINR#Month End Rates#0#S#Desc.15</stp>
        <tr r="O1" s="18"/>
      </tp>
      <tp t="s">
        <v>NOV-2023</v>
        <stp/>
        <stp>FWRC1#JPYINR#Month End Rates#0#S#Desc.10</stp>
        <tr r="J1" s="18"/>
      </tp>
      <tp t="s">
        <v>DEC-2023</v>
        <stp/>
        <stp>FWRC1#JPYINR#Month End Rates#0#S#Desc.11</stp>
        <tr r="K1" s="18"/>
      </tp>
      <tp t="s">
        <v>JAN-2024</v>
        <stp/>
        <stp>FWRC1#JPYINR#Month End Rates#0#S#Desc.12</stp>
        <tr r="L1" s="18"/>
      </tp>
      <tp t="s">
        <v>FEB-2024</v>
        <stp/>
        <stp>FWRC1#JPYINR#Month End Rates#0#S#Desc.13</stp>
        <tr r="M1" s="18"/>
      </tp>
      <tp>
        <v>-5.5106000000000002</v>
        <stp/>
        <stp>FWRC1#USDJPY#Month Wise Rates#0#Ask%8</stp>
        <tr r="E11" s="21"/>
      </tp>
      <tp>
        <v>-5.4861000000000004</v>
        <stp/>
        <stp>FWRC1#USDJPY#Month Wise Rates#0#Ask%9</stp>
        <tr r="F11" s="21"/>
      </tp>
      <tp>
        <v>-5.4431000000000003</v>
        <stp/>
        <stp>FWRC1#USDJPY#Month Wise Rates#0#Ask%7</stp>
        <tr r="D11" s="21"/>
      </tp>
      <tp>
        <v>-5.1645000000000003</v>
        <stp/>
        <stp>FWRC1#USDJPY#Month Wise Rates#0#Ask%2</stp>
        <tr r="C11" s="21"/>
      </tp>
      <tp>
        <v>134.989</v>
        <stp/>
        <stp>FWRC1#USDJPY#Month Wise Rates#0#Close0</stp>
        <tr r="I29" s="23"/>
        <tr r="G29" s="23"/>
        <tr r="K29" s="23"/>
        <tr r="C29" s="23"/>
        <tr r="H29" s="23"/>
        <tr r="F29" s="23"/>
        <tr r="B29" s="23"/>
        <tr r="E29" s="23"/>
        <tr r="D29" s="23"/>
        <tr r="J29" s="23"/>
        <tr r="L29" s="23"/>
        <tr r="N29" s="23"/>
        <tr r="M29" s="23"/>
      </tp>
      <tp>
        <v>-66.930000000000007</v>
        <stp/>
        <stp>FWRC1#USDJPY#Month Wise Rates#0#Close7</stp>
        <tr r="C29" s="23"/>
      </tp>
      <tp>
        <v>-125.02</v>
        <stp/>
        <stp>FWRC1#USDJPY#Month Wise Rates#0#Close8</stp>
        <tr r="D29" s="23"/>
      </tp>
      <tp>
        <v>-187.11</v>
        <stp/>
        <stp>FWRC1#USDJPY#Month Wise Rates#0#Close9</stp>
        <tr r="E29" s="23"/>
      </tp>
      <tp>
        <v>0.95320000000000005</v>
        <stp/>
        <stp>12#2#1#5949#SEURUSD#52WkLow</stp>
        <tr r="J7" s="10"/>
      </tp>
      <tp t="s">
        <v>12M</v>
        <stp/>
        <stp>FWRC1#USDJPY#Month Wise Rates#0#S#Desc.18</stp>
        <tr r="O1" s="21"/>
      </tp>
      <tp t="s">
        <v>9M</v>
        <stp/>
        <stp>FWRC1#USDJPY#Month Wise Rates#0#S#Desc.15</stp>
        <tr r="L1" s="21"/>
      </tp>
      <tp t="s">
        <v>8M</v>
        <stp/>
        <stp>FWRC1#USDJPY#Month Wise Rates#0#S#Desc.14</stp>
        <tr r="K1" s="21"/>
      </tp>
      <tp t="s">
        <v>11M</v>
        <stp/>
        <stp>FWRC1#USDJPY#Month Wise Rates#0#S#Desc.17</stp>
        <tr r="N1" s="21"/>
      </tp>
      <tp t="s">
        <v>10M</v>
        <stp/>
        <stp>FWRC1#USDJPY#Month Wise Rates#0#S#Desc.16</stp>
        <tr r="M1" s="21"/>
      </tp>
      <tp t="s">
        <v>5M</v>
        <stp/>
        <stp>FWRC1#USDJPY#Month Wise Rates#0#S#Desc.11</stp>
        <tr r="H1" s="21"/>
      </tp>
      <tp t="s">
        <v>4M</v>
        <stp/>
        <stp>FWRC1#USDJPY#Month Wise Rates#0#S#Desc.10</stp>
        <tr r="G1" s="21"/>
      </tp>
      <tp t="s">
        <v>7M</v>
        <stp/>
        <stp>FWRC1#USDJPY#Month Wise Rates#0#S#Desc.13</stp>
        <tr r="J1" s="21"/>
      </tp>
      <tp t="s">
        <v>6M</v>
        <stp/>
        <stp>FWRC1#USDJPY#Month Wise Rates#0#S#Desc.12</stp>
        <tr r="I1" s="21"/>
      </tp>
      <tp>
        <v>2.3561000000000001</v>
        <stp/>
        <stp>FWRC1#GBPINR#Month End Rates#0#Ask%9</stp>
        <tr r="I11" s="17"/>
      </tp>
      <tp>
        <v>2.4037000000000002</v>
        <stp/>
        <stp>FWRC1#GBPINR#Month End Rates#0#Ask%8</stp>
        <tr r="H11" s="17"/>
      </tp>
      <tp>
        <v>7.3884999999999996</v>
        <stp/>
        <stp>FWRC1#GBPINR#Month End Rates#0#Ask%2</stp>
        <tr r="C11" s="17"/>
      </tp>
      <tp>
        <v>2.4453</v>
        <stp/>
        <stp>FWRC1#GBPINR#Month End Rates#0#Ask%7</stp>
        <tr r="G11" s="17"/>
      </tp>
      <tp>
        <v>2.5026000000000002</v>
        <stp/>
        <stp>FWRC1#GBPINR#Month End Rates#0#Ask%6</stp>
        <tr r="F11" s="17"/>
      </tp>
      <tp>
        <v>2.5596000000000001</v>
        <stp/>
        <stp>FWRC1#GBPINR#Month End Rates#0#Ask%5</stp>
        <tr r="E11" s="17"/>
      </tp>
      <tp>
        <v>2.6331000000000002</v>
        <stp/>
        <stp>FWRC1#GBPINR#Month End Rates#0#Ask%4</stp>
        <tr r="D11" s="17"/>
      </tp>
      <tp>
        <v>3.7585000000000002</v>
        <stp/>
        <stp>FWRC1#EURINR#Month End Rates#0#Ask%8</stp>
        <tr r="H11" s="16"/>
      </tp>
      <tp>
        <v>3.6907999999999999</v>
        <stp/>
        <stp>FWRC1#EURINR#Month End Rates#0#Ask%9</stp>
        <tr r="I11" s="16"/>
      </tp>
      <tp>
        <v>3.8393000000000002</v>
        <stp/>
        <stp>FWRC1#EURINR#Month End Rates#0#Ask%4</stp>
        <tr r="D11" s="16"/>
      </tp>
      <tp>
        <v>3.8534999999999999</v>
        <stp/>
        <stp>FWRC1#EURINR#Month End Rates#0#Ask%5</stp>
        <tr r="E11" s="16"/>
      </tp>
      <tp>
        <v>3.8186</v>
        <stp/>
        <stp>FWRC1#EURINR#Month End Rates#0#Ask%6</stp>
        <tr r="F11" s="16"/>
      </tp>
      <tp>
        <v>3.7726999999999999</v>
        <stp/>
        <stp>FWRC1#EURINR#Month End Rates#0#Ask%7</stp>
        <tr r="G11" s="16"/>
      </tp>
      <tp>
        <v>6.7427999999999999</v>
        <stp/>
        <stp>FWRC1#EURINR#Month End Rates#0#Ask%2</stp>
        <tr r="C11" s="16"/>
      </tp>
      <tp>
        <v>62.399900000000002</v>
        <stp/>
        <stp>FWRC1#JPYINR#Month End Rates#0#FwdOutrightAsk8</stp>
        <tr r="H8" s="18"/>
      </tp>
      <tp>
        <v>62.776200000000003</v>
        <stp/>
        <stp>FWRC1#JPYINR#Month End Rates#0#FwdOutrightAsk9</stp>
        <tr r="I8" s="18"/>
      </tp>
      <tp>
        <v>60.893599999999999</v>
        <stp/>
        <stp>FWRC1#JPYINR#Month End Rates#0#FwdOutrightAsk4</stp>
        <tr r="D8" s="18"/>
      </tp>
      <tp>
        <v>61.263300000000001</v>
        <stp/>
        <stp>FWRC1#JPYINR#Month End Rates#0#FwdOutrightAsk5</stp>
        <tr r="E8" s="18"/>
      </tp>
      <tp>
        <v>61.645499999999998</v>
        <stp/>
        <stp>FWRC1#JPYINR#Month End Rates#0#FwdOutrightAsk6</stp>
        <tr r="F8" s="18"/>
      </tp>
      <tp>
        <v>62.032299999999999</v>
        <stp/>
        <stp>FWRC1#JPYINR#Month End Rates#0#FwdOutrightAsk7</stp>
        <tr r="G8" s="18"/>
      </tp>
      <tp>
        <v>60.64</v>
        <stp/>
        <stp>FWRC1#JPYINR#Month End Rates#0#FwdOutrightAsk2</stp>
        <tr r="C8" s="18"/>
      </tp>
      <tp>
        <v>7.3912000000000004</v>
        <stp/>
        <stp>FWRC1#JPYINR#Month End Rates#0#Ask%9</stp>
        <tr r="I11" s="18"/>
      </tp>
      <tp>
        <v>7.4611999999999998</v>
        <stp/>
        <stp>FWRC1#JPYINR#Month End Rates#0#Ask%8</stp>
        <tr r="H11" s="18"/>
      </tp>
      <tp>
        <v>10.190300000000001</v>
        <stp/>
        <stp>FWRC1#JPYINR#Month End Rates#0#Ask%2</stp>
        <tr r="C11" s="18"/>
      </tp>
      <tp>
        <v>7.3574000000000002</v>
        <stp/>
        <stp>FWRC1#JPYINR#Month End Rates#0#Ask%5</stp>
        <tr r="E11" s="18"/>
      </tp>
      <tp>
        <v>7.2713000000000001</v>
        <stp/>
        <stp>FWRC1#JPYINR#Month End Rates#0#Ask%4</stp>
        <tr r="D11" s="18"/>
      </tp>
      <tp>
        <v>7.4177</v>
        <stp/>
        <stp>FWRC1#JPYINR#Month End Rates#0#Ask%7</stp>
        <tr r="G11" s="18"/>
      </tp>
      <tp>
        <v>7.3822999999999999</v>
        <stp/>
        <stp>FWRC1#JPYINR#Month End Rates#0#Ask%6</stp>
        <tr r="F11" s="18"/>
      </tp>
      <tp>
        <v>1.8228</v>
        <stp/>
        <stp>FWRC1#USDINR#Month End Rates#0#Ask%8</stp>
        <tr r="H11" s="14"/>
      </tp>
      <tp>
        <v>1.8593999999999999</v>
        <stp/>
        <stp>FWRC1#USDINR#Month End Rates#0#Ask%9</stp>
        <tr r="I11" s="14"/>
      </tp>
      <tp>
        <v>4.4626000000000001</v>
        <stp/>
        <stp>FWRC1#USDINR#Month End Rates#0#Ask%2</stp>
        <tr r="C11" s="14"/>
      </tp>
      <tp>
        <v>1.7686999999999999</v>
        <stp/>
        <stp>FWRC1#USDINR#Month End Rates#0#Ask%6</stp>
        <tr r="F11" s="14"/>
      </tp>
      <tp>
        <v>1.7968999999999999</v>
        <stp/>
        <stp>FWRC1#USDINR#Month End Rates#0#Ask%7</stp>
        <tr r="G11" s="14"/>
      </tp>
      <tp>
        <v>1.8063</v>
        <stp/>
        <stp>FWRC1#USDINR#Month End Rates#0#Ask%4</stp>
        <tr r="D11" s="14"/>
      </tp>
      <tp>
        <v>1.7282</v>
        <stp/>
        <stp>FWRC1#USDINR#Month End Rates#0#Ask%5</stp>
        <tr r="E11" s="14"/>
      </tp>
      <tp t="s">
        <v>31-Oct-2023</v>
        <stp/>
        <stp>FWRC1#USDINR#Month End Rates#0#S#MonthEndDate9</stp>
        <tr r="I2" s="14"/>
      </tp>
      <tp t="s">
        <v>29-Sep-2023</v>
        <stp/>
        <stp>FWRC1#USDINR#Month End Rates#0#S#MonthEndDate8</stp>
        <tr r="H2" s="14"/>
      </tp>
      <tp t="s">
        <v>31-Aug-2023</v>
        <stp/>
        <stp>FWRC1#USDINR#Month End Rates#0#S#MonthEndDate7</stp>
        <tr r="G2" s="14"/>
      </tp>
      <tp t="s">
        <v>31-Jul-2023</v>
        <stp/>
        <stp>FWRC1#USDINR#Month End Rates#0#S#MonthEndDate6</stp>
        <tr r="F2" s="14"/>
      </tp>
      <tp t="s">
        <v>30-Jun-2023</v>
        <stp/>
        <stp>FWRC1#USDINR#Month End Rates#0#S#MonthEndDate5</stp>
        <tr r="E2" s="14"/>
      </tp>
      <tp t="s">
        <v>31-May-2023</v>
        <stp/>
        <stp>FWRC1#USDINR#Month End Rates#0#S#MonthEndDate4</stp>
        <tr r="D2" s="14"/>
      </tp>
      <tp t="s">
        <v>10-May-2023</v>
        <stp/>
        <stp>FWRC1#USDINR#Month End Rates#0#S#MonthEndDate2</stp>
        <tr r="C2" s="14"/>
      </tp>
      <tp>
        <v>0.67493999999999998</v>
        <stp/>
        <stp>12#2#1#5903#SAUDUSD#Open</stp>
        <tr r="B15" s="23"/>
      </tp>
      <tp>
        <v>1.10162</v>
        <stp/>
        <stp>12#2#1#5949#SEURUSD#Open</stp>
        <tr r="E7" s="10"/>
        <tr r="B10" s="23"/>
      </tp>
      <tp>
        <v>1.3371</v>
        <stp/>
        <stp>12#2#1#6069#SUSDCAD#Open</stp>
        <tr r="B14" s="23"/>
      </tp>
      <tp>
        <v>21.85</v>
        <stp/>
        <stp>FWRC1#GBPUSD#Month Wise Rates#0#Close9</stp>
        <tr r="E28" s="23"/>
      </tp>
      <tp>
        <v>16.3</v>
        <stp/>
        <stp>FWRC1#GBPUSD#Month Wise Rates#0#Close8</stp>
        <tr r="D28" s="23"/>
      </tp>
      <tp>
        <v>9.56</v>
        <stp/>
        <stp>FWRC1#GBPUSD#Month Wise Rates#0#Close7</stp>
        <tr r="C28" s="23"/>
      </tp>
      <tp>
        <v>1.26586</v>
        <stp/>
        <stp>FWRC1#GBPUSD#Month Wise Rates#0#Close0</stp>
        <tr r="K28" s="23"/>
        <tr r="M28" s="23"/>
        <tr r="E28" s="23"/>
        <tr r="J28" s="23"/>
        <tr r="D28" s="23"/>
        <tr r="L28" s="23"/>
        <tr r="F28" s="23"/>
        <tr r="B28" s="23"/>
        <tr r="C28" s="23"/>
        <tr r="H28" s="23"/>
        <tr r="I28" s="23"/>
        <tr r="N28" s="23"/>
        <tr r="G28" s="23"/>
      </tp>
      <tp>
        <v>212.97499999999999</v>
        <stp/>
        <stp>FWRC1#EURINR#Month End Rates#0#Close11</stp>
        <tr r="J20" s="23"/>
      </tp>
      <tp>
        <v>181.5675</v>
        <stp/>
        <stp>FWRC1#EURINR#Month End Rates#0#Close10</stp>
        <tr r="I20" s="23"/>
      </tp>
      <tp>
        <v>265.11250000000001</v>
        <stp/>
        <stp>FWRC1#EURINR#Month End Rates#0#Close13</stp>
        <tr r="L20" s="23"/>
      </tp>
      <tp>
        <v>241.13249999999999</v>
        <stp/>
        <stp>FWRC1#EURINR#Month End Rates#0#Close12</stp>
        <tr r="K20" s="23"/>
      </tp>
      <tp>
        <v>327.72500000000002</v>
        <stp/>
        <stp>FWRC1#EURINR#Month End Rates#0#Close15</stp>
        <tr r="N20" s="23"/>
      </tp>
      <tp>
        <v>293.10250000000002</v>
        <stp/>
        <stp>FWRC1#EURINR#Month End Rates#0#Close14</stp>
        <tr r="M20" s="23"/>
      </tp>
      <tp>
        <v>55.545000000000002</v>
        <stp/>
        <stp>FWRC1#AUDINR#Month Wise Rates#0#Close0</stp>
        <tr r="D25" s="23"/>
        <tr r="E25" s="23"/>
        <tr r="C25" s="23"/>
        <tr r="B25" s="23"/>
        <tr r="G25" s="23"/>
        <tr r="H25" s="23"/>
        <tr r="I25" s="23"/>
        <tr r="N25" s="23"/>
        <tr r="M25" s="23"/>
        <tr r="J25" s="23"/>
        <tr r="K25" s="23"/>
        <tr r="L25" s="23"/>
        <tr r="F25" s="23"/>
      </tp>
      <tp>
        <v>1440.7217000000001</v>
        <stp/>
        <stp>FWRC1#AUDINR#Month Wise Rates#0#Close7</stp>
        <tr r="C25" s="23"/>
      </tp>
      <tp>
        <v>4239.4566000000004</v>
        <stp/>
        <stp>FWRC1#AUDINR#Month Wise Rates#0#Close9</stp>
        <tr r="E25" s="23"/>
      </tp>
      <tp>
        <v>2750.1257999999998</v>
        <stp/>
        <stp>FWRC1#AUDINR#Month Wise Rates#0#Close8</stp>
        <tr r="D25" s="23"/>
      </tp>
      <tp t="s">
        <v>10-Oct-2023</v>
        <stp/>
        <stp>FWRC1#USDINR#Month Wise Rates#0#S#PillarDate11</stp>
        <tr r="H2" s="15"/>
      </tp>
      <tp t="s">
        <v>11-Sep-2023</v>
        <stp/>
        <stp>FWRC1#USDINR#Month Wise Rates#0#S#PillarDate10</stp>
        <tr r="G2" s="15"/>
      </tp>
      <tp t="s">
        <v>11-Dec-2023</v>
        <stp/>
        <stp>FWRC1#USDINR#Month Wise Rates#0#S#PillarDate13</stp>
        <tr r="J2" s="15"/>
      </tp>
      <tp t="s">
        <v>13-Nov-2023</v>
        <stp/>
        <stp>FWRC1#USDINR#Month Wise Rates#0#S#PillarDate12</stp>
        <tr r="I2" s="15"/>
      </tp>
      <tp t="s">
        <v>12-Feb-2024</v>
        <stp/>
        <stp>FWRC1#USDINR#Month Wise Rates#0#S#PillarDate15</stp>
        <tr r="L2" s="15"/>
      </tp>
      <tp t="s">
        <v>10-Jan-2024</v>
        <stp/>
        <stp>FWRC1#USDINR#Month Wise Rates#0#S#PillarDate14</stp>
        <tr r="K2" s="15"/>
      </tp>
      <tp t="s">
        <v>10-Apr-2024</v>
        <stp/>
        <stp>FWRC1#USDINR#Month Wise Rates#0#S#PillarDate17</stp>
        <tr r="N2" s="15"/>
      </tp>
      <tp t="s">
        <v>11-Mar-2024</v>
        <stp/>
        <stp>FWRC1#USDINR#Month Wise Rates#0#S#PillarDate16</stp>
        <tr r="M2" s="15"/>
      </tp>
      <tp t="s">
        <v>10-May-2024</v>
        <stp/>
        <stp>FWRC1#USDINR#Month Wise Rates#0#S#PillarDate18</stp>
        <tr r="O2" s="15"/>
      </tp>
      <tp>
        <v>2.3220000000000001</v>
        <stp/>
        <stp>FWRC1#GBPINR#Month End Rates#0#Bid%8</stp>
        <tr r="H10" s="17"/>
      </tp>
      <tp>
        <v>2.2839999999999998</v>
        <stp/>
        <stp>FWRC1#GBPINR#Month End Rates#0#Bid%9</stp>
        <tr r="I10" s="17"/>
      </tp>
      <tp>
        <v>2.9333999999999998</v>
        <stp/>
        <stp>FWRC1#GBPINR#Month End Rates#0#Bid%2</stp>
        <tr r="C10" s="17"/>
      </tp>
      <tp>
        <v>2.3027000000000002</v>
        <stp/>
        <stp>FWRC1#GBPINR#Month End Rates#0#Bid%4</stp>
        <tr r="D10" s="17"/>
      </tp>
      <tp>
        <v>2.3649</v>
        <stp/>
        <stp>FWRC1#GBPINR#Month End Rates#0#Bid%5</stp>
        <tr r="E10" s="17"/>
      </tp>
      <tp>
        <v>2.391</v>
        <stp/>
        <stp>FWRC1#GBPINR#Month End Rates#0#Bid%6</stp>
        <tr r="F10" s="17"/>
      </tp>
      <tp>
        <v>2.3530000000000002</v>
        <stp/>
        <stp>FWRC1#GBPINR#Month End Rates#0#Bid%7</stp>
        <tr r="G10" s="17"/>
      </tp>
      <tp>
        <v>3.6276000000000002</v>
        <stp/>
        <stp>FWRC1#EURINR#Month End Rates#0#Bid%9</stp>
        <tr r="I10" s="16"/>
      </tp>
      <tp>
        <v>3.6726000000000001</v>
        <stp/>
        <stp>FWRC1#EURINR#Month End Rates#0#Bid%8</stp>
        <tr r="H10" s="16"/>
      </tp>
      <tp>
        <v>3.6732999999999998</v>
        <stp/>
        <stp>FWRC1#EURINR#Month End Rates#0#Bid%7</stp>
        <tr r="G10" s="16"/>
      </tp>
      <tp>
        <v>3.6918000000000002</v>
        <stp/>
        <stp>FWRC1#EURINR#Month End Rates#0#Bid%6</stp>
        <tr r="F10" s="16"/>
      </tp>
      <tp>
        <v>3.6772</v>
        <stp/>
        <stp>FWRC1#EURINR#Month End Rates#0#Bid%5</stp>
        <tr r="E10" s="16"/>
      </tp>
      <tp>
        <v>3.5474000000000001</v>
        <stp/>
        <stp>FWRC1#EURINR#Month End Rates#0#Bid%4</stp>
        <tr r="D10" s="16"/>
      </tp>
      <tp>
        <v>3.1246</v>
        <stp/>
        <stp>FWRC1#EURINR#Month End Rates#0#Bid%2</stp>
        <tr r="C10" s="16"/>
      </tp>
      <tp>
        <v>7.3711000000000002</v>
        <stp/>
        <stp>FWRC1#JPYINR#Month End Rates#0#Bid%8</stp>
        <tr r="H10" s="18"/>
      </tp>
      <tp>
        <v>7.3166000000000002</v>
        <stp/>
        <stp>FWRC1#JPYINR#Month End Rates#0#Bid%9</stp>
        <tr r="I10" s="18"/>
      </tp>
      <tp>
        <v>6.3361000000000001</v>
        <stp/>
        <stp>FWRC1#JPYINR#Month End Rates#0#Bid%2</stp>
        <tr r="C10" s="18"/>
      </tp>
      <tp>
        <v>7.2739000000000003</v>
        <stp/>
        <stp>FWRC1#JPYINR#Month End Rates#0#Bid%6</stp>
        <tr r="F10" s="18"/>
      </tp>
      <tp>
        <v>7.3076999999999996</v>
        <stp/>
        <stp>FWRC1#JPYINR#Month End Rates#0#Bid%7</stp>
        <tr r="G10" s="18"/>
      </tp>
      <tp>
        <v>6.9558</v>
        <stp/>
        <stp>FWRC1#JPYINR#Month End Rates#0#Bid%4</stp>
        <tr r="D10" s="18"/>
      </tp>
      <tp>
        <v>7.1756000000000002</v>
        <stp/>
        <stp>FWRC1#JPYINR#Month End Rates#0#Bid%5</stp>
        <tr r="E10" s="18"/>
      </tp>
      <tp>
        <v>1.8079000000000001</v>
        <stp/>
        <stp>FWRC1#USDINR#Month End Rates#0#Bid%9</stp>
        <tr r="I10" s="14"/>
      </tp>
      <tp>
        <v>1.7597</v>
        <stp/>
        <stp>FWRC1#USDINR#Month End Rates#0#Bid%8</stp>
        <tr r="H10" s="14"/>
      </tp>
      <tp>
        <v>0.89239999999999997</v>
        <stp/>
        <stp>FWRC1#USDINR#Month End Rates#0#Bid%2</stp>
        <tr r="C10" s="14"/>
      </tp>
      <tp>
        <v>1.5529999999999999</v>
        <stp/>
        <stp>FWRC1#USDINR#Month End Rates#0#Bid%5</stp>
        <tr r="E10" s="14"/>
      </tp>
      <tp>
        <v>1.3811</v>
        <stp/>
        <stp>FWRC1#USDINR#Month End Rates#0#Bid%4</stp>
        <tr r="D10" s="14"/>
      </tp>
      <tp>
        <v>1.7177</v>
        <stp/>
        <stp>FWRC1#USDINR#Month End Rates#0#Bid%7</stp>
        <tr r="G10" s="14"/>
      </tp>
      <tp>
        <v>1.6597</v>
        <stp/>
        <stp>FWRC1#USDINR#Month End Rates#0#Bid%6</stp>
        <tr r="F10" s="14"/>
      </tp>
      <tp>
        <v>134.80699999999999</v>
        <stp/>
        <stp>12#2#1#6069#SUSDJPY#Close</stp>
        <tr r="H9" s="10"/>
      </tp>
      <tp>
        <v>65.164400000000001</v>
        <stp/>
        <stp>FWRC1#JPYINR#Month End Rates#0#FwdOutrightBid15</stp>
        <tr r="O7" s="18"/>
      </tp>
      <tp>
        <v>64.714500000000001</v>
        <stp/>
        <stp>FWRC1#JPYINR#Month End Rates#0#FwdOutrightBid14</stp>
        <tr r="N7" s="18"/>
      </tp>
      <tp>
        <v>63.569899999999997</v>
        <stp/>
        <stp>FWRC1#JPYINR#Month End Rates#0#FwdOutrightBid11</stp>
        <tr r="K7" s="18"/>
      </tp>
      <tp>
        <v>63.142899999999997</v>
        <stp/>
        <stp>FWRC1#JPYINR#Month End Rates#0#FwdOutrightBid10</stp>
        <tr r="J7" s="18"/>
      </tp>
      <tp>
        <v>64.344800000000006</v>
        <stp/>
        <stp>FWRC1#JPYINR#Month End Rates#0#FwdOutrightBid13</stp>
        <tr r="M7" s="18"/>
      </tp>
      <tp>
        <v>63.9938</v>
        <stp/>
        <stp>FWRC1#JPYINR#Month End Rates#0#FwdOutrightBid12</stp>
        <tr r="L7" s="18"/>
      </tp>
      <tp>
        <v>-5.4989999999999997</v>
        <stp/>
        <stp>FWRC1#USDJPY#Month Wise Rates#0#Bid%9</stp>
        <tr r="F10" s="21"/>
      </tp>
      <tp>
        <v>-5.5412999999999997</v>
        <stp/>
        <stp>FWRC1#USDJPY#Month Wise Rates#0#Bid%8</stp>
        <tr r="E10" s="21"/>
      </tp>
      <tp>
        <v>-5.4835000000000003</v>
        <stp/>
        <stp>FWRC1#USDJPY#Month Wise Rates#0#Bid%7</stp>
        <tr r="D10" s="21"/>
      </tp>
      <tp>
        <v>-5.3803000000000001</v>
        <stp/>
        <stp>FWRC1#USDJPY#Month Wise Rates#0#Bid%2</stp>
        <tr r="C10" s="21"/>
      </tp>
      <tp>
        <v>1.03488</v>
        <stp/>
        <stp>12#2#1#6031#SGBPUSD#52WkLow</stp>
        <tr r="J8" s="10"/>
      </tp>
      <tp>
        <v>29423.782500000001</v>
        <stp/>
        <stp>FWRC1#JPYINR#Month End Rates#0#Close11</stp>
        <tr r="J22" s="23"/>
      </tp>
      <tp>
        <v>25153.912499999999</v>
        <stp/>
        <stp>FWRC1#JPYINR#Month End Rates#0#Close10</stp>
        <tr r="I22" s="23"/>
      </tp>
      <tp>
        <v>37172.730000000003</v>
        <stp/>
        <stp>FWRC1#JPYINR#Month End Rates#0#Close13</stp>
        <tr r="L22" s="23"/>
      </tp>
      <tp>
        <v>33663.3675</v>
        <stp/>
        <stp>FWRC1#JPYINR#Month End Rates#0#Close12</stp>
        <tr r="K22" s="23"/>
      </tp>
      <tp>
        <v>45368.665000000001</v>
        <stp/>
        <stp>FWRC1#JPYINR#Month End Rates#0#Close15</stp>
        <tr r="N22" s="23"/>
      </tp>
      <tp>
        <v>40870.14</v>
        <stp/>
        <stp>FWRC1#JPYINR#Month End Rates#0#Close14</stp>
        <tr r="M22" s="23"/>
      </tp>
      <tp>
        <v>7.7157999999999998</v>
        <stp/>
        <stp>FWRC1#JPYINR#Month End Rates#0#Ask%15</stp>
        <tr r="O11" s="18"/>
      </tp>
      <tp>
        <v>7.6784999999999997</v>
        <stp/>
        <stp>FWRC1#JPYINR#Month End Rates#0#Ask%14</stp>
        <tr r="N11" s="18"/>
      </tp>
      <tp>
        <v>7.6325000000000003</v>
        <stp/>
        <stp>FWRC1#JPYINR#Month End Rates#0#Ask%13</stp>
        <tr r="M11" s="18"/>
      </tp>
      <tp>
        <v>7.6696</v>
        <stp/>
        <stp>FWRC1#JPYINR#Month End Rates#0#Ask%12</stp>
        <tr r="L11" s="18"/>
      </tp>
      <tp>
        <v>7.6656000000000004</v>
        <stp/>
        <stp>FWRC1#JPYINR#Month End Rates#0#Ask%11</stp>
        <tr r="K11" s="18"/>
      </tp>
      <tp>
        <v>7.4943</v>
        <stp/>
        <stp>FWRC1#JPYINR#Month End Rates#0#Ask%10</stp>
        <tr r="J11" s="18"/>
      </tp>
      <tp>
        <v>7.6707999999999998</v>
        <stp/>
        <stp>FWRC1#JPYINR#Month End Rates#0#Bid%15</stp>
        <tr r="O10" s="18"/>
      </tp>
      <tp>
        <v>7.6162000000000001</v>
        <stp/>
        <stp>FWRC1#JPYINR#Month End Rates#0#Bid%14</stp>
        <tr r="N10" s="18"/>
      </tp>
      <tp>
        <v>7.6010999999999997</v>
        <stp/>
        <stp>FWRC1#JPYINR#Month End Rates#0#Bid%11</stp>
        <tr r="K10" s="18"/>
      </tp>
      <tp>
        <v>7.4218000000000002</v>
        <stp/>
        <stp>FWRC1#JPYINR#Month End Rates#0#Bid%10</stp>
        <tr r="J10" s="18"/>
      </tp>
      <tp>
        <v>7.5846999999999998</v>
        <stp/>
        <stp>FWRC1#JPYINR#Month End Rates#0#Bid%13</stp>
        <tr r="M10" s="18"/>
      </tp>
      <tp>
        <v>7.6173999999999999</v>
        <stp/>
        <stp>FWRC1#JPYINR#Month End Rates#0#Bid%12</stp>
        <tr r="L10" s="18"/>
      </tp>
      <tp t="s">
        <v>10-May-2024</v>
        <stp/>
        <stp>FWRC1#GBPUSD#Month Wise Rates#0#S#PillarDate18</stp>
        <tr r="O2" s="20"/>
      </tp>
      <tp t="s">
        <v>12-Feb-2024</v>
        <stp/>
        <stp>FWRC1#GBPUSD#Month Wise Rates#0#S#PillarDate15</stp>
        <tr r="L2" s="20"/>
      </tp>
      <tp t="s">
        <v>10-Jan-2024</v>
        <stp/>
        <stp>FWRC1#GBPUSD#Month Wise Rates#0#S#PillarDate14</stp>
        <tr r="K2" s="20"/>
      </tp>
      <tp t="s">
        <v>10-Apr-2024</v>
        <stp/>
        <stp>FWRC1#GBPUSD#Month Wise Rates#0#S#PillarDate17</stp>
        <tr r="N2" s="20"/>
      </tp>
      <tp t="s">
        <v>11-Mar-2024</v>
        <stp/>
        <stp>FWRC1#GBPUSD#Month Wise Rates#0#S#PillarDate16</stp>
        <tr r="M2" s="20"/>
      </tp>
      <tp t="s">
        <v>10-Oct-2023</v>
        <stp/>
        <stp>FWRC1#GBPUSD#Month Wise Rates#0#S#PillarDate11</stp>
        <tr r="H2" s="20"/>
      </tp>
      <tp t="s">
        <v>11-Sep-2023</v>
        <stp/>
        <stp>FWRC1#GBPUSD#Month Wise Rates#0#S#PillarDate10</stp>
        <tr r="G2" s="20"/>
      </tp>
      <tp t="s">
        <v>11-Dec-2023</v>
        <stp/>
        <stp>FWRC1#GBPUSD#Month Wise Rates#0#S#PillarDate13</stp>
        <tr r="J2" s="20"/>
      </tp>
      <tp t="s">
        <v>13-Nov-2023</v>
        <stp/>
        <stp>FWRC1#GBPUSD#Month Wise Rates#0#S#PillarDate12</stp>
        <tr r="I2" s="20"/>
      </tp>
      <tp>
        <v>105.2916</v>
        <stp/>
        <stp>FWRC1#GBPINR#Month End Rates#0#FwdOutrightAsk13</stp>
        <tr r="M8" s="17"/>
      </tp>
      <tp>
        <v>105.11660000000001</v>
        <stp/>
        <stp>FWRC1#GBPINR#Month End Rates#0#FwdOutrightAsk12</stp>
        <tr r="L8" s="17"/>
      </tp>
      <tp>
        <v>104.9327</v>
        <stp/>
        <stp>FWRC1#GBPINR#Month End Rates#0#FwdOutrightAsk11</stp>
        <tr r="K8" s="17"/>
      </tp>
      <tp>
        <v>104.73009999999999</v>
        <stp/>
        <stp>FWRC1#GBPINR#Month End Rates#0#FwdOutrightAsk10</stp>
        <tr r="J8" s="17"/>
      </tp>
      <tp>
        <v>105.73569999999999</v>
        <stp/>
        <stp>FWRC1#GBPINR#Month End Rates#0#FwdOutrightAsk15</stp>
        <tr r="O8" s="17"/>
      </tp>
      <tp>
        <v>105.4812</v>
        <stp/>
        <stp>FWRC1#GBPINR#Month End Rates#0#FwdOutrightAsk14</stp>
        <tr r="N8" s="17"/>
      </tp>
      <tp>
        <v>104.3014</v>
        <stp/>
        <stp>FWRC1#GBPINR#Month End Rates#0#FwdOutrightBid8</stp>
        <tr r="H7" s="17"/>
      </tp>
      <tp>
        <v>104.4932</v>
        <stp/>
        <stp>FWRC1#GBPINR#Month End Rates#0#FwdOutrightBid9</stp>
        <tr r="I7" s="17"/>
      </tp>
      <tp>
        <v>103.50449999999999</v>
        <stp/>
        <stp>FWRC1#GBPINR#Month End Rates#0#FwdOutrightBid4</stp>
        <tr r="D7" s="17"/>
      </tp>
      <tp>
        <v>103.70910000000001</v>
        <stp/>
        <stp>FWRC1#GBPINR#Month End Rates#0#FwdOutrightBid5</stp>
        <tr r="E7" s="17"/>
      </tp>
      <tp>
        <v>103.9229</v>
        <stp/>
        <stp>FWRC1#GBPINR#Month End Rates#0#FwdOutrightBid6</stp>
        <tr r="F7" s="17"/>
      </tp>
      <tp>
        <v>104.1206</v>
        <stp/>
        <stp>FWRC1#GBPINR#Month End Rates#0#FwdOutrightBid7</stp>
        <tr r="G7" s="17"/>
      </tp>
      <tp>
        <v>103.36750000000001</v>
        <stp/>
        <stp>FWRC1#GBPINR#Month End Rates#0#FwdOutrightBid2</stp>
        <tr r="C7" s="17"/>
      </tp>
      <tp>
        <v>0.89032999999999995</v>
        <stp/>
        <stp>12#2#1#6069#SUSDCHF#Open</stp>
        <tr r="B13" s="23"/>
      </tp>
      <tp>
        <v>1.26274</v>
        <stp/>
        <stp>12#2#1#6031#SGBPUSD#Close</stp>
        <tr r="H8" s="10"/>
      </tp>
      <tp>
        <v>92.418400000000005</v>
        <stp/>
        <stp>FWRC1#EURINR#Month End Rates#0#FwdOutrightAsk11</stp>
        <tr r="K8" s="16"/>
      </tp>
      <tp>
        <v>92.114400000000003</v>
        <stp/>
        <stp>FWRC1#EURINR#Month End Rates#0#FwdOutrightAsk10</stp>
        <tr r="J8" s="16"/>
      </tp>
      <tp>
        <v>92.962900000000005</v>
        <stp/>
        <stp>FWRC1#EURINR#Month End Rates#0#FwdOutrightAsk13</stp>
        <tr r="M8" s="16"/>
      </tp>
      <tp>
        <v>92.702699999999993</v>
        <stp/>
        <stp>FWRC1#EURINR#Month End Rates#0#FwdOutrightAsk12</stp>
        <tr r="L8" s="16"/>
      </tp>
      <tp>
        <v>93.577699999999993</v>
        <stp/>
        <stp>FWRC1#EURINR#Month End Rates#0#FwdOutrightAsk15</stp>
        <tr r="O8" s="16"/>
      </tp>
      <tp>
        <v>93.247</v>
        <stp/>
        <stp>FWRC1#EURINR#Month End Rates#0#FwdOutrightAsk14</stp>
        <tr r="N8" s="16"/>
      </tp>
      <tp>
        <v>135.29900000000001</v>
        <stp/>
        <stp>12#2#1#6069#SUSDJPY#High</stp>
        <tr r="C12" s="23"/>
        <tr r="F9" s="10"/>
      </tp>
      <tp>
        <v>99</v>
        <stp/>
        <stp>FWRC1#USDINR#Month End Rates#0#Close11</stp>
        <tr r="J19" s="23"/>
      </tp>
      <tp>
        <v>85</v>
        <stp/>
        <stp>FWRC1#USDINR#Month End Rates#0#Close10</stp>
        <tr r="I19" s="23"/>
      </tp>
      <tp>
        <v>132.25</v>
        <stp/>
        <stp>FWRC1#USDINR#Month End Rates#0#Close13</stp>
        <tr r="L19" s="23"/>
      </tp>
      <tp>
        <v>116.5</v>
        <stp/>
        <stp>FWRC1#USDINR#Month End Rates#0#Close12</stp>
        <tr r="K19" s="23"/>
      </tp>
      <tp>
        <v>173</v>
        <stp/>
        <stp>FWRC1#USDINR#Month End Rates#0#Close15</stp>
        <tr r="N19" s="23"/>
      </tp>
      <tp>
        <v>147.5</v>
        <stp/>
        <stp>FWRC1#USDINR#Month End Rates#0#Close14</stp>
        <tr r="M19" s="23"/>
      </tp>
      <tp>
        <v>23481.755000000001</v>
        <stp/>
        <stp>FWRC1#GBPINR#Month End Rates#0#AskPrice15</stp>
        <tr r="O5" s="17"/>
      </tp>
      <tp>
        <v>20936.8</v>
        <stp/>
        <stp>FWRC1#GBPINR#Month End Rates#0#AskPrice14</stp>
        <tr r="N5" s="17"/>
      </tp>
      <tp>
        <v>19040.6875</v>
        <stp/>
        <stp>FWRC1#GBPINR#Month End Rates#0#AskPrice13</stp>
        <tr r="M5" s="17"/>
      </tp>
      <tp>
        <v>17290.912499999999</v>
        <stp/>
        <stp>FWRC1#GBPINR#Month End Rates#0#AskPrice12</stp>
        <tr r="L5" s="17"/>
      </tp>
      <tp>
        <v>15452.202499999999</v>
        <stp/>
        <stp>FWRC1#GBPINR#Month End Rates#0#AskPrice11</stp>
        <tr r="K5" s="17"/>
      </tp>
      <tp>
        <v>13426.3925</v>
        <stp/>
        <stp>FWRC1#GBPINR#Month End Rates#0#AskPrice10</stp>
        <tr r="J5" s="17"/>
      </tp>
      <tp>
        <v>23070.325000000001</v>
        <stp/>
        <stp>FWRC1#GBPINR#Month End Rates#0#BidPrice15</stp>
        <tr r="O4" s="17"/>
      </tp>
      <tp>
        <v>20518.162499999999</v>
        <stp/>
        <stp>FWRC1#GBPINR#Month End Rates#0#BidPrice14</stp>
        <tr r="N4" s="17"/>
      </tp>
      <tp>
        <v>15056.27</v>
        <stp/>
        <stp>FWRC1#GBPINR#Month End Rates#0#BidPrice11</stp>
        <tr r="K4" s="17"/>
      </tp>
      <tp>
        <v>12943.5975</v>
        <stp/>
        <stp>FWRC1#GBPINR#Month End Rates#0#BidPrice10</stp>
        <tr r="J4" s="17"/>
      </tp>
      <tp>
        <v>18639.1525</v>
        <stp/>
        <stp>FWRC1#GBPINR#Month End Rates#0#BidPrice13</stp>
        <tr r="M4" s="17"/>
      </tp>
      <tp>
        <v>16875.837500000001</v>
        <stp/>
        <stp>FWRC1#GBPINR#Month End Rates#0#BidPrice12</stp>
        <tr r="L4" s="17"/>
      </tp>
      <tp>
        <v>1.10162</v>
        <stp/>
        <stp>12#2#1#5949#SEURUSD#Close</stp>
        <tr r="H7" s="10"/>
      </tp>
      <tp>
        <v>327.72500000000002</v>
        <stp/>
        <stp>FWRC1#EURINR#Month End Rates#0#BidPrice15</stp>
        <tr r="O4" s="16"/>
      </tp>
      <tp>
        <v>293.10250000000002</v>
        <stp/>
        <stp>FWRC1#EURINR#Month End Rates#0#BidPrice14</stp>
        <tr r="N4" s="16"/>
      </tp>
      <tp>
        <v>265.11250000000001</v>
        <stp/>
        <stp>FWRC1#EURINR#Month End Rates#0#BidPrice13</stp>
        <tr r="M4" s="16"/>
      </tp>
      <tp>
        <v>241.13249999999999</v>
        <stp/>
        <stp>FWRC1#EURINR#Month End Rates#0#BidPrice12</stp>
        <tr r="L4" s="16"/>
      </tp>
      <tp>
        <v>212.97499999999999</v>
        <stp/>
        <stp>FWRC1#EURINR#Month End Rates#0#BidPrice11</stp>
        <tr r="K4" s="16"/>
      </tp>
      <tp>
        <v>181.5675</v>
        <stp/>
        <stp>FWRC1#EURINR#Month End Rates#0#BidPrice10</stp>
        <tr r="J4" s="16"/>
      </tp>
      <tp>
        <v>332.76499999999999</v>
        <stp/>
        <stp>FWRC1#EURINR#Month End Rates#0#AskPrice15</stp>
        <tr r="O5" s="16"/>
      </tp>
      <tp>
        <v>299.69499999999999</v>
        <stp/>
        <stp>FWRC1#EURINR#Month End Rates#0#AskPrice14</stp>
        <tr r="N5" s="16"/>
      </tp>
      <tp>
        <v>216.8425</v>
        <stp/>
        <stp>FWRC1#EURINR#Month End Rates#0#AskPrice11</stp>
        <tr r="K5" s="16"/>
      </tp>
      <tp>
        <v>186.4375</v>
        <stp/>
        <stp>FWRC1#EURINR#Month End Rates#0#AskPrice10</stp>
        <tr r="J5" s="16"/>
      </tp>
      <tp>
        <v>271.29000000000002</v>
        <stp/>
        <stp>FWRC1#EURINR#Month End Rates#0#AskPrice13</stp>
        <tr r="M5" s="16"/>
      </tp>
      <tp>
        <v>245.26750000000001</v>
        <stp/>
        <stp>FWRC1#EURINR#Month End Rates#0#AskPrice12</stp>
        <tr r="L5" s="16"/>
      </tp>
      <tp>
        <v>126.321</v>
        <stp/>
        <stp>12#2#1#6069#SUSDJPY#52WkLow</stp>
        <tr r="J9" s="10"/>
      </tp>
      <tp>
        <v>1.8592</v>
        <stp/>
        <stp>FWRC1#USDINR#Month End Rates#0#Bid%10</stp>
        <tr r="J10" s="14"/>
      </tp>
      <tp>
        <v>1.8958999999999999</v>
        <stp/>
        <stp>FWRC1#USDINR#Month End Rates#0#Bid%11</stp>
        <tr r="K10" s="14"/>
      </tp>
      <tp>
        <v>1.9542999999999999</v>
        <stp/>
        <stp>FWRC1#USDINR#Month End Rates#0#Bid%12</stp>
        <tr r="L10" s="14"/>
      </tp>
      <tp>
        <v>2.0004</v>
        <stp/>
        <stp>FWRC1#USDINR#Month End Rates#0#Bid%13</stp>
        <tr r="M10" s="14"/>
      </tp>
      <tp>
        <v>2.0375999999999999</v>
        <stp/>
        <stp>FWRC1#USDINR#Month End Rates#0#Bid%14</stp>
        <tr r="N10" s="14"/>
      </tp>
      <tp>
        <v>2.1684000000000001</v>
        <stp/>
        <stp>FWRC1#USDINR#Month End Rates#0#Bid%15</stp>
        <tr r="O10" s="14"/>
      </tp>
      <tp>
        <v>1.9881</v>
        <stp/>
        <stp>FWRC1#USDINR#Month End Rates#0#Ask%12</stp>
        <tr r="L11" s="14"/>
      </tp>
      <tp>
        <v>2.0308999999999999</v>
        <stp/>
        <stp>FWRC1#USDINR#Month End Rates#0#Ask%13</stp>
        <tr r="M11" s="14"/>
      </tp>
      <tp>
        <v>1.9032</v>
        <stp/>
        <stp>FWRC1#USDINR#Month End Rates#0#Ask%10</stp>
        <tr r="J11" s="14"/>
      </tp>
      <tp>
        <v>1.9345000000000001</v>
        <stp/>
        <stp>FWRC1#USDINR#Month End Rates#0#Ask%11</stp>
        <tr r="K11" s="14"/>
      </tp>
      <tp>
        <v>2.0655000000000001</v>
        <stp/>
        <stp>FWRC1#USDINR#Month End Rates#0#Ask%14</stp>
        <tr r="N11" s="14"/>
      </tp>
      <tp>
        <v>2.1937000000000002</v>
        <stp/>
        <stp>FWRC1#USDINR#Month End Rates#0#Ask%15</stp>
        <tr r="O11" s="14"/>
      </tp>
      <tp t="s">
        <v>12M</v>
        <stp/>
        <stp>FWRC1#GBPUSD#Month Wise Rates#0#S#Desc.18</stp>
        <tr r="O1" s="20"/>
      </tp>
      <tp t="s">
        <v>5M</v>
        <stp/>
        <stp>FWRC1#GBPUSD#Month Wise Rates#0#S#Desc.11</stp>
        <tr r="H1" s="20"/>
      </tp>
      <tp t="s">
        <v>4M</v>
        <stp/>
        <stp>FWRC1#GBPUSD#Month Wise Rates#0#S#Desc.10</stp>
        <tr r="G1" s="20"/>
      </tp>
      <tp t="s">
        <v>7M</v>
        <stp/>
        <stp>FWRC1#GBPUSD#Month Wise Rates#0#S#Desc.13</stp>
        <tr r="J1" s="20"/>
      </tp>
      <tp t="s">
        <v>6M</v>
        <stp/>
        <stp>FWRC1#GBPUSD#Month Wise Rates#0#S#Desc.12</stp>
        <tr r="I1" s="20"/>
      </tp>
      <tp t="s">
        <v>9M</v>
        <stp/>
        <stp>FWRC1#GBPUSD#Month Wise Rates#0#S#Desc.15</stp>
        <tr r="L1" s="20"/>
      </tp>
      <tp t="s">
        <v>8M</v>
        <stp/>
        <stp>FWRC1#GBPUSD#Month Wise Rates#0#S#Desc.14</stp>
        <tr r="K1" s="20"/>
      </tp>
      <tp t="s">
        <v>11M</v>
        <stp/>
        <stp>FWRC1#GBPUSD#Month Wise Rates#0#S#Desc.17</stp>
        <tr r="N1" s="20"/>
      </tp>
      <tp t="s">
        <v>10M</v>
        <stp/>
        <stp>FWRC1#GBPUSD#Month Wise Rates#0#S#Desc.16</stp>
        <tr r="M1" s="20"/>
      </tp>
      <tp>
        <v>92.037499999999994</v>
        <stp/>
        <stp>FWRC1#CHFINR#Month Wise Rates#0#Close0</stp>
        <tr r="D23" s="23"/>
        <tr r="E23" s="23"/>
        <tr r="K23" s="23"/>
        <tr r="L23" s="23"/>
        <tr r="J23" s="23"/>
        <tr r="N23" s="23"/>
        <tr r="M23" s="23"/>
        <tr r="H23" s="23"/>
        <tr r="B23" s="23"/>
        <tr r="G23" s="23"/>
        <tr r="I23" s="23"/>
        <tr r="C23" s="23"/>
        <tr r="F23" s="23"/>
      </tp>
      <tp>
        <v>4621.0788000000002</v>
        <stp/>
        <stp>FWRC1#CHFINR#Month Wise Rates#0#Close7</stp>
        <tr r="C23" s="23"/>
      </tp>
      <tp>
        <v>13350.093199999999</v>
        <stp/>
        <stp>FWRC1#CHFINR#Month Wise Rates#0#Close9</stp>
        <tr r="E23" s="23"/>
      </tp>
      <tp>
        <v>8833.0833000000002</v>
        <stp/>
        <stp>FWRC1#CHFINR#Month Wise Rates#0#Close8</stp>
        <tr r="D23" s="23"/>
      </tp>
      <tp>
        <v>1.6827000000000001</v>
        <stp/>
        <stp>FWRC1#USDINR#Month Wise Rates#0#Bid%9</stp>
        <tr r="F10" s="15"/>
      </tp>
      <tp>
        <v>1.5992999999999999</v>
        <stp/>
        <stp>FWRC1#USDINR#Month Wise Rates#0#Bid%8</stp>
        <tr r="E10" s="15"/>
      </tp>
      <tp>
        <v>1.4874000000000001</v>
        <stp/>
        <stp>FWRC1#USDINR#Month Wise Rates#0#Bid%7</stp>
        <tr r="D10" s="15"/>
      </tp>
      <tp>
        <v>1.3811</v>
        <stp/>
        <stp>FWRC1#USDINR#Month Wise Rates#0#Bid%3</stp>
        <tr r="C10" s="15"/>
      </tp>
      <tp>
        <v>0.80830000000000002</v>
        <stp/>
        <stp>FWRC1#GBPUSD#Month Wise Rates#0#Ask%8</stp>
        <tr r="E11" s="20"/>
      </tp>
      <tp>
        <v>0.72240000000000004</v>
        <stp/>
        <stp>FWRC1#GBPUSD#Month Wise Rates#0#Ask%9</stp>
        <tr r="F11" s="20"/>
      </tp>
      <tp>
        <v>1.3552</v>
        <stp/>
        <stp>FWRC1#GBPUSD#Month Wise Rates#0#Ask%2</stp>
        <tr r="C11" s="20"/>
      </tp>
      <tp>
        <v>0.84399999999999997</v>
        <stp/>
        <stp>FWRC1#GBPUSD#Month Wise Rates#0#Ask%7</stp>
        <tr r="D11" s="20"/>
      </tp>
      <tp t="s">
        <v>12M</v>
        <stp/>
        <stp>FWRC1#EURUSD#Month Wise Rates#0#S#Desc.18</stp>
        <tr r="O1" s="19"/>
      </tp>
      <tp t="s">
        <v>7M</v>
        <stp/>
        <stp>FWRC1#EURUSD#Month Wise Rates#0#S#Desc.13</stp>
        <tr r="J1" s="19"/>
      </tp>
      <tp t="s">
        <v>6M</v>
        <stp/>
        <stp>FWRC1#EURUSD#Month Wise Rates#0#S#Desc.12</stp>
        <tr r="I1" s="19"/>
      </tp>
      <tp t="s">
        <v>5M</v>
        <stp/>
        <stp>FWRC1#EURUSD#Month Wise Rates#0#S#Desc.11</stp>
        <tr r="H1" s="19"/>
      </tp>
      <tp t="s">
        <v>4M</v>
        <stp/>
        <stp>FWRC1#EURUSD#Month Wise Rates#0#S#Desc.10</stp>
        <tr r="G1" s="19"/>
      </tp>
      <tp t="s">
        <v>11M</v>
        <stp/>
        <stp>FWRC1#EURUSD#Month Wise Rates#0#S#Desc.17</stp>
        <tr r="N1" s="19"/>
      </tp>
      <tp t="s">
        <v>10M</v>
        <stp/>
        <stp>FWRC1#EURUSD#Month Wise Rates#0#S#Desc.16</stp>
        <tr r="M1" s="19"/>
      </tp>
      <tp t="s">
        <v>9M</v>
        <stp/>
        <stp>FWRC1#EURUSD#Month Wise Rates#0#S#Desc.15</stp>
        <tr r="L1" s="19"/>
      </tp>
      <tp t="s">
        <v>8M</v>
        <stp/>
        <stp>FWRC1#EURUSD#Month Wise Rates#0#S#Desc.14</stp>
        <tr r="K1" s="19"/>
      </tp>
      <tp>
        <v>134.80699999999999</v>
        <stp/>
        <stp>12#2#1#6069#SUSDJPY#Open</stp>
        <tr r="B12" s="23"/>
        <tr r="E9" s="10"/>
      </tp>
      <tp>
        <v>104.3541</v>
        <stp/>
        <stp>FWRC1#GBPINR#Month End Rates#0#FwdOutrightAsk8</stp>
        <tr r="H8" s="17"/>
      </tp>
      <tp>
        <v>104.5485</v>
        <stp/>
        <stp>FWRC1#GBPINR#Month End Rates#0#FwdOutrightAsk9</stp>
        <tr r="I8" s="17"/>
      </tp>
      <tp>
        <v>103.5441</v>
        <stp/>
        <stp>FWRC1#GBPINR#Month End Rates#0#FwdOutrightAsk4</stp>
        <tr r="D8" s="17"/>
      </tp>
      <tp>
        <v>103.7572</v>
        <stp/>
        <stp>FWRC1#GBPINR#Month End Rates#0#FwdOutrightAsk5</stp>
        <tr r="E8" s="17"/>
      </tp>
      <tp>
        <v>103.9687</v>
        <stp/>
        <stp>FWRC1#GBPINR#Month End Rates#0#FwdOutrightAsk6</stp>
        <tr r="F8" s="17"/>
      </tp>
      <tp>
        <v>104.17</v>
        <stp/>
        <stp>FWRC1#GBPINR#Month End Rates#0#FwdOutrightAsk7</stp>
        <tr r="G8" s="17"/>
      </tp>
      <tp>
        <v>103.3875</v>
        <stp/>
        <stp>FWRC1#GBPINR#Month End Rates#0#FwdOutrightAsk2</stp>
        <tr r="C8" s="17"/>
      </tp>
      <tp>
        <v>0.89126000000000005</v>
        <stp/>
        <stp>12#2#1#6069#SUSDCHF#High</stp>
        <tr r="C13" s="23"/>
      </tp>
      <tp>
        <v>2.0819999999999999</v>
        <stp/>
        <stp>FWRC1#EURUSD#Month Wise Rates#0#Ask%8</stp>
        <tr r="E11" s="19"/>
      </tp>
      <tp>
        <v>2.0156000000000001</v>
        <stp/>
        <stp>FWRC1#EURUSD#Month Wise Rates#0#Ask%9</stp>
        <tr r="F11" s="19"/>
      </tp>
      <tp>
        <v>2.2999000000000001</v>
        <stp/>
        <stp>FWRC1#EURUSD#Month Wise Rates#0#Ask%2</stp>
        <tr r="C11" s="19"/>
      </tp>
      <tp>
        <v>2.0817999999999999</v>
        <stp/>
        <stp>FWRC1#EURUSD#Month Wise Rates#0#Ask%7</stp>
        <tr r="D11" s="19"/>
      </tp>
      <tp>
        <v>1.3267</v>
        <stp/>
        <stp>12#2#1#6069#SUSDSGD#High</stp>
        <tr r="C16" s="23"/>
      </tp>
      <tp>
        <v>2.0066000000000002</v>
        <stp/>
        <stp>FWRC1#EURUSD#Month Wise Rates#0#Bid%9</stp>
        <tr r="F10" s="19"/>
      </tp>
      <tp>
        <v>2.0792000000000002</v>
        <stp/>
        <stp>FWRC1#EURUSD#Month Wise Rates#0#Bid%8</stp>
        <tr r="E10" s="19"/>
      </tp>
      <tp>
        <v>2.2334999999999998</v>
        <stp/>
        <stp>FWRC1#EURUSD#Month Wise Rates#0#Bid%2</stp>
        <tr r="C10" s="19"/>
      </tp>
      <tp>
        <v>2.0615999999999999</v>
        <stp/>
        <stp>FWRC1#EURUSD#Month Wise Rates#0#Bid%7</stp>
        <tr r="D10" s="19"/>
      </tp>
      <tp>
        <v>-25.62</v>
        <stp/>
        <stp>FWRC1#USDCAD#Month Wise Rates#0#Close9</stp>
        <tr r="E31" s="23"/>
      </tp>
      <tp>
        <v>-17.72</v>
        <stp/>
        <stp>FWRC1#USDCAD#Month Wise Rates#0#Close8</stp>
        <tr r="D31" s="23"/>
      </tp>
      <tp>
        <v>1.3345400000000001</v>
        <stp/>
        <stp>FWRC1#USDCAD#Month Wise Rates#0#Close0</stp>
        <tr r="E31" s="23"/>
        <tr r="C31" s="23"/>
        <tr r="J31" s="23"/>
        <tr r="K31" s="23"/>
        <tr r="M31" s="23"/>
        <tr r="D31" s="23"/>
        <tr r="N31" s="23"/>
        <tr r="G31" s="23"/>
        <tr r="I31" s="23"/>
        <tr r="B31" s="23"/>
        <tr r="H31" s="23"/>
        <tr r="F31" s="23"/>
        <tr r="L31" s="23"/>
      </tp>
      <tp>
        <v>-8.7200000000000006</v>
        <stp/>
        <stp>FWRC1#USDCAD#Month Wise Rates#0#Close7</stp>
        <tr r="C31" s="23"/>
      </tp>
      <tp t="s">
        <v>10-May-2024</v>
        <stp/>
        <stp>FWRC1#EURUSD#Month Wise Rates#0#S#PillarDate18</stp>
        <tr r="O2" s="19"/>
      </tp>
      <tp t="s">
        <v>12-Feb-2024</v>
        <stp/>
        <stp>FWRC1#EURUSD#Month Wise Rates#0#S#PillarDate15</stp>
        <tr r="L2" s="19"/>
      </tp>
      <tp t="s">
        <v>10-Jan-2024</v>
        <stp/>
        <stp>FWRC1#EURUSD#Month Wise Rates#0#S#PillarDate14</stp>
        <tr r="K2" s="19"/>
      </tp>
      <tp t="s">
        <v>10-Apr-2024</v>
        <stp/>
        <stp>FWRC1#EURUSD#Month Wise Rates#0#S#PillarDate17</stp>
        <tr r="N2" s="19"/>
      </tp>
      <tp t="s">
        <v>11-Mar-2024</v>
        <stp/>
        <stp>FWRC1#EURUSD#Month Wise Rates#0#S#PillarDate16</stp>
        <tr r="M2" s="19"/>
      </tp>
      <tp t="s">
        <v>10-Oct-2023</v>
        <stp/>
        <stp>FWRC1#EURUSD#Month Wise Rates#0#S#PillarDate11</stp>
        <tr r="H2" s="19"/>
      </tp>
      <tp t="s">
        <v>11-Sep-2023</v>
        <stp/>
        <stp>FWRC1#EURUSD#Month Wise Rates#0#S#PillarDate10</stp>
        <tr r="G2" s="19"/>
      </tp>
      <tp t="s">
        <v>11-Dec-2023</v>
        <stp/>
        <stp>FWRC1#EURUSD#Month Wise Rates#0#S#PillarDate13</stp>
        <tr r="J2" s="19"/>
      </tp>
      <tp t="s">
        <v>13-Nov-2023</v>
        <stp/>
        <stp>FWRC1#EURUSD#Month Wise Rates#0#S#PillarDate12</stp>
        <tr r="I2" s="19"/>
      </tp>
      <tp>
        <v>91.527000000000001</v>
        <stp/>
        <stp>FWRC1#EURINR#Month End Rates#0#FwdOutrightBid8</stp>
        <tr r="H7" s="16"/>
      </tp>
      <tp>
        <v>91.798199999999994</v>
        <stp/>
        <stp>FWRC1#EURINR#Month End Rates#0#FwdOutrightBid9</stp>
        <tr r="I7" s="16"/>
      </tp>
      <tp>
        <v>90.421700000000001</v>
        <stp/>
        <stp>FWRC1#EURINR#Month End Rates#0#FwdOutrightBid4</stp>
        <tr r="D7" s="16"/>
      </tp>
      <tp>
        <v>90.7012</v>
        <stp/>
        <stp>FWRC1#EURINR#Month End Rates#0#FwdOutrightBid5</stp>
        <tr r="E7" s="16"/>
      </tp>
      <tp>
        <v>90.986000000000004</v>
        <stp/>
        <stp>FWRC1#EURINR#Month End Rates#0#FwdOutrightBid6</stp>
        <tr r="F7" s="16"/>
      </tp>
      <tp>
        <v>91.263800000000003</v>
        <stp/>
        <stp>FWRC1#EURINR#Month End Rates#0#FwdOutrightBid7</stp>
        <tr r="G7" s="16"/>
      </tp>
      <tp>
        <v>90.237499999999997</v>
        <stp/>
        <stp>FWRC1#EURINR#Month End Rates#0#FwdOutrightBid2</stp>
        <tr r="C7" s="16"/>
      </tp>
      <tp>
        <v>-81.91</v>
        <stp/>
        <stp>12#1#1#6069#FUSDSGD\05M#LTP</stp>
        <tr r="G33" s="23"/>
      </tp>
      <tp>
        <v>-66.08</v>
        <stp/>
        <stp>12#1#1#6069#FUSDSGD\04M#LTP</stp>
        <tr r="F33" s="23"/>
      </tp>
      <tp>
        <v>-119.95</v>
        <stp/>
        <stp>12#1#1#6069#FUSDSGD\07M#LTP</stp>
        <tr r="I33" s="23"/>
      </tp>
      <tp>
        <v>-99.66</v>
        <stp/>
        <stp>12#1#1#6069#FUSDSGD\06M#LTP</stp>
        <tr r="H33" s="23"/>
      </tp>
      <tp>
        <v>-17.2</v>
        <stp/>
        <stp>12#1#1#6069#FUSDSGD\01M#LTP</stp>
        <tr r="C33" s="23"/>
      </tp>
      <tp>
        <v>-47.95</v>
        <stp/>
        <stp>12#1#1#6069#FUSDSGD\03M#LTP</stp>
        <tr r="E33" s="23"/>
      </tp>
      <tp>
        <v>-31.56</v>
        <stp/>
        <stp>12#1#1#6069#FUSDSGD\02M#LTP</stp>
        <tr r="D33" s="23"/>
      </tp>
      <tp>
        <v>-143.74</v>
        <stp/>
        <stp>12#1#1#6069#FUSDSGD\09M#LTP</stp>
        <tr r="K33" s="23"/>
      </tp>
      <tp>
        <v>-136.12</v>
        <stp/>
        <stp>12#1#1#6069#FUSDSGD\08M#LTP</stp>
        <tr r="J33" s="23"/>
      </tp>
      <tp>
        <v>1.7458</v>
        <stp/>
        <stp>FWRC1#USDINR#Month Wise Rates#0#Ask%8</stp>
        <tr r="E11" s="15"/>
      </tp>
      <tp>
        <v>1.7799</v>
        <stp/>
        <stp>FWRC1#USDINR#Month Wise Rates#0#Ask%9</stp>
        <tr r="F11" s="15"/>
      </tp>
      <tp>
        <v>1.758</v>
        <stp/>
        <stp>FWRC1#USDINR#Month Wise Rates#0#Ask%7</stp>
        <tr r="D11" s="15"/>
      </tp>
      <tp>
        <v>1.8063</v>
        <stp/>
        <stp>FWRC1#USDINR#Month Wise Rates#0#Ask%3</stp>
        <tr r="C11" s="15"/>
      </tp>
      <tp>
        <v>0.68479999999999996</v>
        <stp/>
        <stp>FWRC1#GBPUSD#Month Wise Rates#0#Bid%9</stp>
        <tr r="F10" s="20"/>
      </tp>
      <tp>
        <v>0.77049999999999996</v>
        <stp/>
        <stp>FWRC1#GBPUSD#Month Wise Rates#0#Bid%8</stp>
        <tr r="E10" s="20"/>
      </tp>
      <tp>
        <v>0.80730000000000002</v>
        <stp/>
        <stp>FWRC1#GBPUSD#Month Wise Rates#0#Bid%2</stp>
        <tr r="C10" s="20"/>
      </tp>
      <tp>
        <v>0.83530000000000004</v>
        <stp/>
        <stp>FWRC1#GBPUSD#Month Wise Rates#0#Bid%7</stp>
        <tr r="D10" s="20"/>
      </tp>
      <tp t="s">
        <v>12M</v>
        <stp/>
        <stp>FWRC1#USDINR#Month Wise Rates#0#S#Desc.18</stp>
        <tr r="O1" s="15"/>
      </tp>
      <tp t="s">
        <v>9M</v>
        <stp/>
        <stp>FWRC1#USDINR#Month Wise Rates#0#S#Desc.15</stp>
        <tr r="L1" s="15"/>
      </tp>
      <tp t="s">
        <v>8M</v>
        <stp/>
        <stp>FWRC1#USDINR#Month Wise Rates#0#S#Desc.14</stp>
        <tr r="K1" s="15"/>
      </tp>
      <tp t="s">
        <v>11M</v>
        <stp/>
        <stp>FWRC1#USDINR#Month Wise Rates#0#S#Desc.17</stp>
        <tr r="N1" s="15"/>
      </tp>
      <tp t="s">
        <v>10M</v>
        <stp/>
        <stp>FWRC1#USDINR#Month Wise Rates#0#S#Desc.16</stp>
        <tr r="M1" s="15"/>
      </tp>
      <tp t="s">
        <v>5M</v>
        <stp/>
        <stp>FWRC1#USDINR#Month Wise Rates#0#S#Desc.11</stp>
        <tr r="H1" s="15"/>
      </tp>
      <tp t="s">
        <v>4M</v>
        <stp/>
        <stp>FWRC1#USDINR#Month Wise Rates#0#S#Desc.10</stp>
        <tr r="G1" s="15"/>
      </tp>
      <tp t="s">
        <v>7M</v>
        <stp/>
        <stp>FWRC1#USDINR#Month Wise Rates#0#S#Desc.13</stp>
        <tr r="J1" s="15"/>
      </tp>
      <tp t="s">
        <v>6M</v>
        <stp/>
        <stp>FWRC1#USDINR#Month Wise Rates#0#S#Desc.12</stp>
        <tr r="I1" s="15"/>
      </tp>
      <tp>
        <v>1.26596</v>
        <stp/>
        <stp>12#2#1#6031#SGBPUSD#High</stp>
        <tr r="F8" s="10"/>
        <tr r="C11" s="23"/>
      </tp>
      <tp>
        <v>-173.83</v>
        <stp/>
        <stp>12#1#1#6069#FUSDSGD\11M#LTP</stp>
        <tr r="M33" s="23"/>
      </tp>
      <tp>
        <v>-157.65</v>
        <stp/>
        <stp>12#1#1#6069#FUSDSGD\10M#LTP</stp>
        <tr r="L33" s="23"/>
      </tp>
      <tp>
        <v>-186.25</v>
        <stp/>
        <stp>12#1#1#6069#FUSDSGD\12M#LTP</stp>
        <tr r="N33" s="23"/>
      </tp>
      <tp>
        <v>-90.1</v>
        <stp/>
        <stp>FWRC1#USDCHF#Month Wise Rates#0#Close9</stp>
        <tr r="E30" s="23"/>
      </tp>
      <tp>
        <v>-61.6</v>
        <stp/>
        <stp>FWRC1#USDCHF#Month Wise Rates#0#Close8</stp>
        <tr r="D30" s="23"/>
      </tp>
      <tp>
        <v>61.765000000000001</v>
        <stp/>
        <stp>FWRC1#SGDINR#Month Wise Rates#0#Close0</stp>
        <tr r="N26" s="23"/>
        <tr r="F26" s="23"/>
        <tr r="C26" s="23"/>
        <tr r="E26" s="23"/>
        <tr r="D26" s="23"/>
        <tr r="K26" s="23"/>
        <tr r="I26" s="23"/>
        <tr r="J26" s="23"/>
        <tr r="H26" s="23"/>
        <tr r="B26" s="23"/>
        <tr r="M26" s="23"/>
        <tr r="L26" s="23"/>
        <tr r="G26" s="23"/>
      </tp>
      <tp>
        <v>1536.9780000000001</v>
        <stp/>
        <stp>FWRC1#SGDINR#Month Wise Rates#0#Close7</stp>
        <tr r="C26" s="23"/>
      </tp>
      <tp>
        <v>0.88817999999999997</v>
        <stp/>
        <stp>FWRC1#USDCHF#Month Wise Rates#0#Close0</stp>
        <tr r="H30" s="23"/>
        <tr r="F30" s="23"/>
        <tr r="N30" s="23"/>
        <tr r="I30" s="23"/>
        <tr r="J30" s="23"/>
        <tr r="G30" s="23"/>
        <tr r="M30" s="23"/>
        <tr r="L30" s="23"/>
        <tr r="E30" s="23"/>
        <tr r="D30" s="23"/>
        <tr r="K30" s="23"/>
        <tr r="C30" s="23"/>
        <tr r="B30" s="23"/>
      </tp>
      <tp>
        <v>4492.9090999999999</v>
        <stp/>
        <stp>FWRC1#SGDINR#Month Wise Rates#0#Close9</stp>
        <tr r="E26" s="23"/>
      </tp>
      <tp>
        <v>2801.3359999999998</v>
        <stp/>
        <stp>FWRC1#SGDINR#Month Wise Rates#0#Close8</stp>
        <tr r="D26" s="23"/>
      </tp>
      <tp>
        <v>-32.950000000000003</v>
        <stp/>
        <stp>FWRC1#USDCHF#Month Wise Rates#0#Close7</stp>
        <tr r="C30" s="23"/>
      </tp>
      <tp>
        <v>40870.14</v>
        <stp/>
        <stp>FWRC1#JPYINR#Month End Rates#0#BidPrice14</stp>
        <tr r="N4" s="18"/>
      </tp>
      <tp>
        <v>45368.665000000001</v>
        <stp/>
        <stp>FWRC1#JPYINR#Month End Rates#0#BidPrice15</stp>
        <tr r="O4" s="18"/>
      </tp>
      <tp>
        <v>25153.912499999999</v>
        <stp/>
        <stp>FWRC1#JPYINR#Month End Rates#0#BidPrice10</stp>
        <tr r="J4" s="18"/>
      </tp>
      <tp>
        <v>29423.782500000001</v>
        <stp/>
        <stp>FWRC1#JPYINR#Month End Rates#0#BidPrice11</stp>
        <tr r="K4" s="18"/>
      </tp>
      <tp>
        <v>33663.3675</v>
        <stp/>
        <stp>FWRC1#JPYINR#Month End Rates#0#BidPrice12</stp>
        <tr r="L4" s="18"/>
      </tp>
      <tp>
        <v>37172.730000000003</v>
        <stp/>
        <stp>FWRC1#JPYINR#Month End Rates#0#BidPrice13</stp>
        <tr r="M4" s="18"/>
      </tp>
      <tp>
        <v>41195.967499999999</v>
        <stp/>
        <stp>FWRC1#JPYINR#Month End Rates#0#AskPrice14</stp>
        <tr r="N5" s="18"/>
      </tp>
      <tp>
        <v>45625.747499999998</v>
        <stp/>
        <stp>FWRC1#JPYINR#Month End Rates#0#AskPrice15</stp>
        <tr r="O5" s="18"/>
      </tp>
      <tp>
        <v>33886.862500000003</v>
        <stp/>
        <stp>FWRC1#JPYINR#Month End Rates#0#AskPrice12</stp>
        <tr r="L5" s="18"/>
      </tp>
      <tp>
        <v>37399.47</v>
        <stp/>
        <stp>FWRC1#JPYINR#Month End Rates#0#AskPrice13</stp>
        <tr r="M5" s="18"/>
      </tp>
      <tp>
        <v>25394.365000000002</v>
        <stp/>
        <stp>FWRC1#JPYINR#Month End Rates#0#AskPrice10</stp>
        <tr r="J5" s="18"/>
      </tp>
      <tp>
        <v>29667.244999999999</v>
        <stp/>
        <stp>FWRC1#JPYINR#Month End Rates#0#AskPrice11</stp>
        <tr r="K5" s="18"/>
      </tp>
      <tp>
        <v>61.302500000000002</v>
        <stp/>
        <stp>FWRC1#CADINR#Month Wise Rates#0#Close0</stp>
        <tr r="L24" s="23"/>
        <tr r="E24" s="23"/>
        <tr r="F24" s="23"/>
        <tr r="C24" s="23"/>
        <tr r="D24" s="23"/>
        <tr r="N24" s="23"/>
        <tr r="B24" s="23"/>
        <tr r="G24" s="23"/>
        <tr r="M24" s="23"/>
        <tr r="J24" s="23"/>
        <tr r="H24" s="23"/>
        <tr r="I24" s="23"/>
        <tr r="K24" s="23"/>
      </tp>
      <tp>
        <v>1223.0628999999999</v>
        <stp/>
        <stp>FWRC1#CADINR#Month Wise Rates#0#Close7</stp>
        <tr r="C24" s="23"/>
      </tp>
      <tp>
        <v>3749.0331000000001</v>
        <stp/>
        <stp>FWRC1#CADINR#Month Wise Rates#0#Close9</stp>
        <tr r="E24" s="23"/>
      </tp>
      <tp>
        <v>2422.1858999999999</v>
        <stp/>
        <stp>FWRC1#CADINR#Month Wise Rates#0#Close8</stp>
        <tr r="D24" s="23"/>
      </tp>
      <tp>
        <v>0.67925000000000002</v>
        <stp/>
        <stp>12#2#1#5903#SAUDUSD#High</stp>
        <tr r="C15" s="23"/>
      </tp>
      <tp>
        <v>1.10538</v>
        <stp/>
        <stp>12#2#1#5949#SEURUSD#High</stp>
        <tr r="C10" s="23"/>
        <tr r="F7" s="10"/>
      </tp>
      <tp>
        <v>1.33876</v>
        <stp/>
        <stp>12#2#1#6069#SUSDCAD#High</stp>
        <tr r="C14" s="23"/>
      </tp>
      <tp>
        <v>15056.27</v>
        <stp/>
        <stp>FWRC1#GBPINR#Month End Rates#0#Close11</stp>
        <tr r="J21" s="23"/>
      </tp>
      <tp>
        <v>12943.5975</v>
        <stp/>
        <stp>FWRC1#GBPINR#Month End Rates#0#Close10</stp>
        <tr r="I21" s="23"/>
      </tp>
      <tp>
        <v>18639.1525</v>
        <stp/>
        <stp>FWRC1#GBPINR#Month End Rates#0#Close13</stp>
        <tr r="L21" s="23"/>
      </tp>
      <tp>
        <v>16875.837500000001</v>
        <stp/>
        <stp>FWRC1#GBPINR#Month End Rates#0#Close12</stp>
        <tr r="K21" s="23"/>
      </tp>
      <tp>
        <v>23070.325000000001</v>
        <stp/>
        <stp>FWRC1#GBPINR#Month End Rates#0#Close15</stp>
        <tr r="N21" s="23"/>
      </tp>
      <tp>
        <v>20518.162499999999</v>
        <stp/>
        <stp>FWRC1#GBPINR#Month End Rates#0#Close14</stp>
        <tr r="M21" s="23"/>
      </tp>
      <tp>
        <v>62.366399999999999</v>
        <stp/>
        <stp>FWRC1#JPYINR#Month End Rates#0#FwdOutrightBid8</stp>
        <tr r="H7" s="18"/>
      </tp>
      <tp>
        <v>62.742600000000003</v>
        <stp/>
        <stp>FWRC1#JPYINR#Month End Rates#0#FwdOutrightBid9</stp>
        <tr r="I7" s="18"/>
      </tp>
      <tp>
        <v>60.870199999999997</v>
        <stp/>
        <stp>FWRC1#JPYINR#Month End Rates#0#FwdOutrightBid4</stp>
        <tr r="D7" s="18"/>
      </tp>
      <tp>
        <v>61.235500000000002</v>
        <stp/>
        <stp>FWRC1#JPYINR#Month End Rates#0#FwdOutrightBid5</stp>
        <tr r="E7" s="18"/>
      </tp>
      <tp>
        <v>61.618400000000001</v>
        <stp/>
        <stp>FWRC1#JPYINR#Month End Rates#0#FwdOutrightBid6</stp>
        <tr r="F7" s="18"/>
      </tp>
      <tp>
        <v>61.999400000000001</v>
        <stp/>
        <stp>FWRC1#JPYINR#Month End Rates#0#FwdOutrightBid7</stp>
        <tr r="G7" s="18"/>
      </tp>
      <tp>
        <v>60.627499999999998</v>
        <stp/>
        <stp>FWRC1#JPYINR#Month End Rates#0#FwdOutrightBid2</stp>
        <tr r="C7" s="18"/>
      </tp>
      <tp>
        <v>55.87</v>
        <stp/>
        <stp>FWRC1#EURUSD#Month Wise Rates#0#Close9</stp>
        <tr r="E27" s="23"/>
      </tp>
      <tp>
        <v>38.386000000000003</v>
        <stp/>
        <stp>FWRC1#EURUSD#Month Wise Rates#0#Close8</stp>
        <tr r="D27" s="23"/>
      </tp>
      <tp>
        <v>20.59</v>
        <stp/>
        <stp>FWRC1#EURUSD#Month Wise Rates#0#Close7</stp>
        <tr r="C27" s="23"/>
      </tp>
      <tp>
        <v>1.10463</v>
        <stp/>
        <stp>FWRC1#EURUSD#Month Wise Rates#0#Close0</stp>
        <tr r="I27" s="23"/>
        <tr r="K27" s="23"/>
        <tr r="C27" s="23"/>
        <tr r="H27" s="23"/>
        <tr r="M27" s="23"/>
        <tr r="G27" s="23"/>
        <tr r="B27" s="23"/>
        <tr r="L27" s="23"/>
        <tr r="N27" s="23"/>
        <tr r="F27" s="23"/>
        <tr r="J27" s="23"/>
        <tr r="D27" s="23"/>
        <tr r="E27" s="23"/>
      </tp>
      <tp>
        <v>23.06</v>
        <stp/>
        <stp>FWRC1#AUDUSD#Month Wise Rates#0#Close9</stp>
        <tr r="E32" s="23"/>
      </tp>
      <tp>
        <v>15.59</v>
        <stp/>
        <stp>FWRC1#AUDUSD#Month Wise Rates#0#Close8</stp>
        <tr r="D32" s="23"/>
      </tp>
      <tp>
        <v>8.4600000000000009</v>
        <stp/>
        <stp>FWRC1#AUDUSD#Month Wise Rates#0#Close7</stp>
        <tr r="C32" s="23"/>
      </tp>
      <tp>
        <v>0.67905000000000004</v>
        <stp/>
        <stp>FWRC1#AUDUSD#Month Wise Rates#0#Close0</stp>
        <tr r="N32" s="23"/>
        <tr r="G32" s="23"/>
        <tr r="M32" s="23"/>
        <tr r="E32" s="23"/>
        <tr r="B32" s="23"/>
        <tr r="H32" s="23"/>
        <tr r="L32" s="23"/>
        <tr r="K32" s="23"/>
        <tr r="C32" s="23"/>
        <tr r="F32" s="23"/>
        <tr r="D32" s="23"/>
        <tr r="I32" s="23"/>
        <tr r="J32" s="23"/>
      </tp>
      <tp t="s">
        <v/>
        <stp/>
        <stp>47#5#1#5629#GBP1Y.LIBOR#LTP</stp>
        <tr r="P38" s="23"/>
        <tr r="I4" s="8"/>
      </tp>
      <tp t="s">
        <v/>
        <stp/>
        <stp>47#5#1#5629#EUR1Y.LIBOR#LTP</stp>
        <tr r="P37" s="23"/>
        <tr r="I3" s="8"/>
      </tp>
      <tp>
        <v>1.2674000000000001</v>
        <stp/>
        <stp>FWRC1#GBPUSD#Month Wise Rates#0#FwdOutrightAsk18</stp>
        <tr r="O8" s="20"/>
      </tp>
      <tp>
        <v>1.2689999999999999</v>
        <stp/>
        <stp>FWRC1#GBPUSD#Month Wise Rates#0#FwdOutrightAsk12</stp>
        <tr r="I8" s="20"/>
      </tp>
      <tp>
        <v>1.2688999999999999</v>
        <stp/>
        <stp>FWRC1#GBPUSD#Month Wise Rates#0#FwdOutrightAsk13</stp>
        <tr r="J8" s="20"/>
      </tp>
      <tp>
        <v>1.2686999999999999</v>
        <stp/>
        <stp>FWRC1#GBPUSD#Month Wise Rates#0#FwdOutrightAsk10</stp>
        <tr r="G8" s="20"/>
      </tp>
      <tp>
        <v>1.2688999999999999</v>
        <stp/>
        <stp>FWRC1#GBPUSD#Month Wise Rates#0#FwdOutrightAsk11</stp>
        <tr r="H8" s="20"/>
      </tp>
      <tp>
        <v>1.2684</v>
        <stp/>
        <stp>FWRC1#GBPUSD#Month Wise Rates#0#FwdOutrightAsk16</stp>
        <tr r="M8" s="20"/>
      </tp>
      <tp>
        <v>1.2679</v>
        <stp/>
        <stp>FWRC1#GBPUSD#Month Wise Rates#0#FwdOutrightAsk17</stp>
        <tr r="N8" s="20"/>
      </tp>
      <tp>
        <v>1.2692000000000001</v>
        <stp/>
        <stp>FWRC1#GBPUSD#Month Wise Rates#0#FwdOutrightAsk14</stp>
        <tr r="K8" s="20"/>
      </tp>
      <tp>
        <v>1.2685</v>
        <stp/>
        <stp>FWRC1#GBPUSD#Month Wise Rates#0#FwdOutrightAsk15</stp>
        <tr r="L8" s="20"/>
      </tp>
      <tp>
        <v>1.1213</v>
        <stp/>
        <stp>FWRC1#EURUSD#Month Wise Rates#0#FwdOutrightAsk18</stp>
        <tr r="O8" s="19"/>
      </tp>
      <tp>
        <v>1.1191</v>
        <stp/>
        <stp>FWRC1#EURUSD#Month Wise Rates#0#FwdOutrightAsk15</stp>
        <tr r="L8" s="19"/>
      </tp>
      <tp>
        <v>1.1178999999999999</v>
        <stp/>
        <stp>FWRC1#EURUSD#Month Wise Rates#0#FwdOutrightAsk14</stp>
        <tr r="K8" s="19"/>
      </tp>
      <tp>
        <v>1.121</v>
        <stp/>
        <stp>FWRC1#EURUSD#Month Wise Rates#0#FwdOutrightAsk17</stp>
        <tr r="N8" s="19"/>
      </tp>
      <tp>
        <v>1.1196999999999999</v>
        <stp/>
        <stp>FWRC1#EURUSD#Month Wise Rates#0#FwdOutrightAsk16</stp>
        <tr r="M8" s="19"/>
      </tp>
      <tp>
        <v>1.1134999999999999</v>
        <stp/>
        <stp>FWRC1#EURUSD#Month Wise Rates#0#FwdOutrightAsk11</stp>
        <tr r="H8" s="19"/>
      </tp>
      <tp>
        <v>1.1120000000000001</v>
        <stp/>
        <stp>FWRC1#EURUSD#Month Wise Rates#0#FwdOutrightAsk10</stp>
        <tr r="G8" s="19"/>
      </tp>
      <tp>
        <v>1.1161000000000001</v>
        <stp/>
        <stp>FWRC1#EURUSD#Month Wise Rates#0#FwdOutrightAsk13</stp>
        <tr r="J8" s="19"/>
      </tp>
      <tp>
        <v>1.1148</v>
        <stp/>
        <stp>FWRC1#EURUSD#Month Wise Rates#0#FwdOutrightAsk12</stp>
        <tr r="I8" s="19"/>
      </tp>
      <tp t="s">
        <v/>
        <stp/>
        <stp>47#5#1#5629#JPY1W.LIBOR#LTP</stp>
        <tr r="C39" s="23"/>
      </tp>
      <tp t="s">
        <v/>
        <stp/>
        <stp>47#5#1#5629#JPY2W.LIBOR#LTP</stp>
        <tr r="D39" s="23"/>
      </tp>
      <tp t="s">
        <v/>
        <stp/>
        <stp>47#5#1#5629#GBP11M.LIBOR#LTP</stp>
        <tr r="O38" s="23"/>
      </tp>
      <tp t="s">
        <v/>
        <stp/>
        <stp>47#5#1#5629#GBP10M.LIBOR#LTP</stp>
        <tr r="N38" s="23"/>
      </tp>
      <tp t="s">
        <v>SGDINRCOMP</v>
        <stp/>
        <stp>17#3#1#6041#SGDINRCOMP#S#Descr.</stp>
        <tr r="A26" s="23"/>
        <tr r="A9" s="23"/>
      </tp>
      <tp>
        <v>6230.9018999999998</v>
        <stp/>
        <stp>FWRC1#GBPINR#Month Wise Rates#0#BidPrice9</stp>
        <tr r="G6" s="22"/>
      </tp>
      <tp>
        <v>4086.2004999999999</v>
        <stp/>
        <stp>FWRC1#GBPINR#Month Wise Rates#0#BidPrice8</stp>
        <tr r="G5" s="22"/>
      </tp>
      <tp>
        <v>103.47</v>
        <stp/>
        <stp>FWRC1#GBPINR#Month Wise Rates#0#BidPrice0</stp>
        <tr r="B2" s="6"/>
        <tr r="G3" s="22"/>
      </tp>
      <tp>
        <v>2152.4549000000002</v>
        <stp/>
        <stp>FWRC1#GBPINR#Month Wise Rates#0#BidPrice7</stp>
        <tr r="G4" s="22"/>
      </tp>
      <tp t="s">
        <v>USDINRCOMP</v>
        <stp/>
        <stp>17#1#1#6069#USDINRCOMP#S#Descr.</stp>
        <tr r="A2" s="23"/>
        <tr r="A19" s="23"/>
      </tp>
      <tp t="s">
        <v/>
        <stp/>
        <stp>47#5#1#5629#USDON.LIBOR#LTP</stp>
        <tr r="B36" s="23"/>
      </tp>
      <tp>
        <v>8.5</v>
        <stp/>
        <stp>FWRC1#USDINR#Month End Rates#0#AskPrice4</stp>
        <tr r="D5" s="14"/>
      </tp>
      <tp>
        <v>19.75</v>
        <stp/>
        <stp>FWRC1#USDINR#Month End Rates#0#AskPrice5</stp>
        <tr r="E5" s="14"/>
      </tp>
      <tp>
        <v>32.5</v>
        <stp/>
        <stp>FWRC1#USDINR#Month End Rates#0#AskPrice6</stp>
        <tr r="F5" s="14"/>
      </tp>
      <tp>
        <v>45.5</v>
        <stp/>
        <stp>FWRC1#USDINR#Month End Rates#0#AskPrice7</stp>
        <tr r="G5" s="14"/>
      </tp>
      <tp>
        <v>81.805000000000007</v>
        <stp/>
        <stp>FWRC1#USDINR#Month End Rates#0#AskPrice0</stp>
        <tr r="D3" s="22"/>
        <tr r="B3" s="4"/>
      </tp>
      <tp>
        <v>2</v>
        <stp/>
        <stp>FWRC1#USDINR#Month End Rates#0#AskPrice2</stp>
        <tr r="C5" s="14"/>
        <tr r="C3" s="4"/>
      </tp>
      <tp>
        <v>1</v>
        <stp/>
        <stp>FWRC1#USDINR#Month End Rates#0#AskPrice3</stp>
        <tr r="E3" s="4"/>
      </tp>
      <tp>
        <v>58</v>
        <stp/>
        <stp>FWRC1#USDINR#Month End Rates#0#AskPrice8</stp>
        <tr r="H5" s="14"/>
      </tp>
      <tp>
        <v>72.5</v>
        <stp/>
        <stp>FWRC1#USDINR#Month End Rates#0#AskPrice9</stp>
        <tr r="I5" s="14"/>
      </tp>
      <tp t="s">
        <v/>
        <stp/>
        <stp>47#5#1#5629#USD5M.LIBOR#LTP</stp>
        <tr r="F2" s="8"/>
        <tr r="I36" s="23"/>
      </tp>
      <tp t="s">
        <v/>
        <stp/>
        <stp>47#5#1#5629#USD4M.LIBOR#LTP</stp>
        <tr r="E2" s="8"/>
        <tr r="H36" s="23"/>
      </tp>
      <tp t="s">
        <v/>
        <stp/>
        <stp>47#5#1#5629#USD7M.LIBOR#LTP</stp>
        <tr r="K36" s="23"/>
      </tp>
      <tp t="s">
        <v/>
        <stp/>
        <stp>47#5#1#5629#USD6M.LIBOR#LTP</stp>
        <tr r="G2" s="8"/>
        <tr r="J36" s="23"/>
      </tp>
      <tp t="s">
        <v/>
        <stp/>
        <stp>47#5#1#5629#USD1M.LIBOR#LTP</stp>
        <tr r="B2" s="8"/>
        <tr r="E36" s="23"/>
      </tp>
      <tp t="s">
        <v/>
        <stp/>
        <stp>47#5#1#5629#USD3M.LIBOR#LTP</stp>
        <tr r="D2" s="8"/>
        <tr r="G36" s="23"/>
      </tp>
      <tp t="s">
        <v/>
        <stp/>
        <stp>47#5#1#5629#USD2M.LIBOR#LTP</stp>
        <tr r="C2" s="8"/>
        <tr r="F36" s="23"/>
      </tp>
      <tp t="s">
        <v/>
        <stp/>
        <stp>47#5#1#5629#USD9M.LIBOR#LTP</stp>
        <tr r="M36" s="23"/>
        <tr r="H2" s="8"/>
      </tp>
      <tp t="s">
        <v/>
        <stp/>
        <stp>47#5#1#5629#USD8M.LIBOR#LTP</stp>
        <tr r="L36" s="23"/>
      </tp>
      <tp>
        <v>3696.91</v>
        <stp/>
        <stp>FWRC1#GBPINR#Month End Rates#0#AskPrice5</stp>
        <tr r="E5" s="17"/>
      </tp>
      <tp>
        <v>1565.96</v>
        <stp/>
        <stp>FWRC1#GBPINR#Month End Rates#0#AskPrice4</stp>
        <tr r="D5" s="17"/>
      </tp>
      <tp>
        <v>7825.2875000000004</v>
        <stp/>
        <stp>FWRC1#GBPINR#Month End Rates#0#AskPrice7</stp>
        <tr r="G5" s="17"/>
      </tp>
      <tp>
        <v>5811.66</v>
        <stp/>
        <stp>FWRC1#GBPINR#Month End Rates#0#AskPrice6</stp>
        <tr r="F5" s="17"/>
      </tp>
      <tp>
        <v>161.1063</v>
        <stp/>
        <stp>FWRC1#GBPINR#Month End Rates#0#AskPrice3</stp>
        <tr r="E3" s="6"/>
      </tp>
      <tp>
        <v>418.4853</v>
        <stp/>
        <stp>FWRC1#GBPINR#Month End Rates#0#AskPrice2</stp>
        <tr r="C3" s="6"/>
        <tr r="C5" s="17"/>
      </tp>
      <tp>
        <v>11609.97</v>
        <stp/>
        <stp>FWRC1#GBPINR#Month End Rates#0#AskPrice9</stp>
        <tr r="I5" s="17"/>
      </tp>
      <tp>
        <v>9666.4</v>
        <stp/>
        <stp>FWRC1#GBPINR#Month End Rates#0#AskPrice8</stp>
        <tr r="H5" s="17"/>
      </tp>
      <tp>
        <v>3.3340000000000001</v>
        <stp/>
        <stp>FWRC1#EURINR#Month End Rates#0#AskPrice2</stp>
        <tr r="C3" s="5"/>
        <tr r="C5" s="16"/>
      </tp>
      <tp>
        <v>1.6727000000000001</v>
        <stp/>
        <stp>FWRC1#EURINR#Month End Rates#0#AskPrice3</stp>
        <tr r="E3" s="5"/>
      </tp>
      <tp>
        <v>77.412499999999994</v>
        <stp/>
        <stp>FWRC1#EURINR#Month End Rates#0#AskPrice6</stp>
        <tr r="F5" s="16"/>
      </tp>
      <tp>
        <v>105.39749999999999</v>
        <stp/>
        <stp>FWRC1#EURINR#Month End Rates#0#AskPrice7</stp>
        <tr r="G5" s="16"/>
      </tp>
      <tp>
        <v>19.932500000000001</v>
        <stp/>
        <stp>FWRC1#EURINR#Month End Rates#0#AskPrice4</stp>
        <tr r="D5" s="16"/>
      </tp>
      <tp>
        <v>48.587499999999999</v>
        <stp/>
        <stp>FWRC1#EURINR#Month End Rates#0#AskPrice5</stp>
        <tr r="E5" s="16"/>
      </tp>
      <tp>
        <v>131.94749999999999</v>
        <stp/>
        <stp>FWRC1#EURINR#Month End Rates#0#AskPrice8</stp>
        <tr r="H5" s="16"/>
      </tp>
      <tp>
        <v>158.76750000000001</v>
        <stp/>
        <stp>FWRC1#EURINR#Month End Rates#0#AskPrice9</stp>
        <tr r="I5" s="16"/>
      </tp>
      <tp>
        <v>13922.7225</v>
        <stp/>
        <stp>FWRC1#JPYINR#Month End Rates#0#AskPrice7</stp>
        <tr r="G5" s="18"/>
      </tp>
      <tp>
        <v>10055.0175</v>
        <stp/>
        <stp>FWRC1#JPYINR#Month End Rates#0#AskPrice6</stp>
        <tr r="F5" s="18"/>
      </tp>
      <tp>
        <v>6232.5924999999997</v>
        <stp/>
        <stp>FWRC1#JPYINR#Month End Rates#0#AskPrice5</stp>
        <tr r="E5" s="18"/>
      </tp>
      <tp>
        <v>2536.35</v>
        <stp/>
        <stp>FWRC1#JPYINR#Month End Rates#0#AskPrice4</stp>
        <tr r="D5" s="18"/>
      </tp>
      <tp>
        <v>163.42580000000001</v>
        <stp/>
        <stp>FWRC1#JPYINR#Month End Rates#0#AskPrice3</stp>
        <tr r="E3" s="7"/>
      </tp>
      <tp>
        <v>338.52789999999999</v>
        <stp/>
        <stp>FWRC1#JPYINR#Month End Rates#0#AskPrice2</stp>
        <tr r="C3" s="7"/>
        <tr r="C5" s="18"/>
      </tp>
      <tp>
        <v>21362.072499999998</v>
        <stp/>
        <stp>FWRC1#JPYINR#Month End Rates#0#AskPrice9</stp>
        <tr r="I5" s="18"/>
      </tp>
      <tp>
        <v>17598.535</v>
        <stp/>
        <stp>FWRC1#JPYINR#Month End Rates#0#AskPrice8</stp>
        <tr r="H5" s="18"/>
      </tp>
      <tp>
        <v>83.979500000000002</v>
        <stp/>
        <stp>FWRC1#EURINR#Month Wise Rates#0#BidPrice9</stp>
        <tr r="E6" s="22"/>
      </tp>
      <tp>
        <v>55.462200000000003</v>
        <stp/>
        <stp>FWRC1#EURINR#Month Wise Rates#0#BidPrice8</stp>
        <tr r="E5" s="22"/>
      </tp>
      <tp>
        <v>90.317499999999995</v>
        <stp/>
        <stp>FWRC1#EURINR#Month Wise Rates#0#BidPrice0</stp>
        <tr r="B2" s="5"/>
        <tr r="E3" s="22"/>
      </tp>
      <tp>
        <v>28.9451</v>
        <stp/>
        <stp>FWRC1#EURINR#Month Wise Rates#0#BidPrice7</stp>
        <tr r="E4" s="22"/>
      </tp>
      <tp>
        <v>60.61</v>
        <stp/>
        <stp>FWRC1#JPYINR#Month Wise Rates#0#AskPrice0</stp>
        <tr r="B3" s="7"/>
        <tr r="J3" s="22"/>
      </tp>
      <tp>
        <v>3985.6913</v>
        <stp/>
        <stp>FWRC1#JPYINR#Month Wise Rates#0#AskPrice7</stp>
        <tr r="J4" s="22"/>
      </tp>
      <tp>
        <v>11281.239600000001</v>
        <stp/>
        <stp>FWRC1#JPYINR#Month Wise Rates#0#AskPrice9</stp>
        <tr r="J6" s="22"/>
      </tp>
      <tp>
        <v>7454.67</v>
        <stp/>
        <stp>FWRC1#JPYINR#Month Wise Rates#0#AskPrice8</stp>
        <tr r="J5" s="22"/>
      </tp>
      <tp>
        <v>0.01</v>
        <stp/>
        <stp>17#1#1#6069#USDINRCOMP#%Chg</stp>
        <tr r="D3" s="10"/>
      </tp>
      <tp>
        <v>0</v>
        <stp/>
        <stp>17#3#1#5949#EURINRCOMP#52WkHigh</stp>
        <tr r="I4" s="10"/>
        <tr r="J4" s="10"/>
      </tp>
      <tp>
        <v>-124.32</v>
        <stp/>
        <stp>FWRC1#USDJPY#Month Wise Rates#0#AskPrice8</stp>
        <tr r="P5" s="22"/>
        <tr r="E5" s="21"/>
      </tp>
      <tp>
        <v>-186.66</v>
        <stp/>
        <stp>FWRC1#USDJPY#Month Wise Rates#0#AskPrice9</stp>
        <tr r="F5" s="21"/>
        <tr r="P6" s="22"/>
      </tp>
      <tp>
        <v>-66.430000000000007</v>
        <stp/>
        <stp>FWRC1#USDJPY#Month Wise Rates#0#AskPrice7</stp>
        <tr r="D5" s="21"/>
        <tr r="P4" s="22"/>
      </tp>
      <tp>
        <v>-1.91</v>
        <stp/>
        <stp>FWRC1#USDJPY#Month Wise Rates#0#AskPrice2</stp>
        <tr r="C5" s="21"/>
      </tp>
      <tp>
        <v>134.99199999999999</v>
        <stp/>
        <stp>FWRC1#USDJPY#Month Wise Rates#0#AskPrice0</stp>
        <tr r="P3" s="22"/>
      </tp>
      <tp>
        <v>0</v>
        <stp/>
        <stp>17#3#1#5978#JPYINRCOMP#52WkHigh</stp>
        <tr r="I6" s="10"/>
      </tp>
      <tp>
        <v>-187.11</v>
        <stp/>
        <stp>FWRC1#USDJPY#Month Wise Rates#0#BidPrice9</stp>
        <tr r="O6" s="22"/>
        <tr r="F4" s="21"/>
      </tp>
      <tp>
        <v>-125.02</v>
        <stp/>
        <stp>FWRC1#USDJPY#Month Wise Rates#0#BidPrice8</stp>
        <tr r="E4" s="21"/>
        <tr r="O5" s="22"/>
      </tp>
      <tp>
        <v>-66.930000000000007</v>
        <stp/>
        <stp>FWRC1#USDJPY#Month Wise Rates#0#BidPrice7</stp>
        <tr r="O4" s="22"/>
        <tr r="D4" s="21"/>
      </tp>
      <tp>
        <v>134.989</v>
        <stp/>
        <stp>FWRC1#USDJPY#Month Wise Rates#0#BidPrice0</stp>
        <tr r="O3" s="22"/>
      </tp>
      <tp>
        <v>-1.99</v>
        <stp/>
        <stp>FWRC1#USDJPY#Month Wise Rates#0#BidPrice2</stp>
        <tr r="C4" s="21"/>
      </tp>
      <tp>
        <v>43.5</v>
        <stp/>
        <stp>FWRC1#USDINR#Month End Rates#0#BidPrice7</stp>
        <tr r="G4" s="14"/>
      </tp>
      <tp>
        <v>30.5</v>
        <stp/>
        <stp>FWRC1#USDINR#Month End Rates#0#BidPrice6</stp>
        <tr r="F4" s="14"/>
      </tp>
      <tp>
        <v>17.75</v>
        <stp/>
        <stp>FWRC1#USDINR#Month End Rates#0#BidPrice5</stp>
        <tr r="E4" s="14"/>
      </tp>
      <tp>
        <v>6.5</v>
        <stp/>
        <stp>FWRC1#USDINR#Month End Rates#0#BidPrice4</stp>
        <tr r="D4" s="14"/>
      </tp>
      <tp>
        <v>0.2</v>
        <stp/>
        <stp>FWRC1#USDINR#Month End Rates#0#BidPrice3</stp>
        <tr r="E2" s="4"/>
      </tp>
      <tp>
        <v>0.4</v>
        <stp/>
        <stp>FWRC1#USDINR#Month End Rates#0#BidPrice2</stp>
        <tr r="C2" s="4"/>
        <tr r="C4" s="14"/>
      </tp>
      <tp>
        <v>81.8</v>
        <stp/>
        <stp>FWRC1#USDINR#Month End Rates#0#BidPrice0</stp>
        <tr r="B2" s="4"/>
        <tr r="C3" s="22"/>
      </tp>
      <tp>
        <v>70.5</v>
        <stp/>
        <stp>FWRC1#USDINR#Month End Rates#0#BidPrice9</stp>
        <tr r="I4" s="14"/>
      </tp>
      <tp>
        <v>56</v>
        <stp/>
        <stp>FWRC1#USDINR#Month End Rates#0#BidPrice8</stp>
        <tr r="H4" s="14"/>
      </tp>
      <tp>
        <v>5553.63</v>
        <stp/>
        <stp>FWRC1#GBPINR#Month End Rates#0#BidPrice6</stp>
        <tr r="F4" s="17"/>
      </tp>
      <tp>
        <v>7531.4775</v>
        <stp/>
        <stp>FWRC1#GBPINR#Month End Rates#0#BidPrice7</stp>
        <tr r="G4" s="17"/>
      </tp>
      <tp>
        <v>1369.7449999999999</v>
        <stp/>
        <stp>FWRC1#GBPINR#Month End Rates#0#BidPrice4</stp>
        <tr r="D4" s="17"/>
      </tp>
      <tp>
        <v>3416.3325</v>
        <stp/>
        <stp>FWRC1#GBPINR#Month End Rates#0#BidPrice5</stp>
        <tr r="E4" s="17"/>
      </tp>
      <tp>
        <v>166.1798</v>
        <stp/>
        <stp>FWRC1#GBPINR#Month End Rates#0#BidPrice2</stp>
        <tr r="C2" s="6"/>
        <tr r="C4" s="17"/>
      </tp>
      <tp>
        <v>51.720399999999998</v>
        <stp/>
        <stp>FWRC1#GBPINR#Month End Rates#0#BidPrice3</stp>
        <tr r="E2" s="6"/>
      </tp>
      <tp>
        <v>9339.3700000000008</v>
        <stp/>
        <stp>FWRC1#GBPINR#Month End Rates#0#BidPrice8</stp>
        <tr r="H4" s="17"/>
      </tp>
      <tp>
        <v>11256.9025</v>
        <stp/>
        <stp>FWRC1#GBPINR#Month End Rates#0#BidPrice9</stp>
        <tr r="I4" s="17"/>
      </tp>
      <tp>
        <v>0.77300000000000002</v>
        <stp/>
        <stp>FWRC1#EURINR#Month End Rates#0#BidPrice3</stp>
        <tr r="E2" s="5"/>
      </tp>
      <tp>
        <v>1.5451999999999999</v>
        <stp/>
        <stp>FWRC1#EURINR#Month End Rates#0#BidPrice2</stp>
        <tr r="C4" s="16"/>
        <tr r="C2" s="5"/>
      </tp>
      <tp>
        <v>46.37</v>
        <stp/>
        <stp>FWRC1#EURINR#Month End Rates#0#BidPrice5</stp>
        <tr r="E4" s="16"/>
      </tp>
      <tp>
        <v>18.420000000000002</v>
        <stp/>
        <stp>FWRC1#EURINR#Month End Rates#0#BidPrice4</stp>
        <tr r="D4" s="16"/>
      </tp>
      <tp>
        <v>102.63249999999999</v>
        <stp/>
        <stp>FWRC1#EURINR#Month End Rates#0#BidPrice7</stp>
        <tr r="G4" s="16"/>
      </tp>
      <tp>
        <v>74.852500000000006</v>
        <stp/>
        <stp>FWRC1#EURINR#Month End Rates#0#BidPrice6</stp>
        <tr r="F4" s="16"/>
      </tp>
      <tp>
        <v>156.07249999999999</v>
        <stp/>
        <stp>FWRC1#EURINR#Month End Rates#0#BidPrice9</stp>
        <tr r="I4" s="16"/>
      </tp>
      <tp>
        <v>128.94999999999999</v>
        <stp/>
        <stp>FWRC1#EURINR#Month End Rates#0#BidPrice8</stp>
        <tr r="H4" s="16"/>
      </tp>
      <tp>
        <v>2426.7925</v>
        <stp/>
        <stp>FWRC1#JPYINR#Month End Rates#0#BidPrice4</stp>
        <tr r="D4" s="18"/>
      </tp>
      <tp>
        <v>6079.8525</v>
        <stp/>
        <stp>FWRC1#JPYINR#Month End Rates#0#BidPrice5</stp>
        <tr r="E4" s="18"/>
      </tp>
      <tp>
        <v>9909.3775000000005</v>
        <stp/>
        <stp>FWRC1#JPYINR#Month End Rates#0#BidPrice6</stp>
        <tr r="F4" s="18"/>
      </tp>
      <tp>
        <v>13719.1325</v>
        <stp/>
        <stp>FWRC1#JPYINR#Month End Rates#0#BidPrice7</stp>
        <tr r="G4" s="18"/>
      </tp>
      <tp>
        <v>210.53309999999999</v>
        <stp/>
        <stp>FWRC1#JPYINR#Month End Rates#0#BidPrice2</stp>
        <tr r="C2" s="7"/>
        <tr r="C4" s="18"/>
      </tp>
      <tp>
        <v>100.5569</v>
        <stp/>
        <stp>FWRC1#JPYINR#Month End Rates#0#BidPrice3</stp>
        <tr r="E2" s="7"/>
      </tp>
      <tp>
        <v>17389.432499999999</v>
        <stp/>
        <stp>FWRC1#JPYINR#Month End Rates#0#BidPrice8</stp>
        <tr r="H4" s="18"/>
      </tp>
      <tp>
        <v>21150.59</v>
        <stp/>
        <stp>FWRC1#JPYINR#Month End Rates#0#BidPrice9</stp>
        <tr r="I4" s="18"/>
      </tp>
      <tp>
        <v>58.115299999999998</v>
        <stp/>
        <stp>FWRC1#EURINR#Month Wise Rates#0#AskPrice8</stp>
        <tr r="F5" s="22"/>
      </tp>
      <tp>
        <v>86.851500000000001</v>
        <stp/>
        <stp>FWRC1#EURINR#Month Wise Rates#0#AskPrice9</stp>
        <tr r="F6" s="22"/>
      </tp>
      <tp>
        <v>90.325000000000003</v>
        <stp/>
        <stp>FWRC1#EURINR#Month Wise Rates#0#AskPrice0</stp>
        <tr r="B3" s="5"/>
        <tr r="F3" s="22"/>
      </tp>
      <tp>
        <v>31.322600000000001</v>
        <stp/>
        <stp>FWRC1#EURINR#Month Wise Rates#0#AskPrice7</stp>
        <tr r="F4" s="22"/>
      </tp>
      <tp>
        <v>60.602499999999999</v>
        <stp/>
        <stp>FWRC1#JPYINR#Month Wise Rates#0#BidPrice0</stp>
        <tr r="B2" s="7"/>
        <tr r="I3" s="22"/>
      </tp>
      <tp>
        <v>3813.5313000000001</v>
        <stp/>
        <stp>FWRC1#JPYINR#Month Wise Rates#0#BidPrice7</stp>
        <tr r="I4" s="22"/>
      </tp>
      <tp>
        <v>7271.9790999999996</v>
        <stp/>
        <stp>FWRC1#JPYINR#Month Wise Rates#0#BidPrice8</stp>
        <tr r="I5" s="22"/>
      </tp>
      <tp>
        <v>11117.8372</v>
        <stp/>
        <stp>FWRC1#JPYINR#Month Wise Rates#0#BidPrice9</stp>
        <tr r="I6" s="22"/>
      </tp>
      <tp>
        <v>4421.7938000000004</v>
        <stp/>
        <stp>FWRC1#GBPINR#Month Wise Rates#0#AskPrice8</stp>
        <tr r="H5" s="22"/>
      </tp>
      <tp>
        <v>6520.3982999999998</v>
        <stp/>
        <stp>FWRC1#GBPINR#Month Wise Rates#0#AskPrice9</stp>
        <tr r="H6" s="22"/>
      </tp>
      <tp>
        <v>103.4875</v>
        <stp/>
        <stp>FWRC1#GBPINR#Month Wise Rates#0#AskPrice0</stp>
        <tr r="B3" s="6"/>
        <tr r="H3" s="22"/>
      </tp>
      <tp>
        <v>2460.7936</v>
        <stp/>
        <stp>FWRC1#GBPINR#Month Wise Rates#0#AskPrice7</stp>
        <tr r="H4" s="22"/>
      </tp>
      <tp>
        <v>1.2665999999999999</v>
        <stp/>
        <stp>FWRC1#GBPUSD#Month Wise Rates#0#FwdOutrightBid18</stp>
        <tr r="O7" s="20"/>
      </tp>
      <tp>
        <v>1.2686999999999999</v>
        <stp/>
        <stp>FWRC1#GBPUSD#Month Wise Rates#0#FwdOutrightBid11</stp>
        <tr r="H7" s="20"/>
      </tp>
      <tp>
        <v>1.2684</v>
        <stp/>
        <stp>FWRC1#GBPUSD#Month Wise Rates#0#FwdOutrightBid10</stp>
        <tr r="G7" s="20"/>
      </tp>
      <tp>
        <v>1.2685999999999999</v>
        <stp/>
        <stp>FWRC1#GBPUSD#Month Wise Rates#0#FwdOutrightBid13</stp>
        <tr r="J7" s="20"/>
      </tp>
      <tp>
        <v>1.2687999999999999</v>
        <stp/>
        <stp>FWRC1#GBPUSD#Month Wise Rates#0#FwdOutrightBid12</stp>
        <tr r="I7" s="20"/>
      </tp>
      <tp>
        <v>1.2681</v>
        <stp/>
        <stp>FWRC1#GBPUSD#Month Wise Rates#0#FwdOutrightBid15</stp>
        <tr r="L7" s="20"/>
      </tp>
      <tp>
        <v>1.2688999999999999</v>
        <stp/>
        <stp>FWRC1#GBPUSD#Month Wise Rates#0#FwdOutrightBid14</stp>
        <tr r="K7" s="20"/>
      </tp>
      <tp>
        <v>1.2676000000000001</v>
        <stp/>
        <stp>FWRC1#GBPUSD#Month Wise Rates#0#FwdOutrightBid17</stp>
        <tr r="N7" s="20"/>
      </tp>
      <tp>
        <v>1.2682</v>
        <stp/>
        <stp>FWRC1#GBPUSD#Month Wise Rates#0#FwdOutrightBid16</stp>
        <tr r="M7" s="20"/>
      </tp>
      <tp>
        <v>1.121</v>
        <stp/>
        <stp>FWRC1#EURUSD#Month Wise Rates#0#FwdOutrightBid18</stp>
        <tr r="O7" s="19"/>
      </tp>
      <tp>
        <v>1.1195999999999999</v>
        <stp/>
        <stp>FWRC1#EURUSD#Month Wise Rates#0#FwdOutrightBid16</stp>
        <tr r="M7" s="19"/>
      </tp>
      <tp>
        <v>1.1203000000000001</v>
        <stp/>
        <stp>FWRC1#EURUSD#Month Wise Rates#0#FwdOutrightBid17</stp>
        <tr r="N7" s="19"/>
      </tp>
      <tp>
        <v>1.1175999999999999</v>
        <stp/>
        <stp>FWRC1#EURUSD#Month Wise Rates#0#FwdOutrightBid14</stp>
        <tr r="K7" s="19"/>
      </tp>
      <tp>
        <v>1.1187</v>
        <stp/>
        <stp>FWRC1#EURUSD#Month Wise Rates#0#FwdOutrightBid15</stp>
        <tr r="L7" s="19"/>
      </tp>
      <tp>
        <v>1.1147</v>
        <stp/>
        <stp>FWRC1#EURUSD#Month Wise Rates#0#FwdOutrightBid12</stp>
        <tr r="I7" s="19"/>
      </tp>
      <tp>
        <v>1.1156999999999999</v>
        <stp/>
        <stp>FWRC1#EURUSD#Month Wise Rates#0#FwdOutrightBid13</stp>
        <tr r="J7" s="19"/>
      </tp>
      <tp>
        <v>1.1117999999999999</v>
        <stp/>
        <stp>FWRC1#EURUSD#Month Wise Rates#0#FwdOutrightBid10</stp>
        <tr r="G7" s="19"/>
      </tp>
      <tp>
        <v>1.1133</v>
        <stp/>
        <stp>FWRC1#EURUSD#Month Wise Rates#0#FwdOutrightBid11</stp>
        <tr r="H7" s="19"/>
      </tp>
      <tp t="s">
        <v/>
        <stp/>
        <stp>47#5#1#5629#EUR1W.LIBOR#LTP</stp>
        <tr r="C37" s="23"/>
      </tp>
      <tp t="s">
        <v/>
        <stp/>
        <stp>47#5#1#5629#EUR2W.LIBOR#LTP</stp>
        <tr r="D37" s="23"/>
      </tp>
      <tp>
        <v>0</v>
        <stp/>
        <stp>17#3#1#6031#GBPINRCOMP#52WkHigh</stp>
        <tr r="I5" s="10"/>
      </tp>
      <tp t="s">
        <v/>
        <stp/>
        <stp>47#5#1#5629#JPY1Y.LIBOR#LTP</stp>
        <tr r="P39" s="23"/>
        <tr r="I5" s="8"/>
      </tp>
      <tp t="s">
        <v/>
        <stp/>
        <stp>47#5#1#5629#GBP1W.LIBOR#LTP</stp>
        <tr r="D38" s="23"/>
        <tr r="C38" s="23"/>
      </tp>
      <tp>
        <v>-0.4</v>
        <stp/>
        <stp>17#3#1#5978#JPYINRCOMP#%Chg</stp>
        <tr r="D6" s="10"/>
      </tp>
      <tp t="s">
        <v/>
        <stp/>
        <stp>47#5#1#5629#JPY10M.LIBOR#LTP</stp>
        <tr r="N39" s="23"/>
      </tp>
      <tp t="s">
        <v/>
        <stp/>
        <stp>47#5#1#5629#JPY11M.LIBOR#LTP</stp>
        <tr r="O39" s="23"/>
      </tp>
      <tp t="s">
        <v/>
        <stp/>
        <stp>47#5#1#5629#USD1Y.LIBOR#LTP</stp>
        <tr r="P36" s="23"/>
        <tr r="I2" s="8"/>
      </tp>
      <tp t="s">
        <v/>
        <stp/>
        <stp>47#5#1#5629#USD11M.LIBOR#LTP</stp>
        <tr r="O36" s="23"/>
      </tp>
      <tp t="s">
        <v/>
        <stp/>
        <stp>47#5#1#5629#USD10M.LIBOR#LTP</stp>
        <tr r="N36" s="23"/>
      </tp>
      <tp>
        <v>129.49</v>
        <stp/>
        <stp>FWRC1#USDJPY#Month Wise Rates#0#FwdOutrightBid15</stp>
        <tr r="L7" s="21"/>
      </tp>
      <tp>
        <v>130.07400000000001</v>
        <stp/>
        <stp>FWRC1#USDJPY#Month Wise Rates#0#FwdOutrightBid14</stp>
        <tr r="K7" s="21"/>
      </tp>
      <tp>
        <v>128.55500000000001</v>
        <stp/>
        <stp>FWRC1#USDJPY#Month Wise Rates#0#FwdOutrightBid17</stp>
        <tr r="N7" s="21"/>
      </tp>
      <tp>
        <v>129.04949999999999</v>
        <stp/>
        <stp>FWRC1#USDJPY#Month Wise Rates#0#FwdOutrightBid16</stp>
        <tr r="M7" s="21"/>
      </tp>
      <tp>
        <v>131.90049999999999</v>
        <stp/>
        <stp>FWRC1#USDJPY#Month Wise Rates#0#FwdOutrightBid11</stp>
        <tr r="H7" s="21"/>
      </tp>
      <tp>
        <v>132.48099999999999</v>
        <stp/>
        <stp>FWRC1#USDJPY#Month Wise Rates#0#FwdOutrightBid10</stp>
        <tr r="G7" s="21"/>
      </tp>
      <tp>
        <v>130.7363</v>
        <stp/>
        <stp>FWRC1#USDJPY#Month Wise Rates#0#FwdOutrightBid13</stp>
        <tr r="J7" s="21"/>
      </tp>
      <tp>
        <v>131.30600000000001</v>
        <stp/>
        <stp>FWRC1#USDJPY#Month Wise Rates#0#FwdOutrightBid12</stp>
        <tr r="I7" s="21"/>
      </tp>
      <tp>
        <v>128.11080000000001</v>
        <stp/>
        <stp>FWRC1#USDJPY#Month Wise Rates#0#FwdOutrightBid18</stp>
        <tr r="O7" s="21"/>
      </tp>
      <tp t="s">
        <v>JPYINRCOMP</v>
        <stp/>
        <stp>17#3#1#5978#JPYINRCOMP#S#Descr.</stp>
        <tr r="A22" s="23"/>
        <tr r="A5" s="23"/>
      </tp>
      <tp t="s">
        <v>CHFINRCOMP</v>
        <stp/>
        <stp>17#3#1#6056#CHFINRCOMP#S#Descr.</stp>
        <tr r="A23" s="23"/>
        <tr r="A6" s="23"/>
      </tp>
      <tp t="s">
        <v/>
        <stp/>
        <stp>47#5#1#5629#EUR11M.LIBOR#LTP</stp>
        <tr r="O37" s="23"/>
      </tp>
      <tp t="s">
        <v/>
        <stp/>
        <stp>47#5#1#5629#EUR10M.LIBOR#LTP</stp>
        <tr r="N37" s="23"/>
      </tp>
      <tp t="s">
        <v/>
        <stp/>
        <stp>47#5#1#5629#GBP5M.LIBOR#LTP</stp>
        <tr r="I38" s="23"/>
        <tr r="F4" s="8"/>
      </tp>
      <tp t="s">
        <v/>
        <stp/>
        <stp>47#5#1#5629#GBP4M.LIBOR#LTP</stp>
        <tr r="E4" s="8"/>
        <tr r="H38" s="23"/>
      </tp>
      <tp t="s">
        <v/>
        <stp/>
        <stp>47#5#1#5629#GBP7M.LIBOR#LTP</stp>
        <tr r="K38" s="23"/>
      </tp>
      <tp t="s">
        <v/>
        <stp/>
        <stp>47#5#1#5629#GBP6M.LIBOR#LTP</stp>
        <tr r="G4" s="8"/>
        <tr r="J38" s="23"/>
      </tp>
      <tp t="s">
        <v/>
        <stp/>
        <stp>47#5#1#5629#GBP1M.LIBOR#LTP</stp>
        <tr r="E38" s="23"/>
        <tr r="B4" s="8"/>
      </tp>
      <tp t="s">
        <v/>
        <stp/>
        <stp>47#5#1#5629#GBP3M.LIBOR#LTP</stp>
        <tr r="D4" s="8"/>
        <tr r="G38" s="23"/>
      </tp>
      <tp t="s">
        <v/>
        <stp/>
        <stp>47#5#1#5629#GBP2M.LIBOR#LTP</stp>
        <tr r="F38" s="23"/>
        <tr r="C4" s="8"/>
      </tp>
      <tp t="s">
        <v/>
        <stp/>
        <stp>47#5#1#5629#GBP9M.LIBOR#LTP</stp>
        <tr r="H4" s="8"/>
        <tr r="M38" s="23"/>
      </tp>
      <tp t="s">
        <v/>
        <stp/>
        <stp>47#5#1#5629#GBP8M.LIBOR#LTP</stp>
        <tr r="L38" s="23"/>
      </tp>
      <tp>
        <v>0.6</v>
        <stp/>
        <stp>17#3#1#6031#GBPINRCOMP#%Chg</stp>
        <tr r="D5" s="10"/>
      </tp>
      <tp>
        <v>38.433999999999997</v>
        <stp/>
        <stp>FWRC1#EURUSD#Month Wise Rates#0#AskPrice8</stp>
        <tr r="E5" s="19"/>
        <tr r="L5" s="22"/>
      </tp>
      <tp>
        <v>56.12</v>
        <stp/>
        <stp>FWRC1#EURUSD#Month Wise Rates#0#AskPrice9</stp>
        <tr r="L6" s="22"/>
        <tr r="F5" s="19"/>
      </tp>
      <tp>
        <v>1.10466</v>
        <stp/>
        <stp>FWRC1#EURUSD#Month Wise Rates#0#AskPrice0</stp>
        <tr r="L3" s="22"/>
      </tp>
      <tp>
        <v>0.69599999999999995</v>
        <stp/>
        <stp>FWRC1#EURUSD#Month Wise Rates#0#AskPrice2</stp>
        <tr r="C5" s="19"/>
      </tp>
      <tp>
        <v>20.79</v>
        <stp/>
        <stp>FWRC1#EURUSD#Month Wise Rates#0#AskPrice7</stp>
        <tr r="D5" s="19"/>
        <tr r="L4" s="22"/>
      </tp>
      <tp t="s">
        <v/>
        <stp/>
        <stp>47#5#1#5629#EURON.LIBOR#LTP</stp>
        <tr r="B37" s="23"/>
      </tp>
      <tp t="s">
        <v/>
        <stp/>
        <stp>47#5#1#5629#EUR5M.LIBOR#LTP</stp>
        <tr r="I37" s="23"/>
        <tr r="F3" s="8"/>
      </tp>
      <tp t="s">
        <v/>
        <stp/>
        <stp>47#5#1#5629#EUR4M.LIBOR#LTP</stp>
        <tr r="E3" s="8"/>
        <tr r="H37" s="23"/>
      </tp>
      <tp t="s">
        <v/>
        <stp/>
        <stp>47#5#1#5629#EUR7M.LIBOR#LTP</stp>
        <tr r="K37" s="23"/>
      </tp>
      <tp t="s">
        <v/>
        <stp/>
        <stp>47#5#1#5629#EUR6M.LIBOR#LTP</stp>
        <tr r="J37" s="23"/>
        <tr r="G3" s="8"/>
      </tp>
      <tp t="s">
        <v/>
        <stp/>
        <stp>47#5#1#5629#EUR1M.LIBOR#LTP</stp>
        <tr r="B3" s="8"/>
        <tr r="E37" s="23"/>
      </tp>
      <tp t="s">
        <v/>
        <stp/>
        <stp>47#5#1#5629#EUR3M.LIBOR#LTP</stp>
        <tr r="D3" s="8"/>
        <tr r="G37" s="23"/>
      </tp>
      <tp t="s">
        <v/>
        <stp/>
        <stp>47#5#1#5629#EUR2M.LIBOR#LTP</stp>
        <tr r="C3" s="8"/>
        <tr r="F37" s="23"/>
      </tp>
      <tp t="s">
        <v/>
        <stp/>
        <stp>47#5#1#5629#EUR9M.LIBOR#LTP</stp>
        <tr r="H3" s="8"/>
        <tr r="M37" s="23"/>
      </tp>
      <tp t="s">
        <v/>
        <stp/>
        <stp>47#5#1#5629#EUR8M.LIBOR#LTP</stp>
        <tr r="L37" s="23"/>
      </tp>
      <tp>
        <v>17.100000000000001</v>
        <stp/>
        <stp>FWRC1#GBPUSD#Month Wise Rates#0#AskPrice8</stp>
        <tr r="N5" s="22"/>
        <tr r="E5" s="20"/>
      </tp>
      <tp>
        <v>23.05</v>
        <stp/>
        <stp>FWRC1#GBPUSD#Month Wise Rates#0#AskPrice9</stp>
        <tr r="N6" s="22"/>
        <tr r="F5" s="20"/>
      </tp>
      <tp>
        <v>0.47</v>
        <stp/>
        <stp>FWRC1#GBPUSD#Month Wise Rates#0#AskPrice2</stp>
        <tr r="C5" s="20"/>
      </tp>
      <tp>
        <v>1.2659100000000001</v>
        <stp/>
        <stp>FWRC1#GBPUSD#Month Wise Rates#0#AskPrice0</stp>
        <tr r="N3" s="22"/>
      </tp>
      <tp>
        <v>9.66</v>
        <stp/>
        <stp>FWRC1#GBPUSD#Month Wise Rates#0#AskPrice7</stp>
        <tr r="N4" s="22"/>
        <tr r="D5" s="20"/>
      </tp>
      <tp>
        <v>34.6935</v>
        <stp/>
        <stp>FWRC1#USDINR#Month Wise Rates#0#BidPrice9</stp>
        <tr r="C6" s="22"/>
        <tr r="F4" s="15"/>
      </tp>
      <tp>
        <v>21.8629</v>
        <stp/>
        <stp>FWRC1#USDINR#Month Wise Rates#0#BidPrice8</stp>
        <tr r="E4" s="15"/>
        <tr r="C5" s="22"/>
      </tp>
      <tp>
        <v>11</v>
        <stp/>
        <stp>FWRC1#USDINR#Month Wise Rates#0#BidPrice7</stp>
        <tr r="D4" s="15"/>
        <tr r="C4" s="22"/>
      </tp>
      <tp>
        <v>0.3095</v>
        <stp/>
        <stp>FWRC1#USDINR#Month Wise Rates#0#BidPrice3</stp>
        <tr r="C4" s="15"/>
      </tp>
      <tp t="s">
        <v>GBPINRCOMP</v>
        <stp/>
        <stp>17#3#1#6031#GBPINRCOMP#S#Descr.</stp>
        <tr r="A4" s="23"/>
        <tr r="A21" s="23"/>
      </tp>
      <tp t="s">
        <v/>
        <stp/>
        <stp>47#5#1#5629#GBPON.LIBOR#LTP</stp>
        <tr r="B38" s="23"/>
      </tp>
      <tp t="s">
        <v>AUDINRCOMP</v>
        <stp/>
        <stp>17#3#1#5903#AUDINRCOMP#S#Descr.</stp>
        <tr r="A25" s="23"/>
        <tr r="A8" s="23"/>
      </tp>
      <tp t="s">
        <v/>
        <stp/>
        <stp>47#5#1#5629#JPY5M.LIBOR#LTP</stp>
        <tr r="I39" s="23"/>
        <tr r="F5" s="8"/>
      </tp>
      <tp t="s">
        <v/>
        <stp/>
        <stp>47#5#1#5629#JPY7M.LIBOR#LTP</stp>
        <tr r="K39" s="23"/>
      </tp>
      <tp t="s">
        <v/>
        <stp/>
        <stp>47#5#1#5629#JPY6M.LIBOR#LTP</stp>
        <tr r="J39" s="23"/>
        <tr r="G5" s="8"/>
      </tp>
      <tp t="s">
        <v/>
        <stp/>
        <stp>47#5#1#5629#JPY1M.LIBOR#LTP</stp>
        <tr r="B5" s="8"/>
        <tr r="E39" s="23"/>
      </tp>
      <tp t="s">
        <v/>
        <stp/>
        <stp>47#5#1#5629#JPY3M.LIBOR#LTP</stp>
        <tr r="G39" s="23"/>
        <tr r="D5" s="8"/>
      </tp>
      <tp t="s">
        <v/>
        <stp/>
        <stp>47#5#1#5629#JPY2M.LIBOR#LTP</stp>
        <tr r="E5" s="8"/>
        <tr r="F39" s="23"/>
        <tr r="H39" s="23"/>
        <tr r="C5" s="8"/>
      </tp>
      <tp t="s">
        <v/>
        <stp/>
        <stp>47#5#1#5629#JPY9M.LIBOR#LTP</stp>
        <tr r="H5" s="8"/>
        <tr r="M39" s="23"/>
      </tp>
      <tp t="s">
        <v/>
        <stp/>
        <stp>47#5#1#5629#JPY8M.LIBOR#LTP</stp>
        <tr r="L39" s="23"/>
      </tp>
      <tp>
        <v>21.85</v>
        <stp/>
        <stp>FWRC1#GBPUSD#Month Wise Rates#0#BidPrice9</stp>
        <tr r="M6" s="22"/>
        <tr r="F4" s="20"/>
      </tp>
      <tp>
        <v>16.3</v>
        <stp/>
        <stp>FWRC1#GBPUSD#Month Wise Rates#0#BidPrice8</stp>
        <tr r="M5" s="22"/>
        <tr r="E4" s="20"/>
      </tp>
      <tp>
        <v>1.26586</v>
        <stp/>
        <stp>FWRC1#GBPUSD#Month Wise Rates#0#BidPrice0</stp>
        <tr r="M3" s="22"/>
      </tp>
      <tp>
        <v>0.28000000000000003</v>
        <stp/>
        <stp>FWRC1#GBPUSD#Month Wise Rates#0#BidPrice2</stp>
        <tr r="C4" s="20"/>
      </tp>
      <tp>
        <v>9.56</v>
        <stp/>
        <stp>FWRC1#GBPUSD#Month Wise Rates#0#BidPrice7</stp>
        <tr r="M4" s="22"/>
        <tr r="D4" s="20"/>
      </tp>
      <tp>
        <v>23.8629</v>
        <stp/>
        <stp>FWRC1#USDINR#Month Wise Rates#0#AskPrice8</stp>
        <tr r="D5" s="22"/>
        <tr r="E5" s="15"/>
      </tp>
      <tp>
        <v>36.6935</v>
        <stp/>
        <stp>FWRC1#USDINR#Month Wise Rates#0#AskPrice9</stp>
        <tr r="D6" s="22"/>
        <tr r="F5" s="15"/>
      </tp>
      <tp>
        <v>13</v>
        <stp/>
        <stp>FWRC1#USDINR#Month Wise Rates#0#AskPrice7</stp>
        <tr r="D5" s="15"/>
        <tr r="D4" s="22"/>
      </tp>
      <tp>
        <v>0.40479999999999999</v>
        <stp/>
        <stp>FWRC1#USDINR#Month Wise Rates#0#AskPrice3</stp>
        <tr r="C5" s="15"/>
      </tp>
      <tp t="s">
        <v/>
        <stp/>
        <stp>47#5#1#5629#JPYSN.LIBOR#LTP</stp>
        <tr r="B39" s="23"/>
      </tp>
      <tp t="s">
        <v>CADINRCOMP</v>
        <stp/>
        <stp>17#3#1#5921#CADINRCOMP#S#Descr.</stp>
        <tr r="A7" s="23"/>
        <tr r="A24" s="23"/>
      </tp>
      <tp>
        <v>55.87</v>
        <stp/>
        <stp>FWRC1#EURUSD#Month Wise Rates#0#BidPrice9</stp>
        <tr r="K6" s="22"/>
        <tr r="F4" s="19"/>
      </tp>
      <tp>
        <v>38.386000000000003</v>
        <stp/>
        <stp>FWRC1#EURUSD#Month Wise Rates#0#BidPrice8</stp>
        <tr r="E4" s="19"/>
        <tr r="K5" s="22"/>
      </tp>
      <tp>
        <v>0.67600000000000005</v>
        <stp/>
        <stp>FWRC1#EURUSD#Month Wise Rates#0#BidPrice2</stp>
        <tr r="C4" s="19"/>
      </tp>
      <tp>
        <v>1.10463</v>
        <stp/>
        <stp>FWRC1#EURUSD#Month Wise Rates#0#BidPrice0</stp>
        <tr r="K3" s="22"/>
      </tp>
      <tp>
        <v>20.59</v>
        <stp/>
        <stp>FWRC1#EURUSD#Month Wise Rates#0#BidPrice7</stp>
        <tr r="K4" s="22"/>
        <tr r="D4" s="19"/>
      </tp>
      <tp>
        <v>129.07749999999999</v>
        <stp/>
        <stp>FWRC1#USDJPY#Month Wise Rates#0#FwdOutrightAsk16</stp>
        <tr r="M8" s="21"/>
      </tp>
      <tp>
        <v>128.596</v>
        <stp/>
        <stp>FWRC1#USDJPY#Month Wise Rates#0#FwdOutrightAsk17</stp>
        <tr r="N8" s="21"/>
      </tp>
      <tp>
        <v>130.108</v>
        <stp/>
        <stp>FWRC1#USDJPY#Month Wise Rates#0#FwdOutrightAsk14</stp>
        <tr r="K8" s="21"/>
      </tp>
      <tp>
        <v>129.511</v>
        <stp/>
        <stp>FWRC1#USDJPY#Month Wise Rates#0#FwdOutrightAsk15</stp>
        <tr r="L8" s="21"/>
      </tp>
      <tp>
        <v>131.333</v>
        <stp/>
        <stp>FWRC1#USDJPY#Month Wise Rates#0#FwdOutrightAsk12</stp>
        <tr r="I8" s="21"/>
      </tp>
      <tp>
        <v>130.76580000000001</v>
        <stp/>
        <stp>FWRC1#USDJPY#Month Wise Rates#0#FwdOutrightAsk13</stp>
        <tr r="J8" s="21"/>
      </tp>
      <tp>
        <v>132.50299999999999</v>
        <stp/>
        <stp>FWRC1#USDJPY#Month Wise Rates#0#FwdOutrightAsk10</stp>
        <tr r="G8" s="21"/>
      </tp>
      <tp>
        <v>131.92949999999999</v>
        <stp/>
        <stp>FWRC1#USDJPY#Month Wise Rates#0#FwdOutrightAsk11</stp>
        <tr r="H8" s="21"/>
      </tp>
      <tp>
        <v>128.1388</v>
        <stp/>
        <stp>FWRC1#USDJPY#Month Wise Rates#0#FwdOutrightAsk18</stp>
        <tr r="O8" s="21"/>
      </tp>
      <tp t="s">
        <v/>
        <stp/>
        <stp>47#5#1#5629#USD1W.LIBOR#LTP</stp>
        <tr r="C36" s="23"/>
      </tp>
      <tp t="s">
        <v/>
        <stp/>
        <stp>47#5#1#5629#USD2W.LIBOR#LTP</stp>
        <tr r="D36" s="23"/>
      </tp>
      <tp t="s">
        <v>EURINRCOMP</v>
        <stp/>
        <stp>17#3#1#5949#EURINRCOMP#S#Descr.</stp>
        <tr r="A20" s="23"/>
        <tr r="A3" s="23"/>
      </tp>
      <tp>
        <v>83.232500000000002</v>
        <stp/>
        <stp>17#1#1#6069#USDINRCOMP#52WkHigh</stp>
        <tr r="I3" s="10"/>
      </tp>
      <tp>
        <v>-0.08</v>
        <stp/>
        <stp>17#3#1#5949#EURINRCOMP#%Chg</stp>
        <tr r="D4" s="10"/>
      </tp>
      <tp>
        <v>133.11689999999999</v>
        <stp/>
        <stp>FWRC1#USDJPY#Month Wise Rates#0#FwdOutrightBid9</stp>
        <tr r="F7" s="21"/>
      </tp>
      <tp>
        <v>133.7398</v>
        <stp/>
        <stp>FWRC1#USDJPY#Month Wise Rates#0#FwdOutrightBid8</stp>
        <tr r="E7" s="21"/>
      </tp>
      <tp>
        <v>134.31970000000001</v>
        <stp/>
        <stp>FWRC1#USDJPY#Month Wise Rates#0#FwdOutrightBid7</stp>
        <tr r="D7" s="21"/>
      </tp>
      <tp>
        <v>135.00810000000001</v>
        <stp/>
        <stp>FWRC1#USDJPY#Month Wise Rates#0#FwdOutrightBid2</stp>
        <tr r="C7" s="21"/>
      </tp>
      <tp>
        <v>27.57</v>
        <stp/>
        <stp>FWRC1#GBPUSD#Month Wise Rates#0#BidPrice13</stp>
        <tr r="M10" s="22"/>
        <tr r="J4" s="20"/>
      </tp>
      <tp>
        <v>29.25</v>
        <stp/>
        <stp>FWRC1#GBPUSD#Month Wise Rates#0#BidPrice12</stp>
        <tr r="I4" s="20"/>
        <tr r="M9" s="22"/>
      </tp>
      <tp>
        <v>28.24</v>
        <stp/>
        <stp>FWRC1#GBPUSD#Month Wise Rates#0#BidPrice11</stp>
        <tr r="H4" s="20"/>
        <tr r="M8" s="22"/>
      </tp>
      <tp>
        <v>25.91</v>
        <stp/>
        <stp>FWRC1#GBPUSD#Month Wise Rates#0#BidPrice10</stp>
        <tr r="M7" s="22"/>
        <tr r="G4" s="20"/>
      </tp>
      <tp>
        <v>17.62</v>
        <stp/>
        <stp>FWRC1#GBPUSD#Month Wise Rates#0#BidPrice17</stp>
        <tr r="N4" s="20"/>
        <tr r="M14" s="22"/>
      </tp>
      <tp>
        <v>23.16</v>
        <stp/>
        <stp>FWRC1#GBPUSD#Month Wise Rates#0#BidPrice16</stp>
        <tr r="M4" s="20"/>
        <tr r="M13" s="22"/>
      </tp>
      <tp>
        <v>22.93</v>
        <stp/>
        <stp>FWRC1#GBPUSD#Month Wise Rates#0#BidPrice15</stp>
        <tr r="M12" s="22"/>
        <tr r="L4" s="20"/>
      </tp>
      <tp>
        <v>30.67</v>
        <stp/>
        <stp>FWRC1#GBPUSD#Month Wise Rates#0#BidPrice14</stp>
        <tr r="K4" s="20"/>
        <tr r="M11" s="22"/>
      </tp>
      <tp>
        <v>8.2799999999999994</v>
        <stp/>
        <stp>FWRC1#GBPUSD#Month Wise Rates#0#BidPrice18</stp>
        <tr r="M15" s="22"/>
        <tr r="O4" s="20"/>
      </tp>
      <tp>
        <v>14.87</v>
        <stp/>
        <stp>FWRC1#GBPUSD#Month Wise Rates#0#AskPrice18</stp>
        <tr r="O5" s="20"/>
        <tr r="N15" s="22"/>
      </tp>
      <tp>
        <v>30.16</v>
        <stp/>
        <stp>FWRC1#GBPUSD#Month Wise Rates#0#AskPrice11</stp>
        <tr r="N8" s="22"/>
        <tr r="H5" s="20"/>
      </tp>
      <tp>
        <v>27.35</v>
        <stp/>
        <stp>FWRC1#GBPUSD#Month Wise Rates#0#AskPrice10</stp>
        <tr r="N7" s="22"/>
        <tr r="G5" s="20"/>
      </tp>
      <tp>
        <v>29.62</v>
        <stp/>
        <stp>FWRC1#GBPUSD#Month Wise Rates#0#AskPrice13</stp>
        <tr r="N10" s="22"/>
        <tr r="J5" s="20"/>
      </tp>
      <tp>
        <v>30.64</v>
        <stp/>
        <stp>FWRC1#GBPUSD#Month Wise Rates#0#AskPrice12</stp>
        <tr r="I5" s="20"/>
        <tr r="N9" s="22"/>
      </tp>
      <tp>
        <v>25.08</v>
        <stp/>
        <stp>FWRC1#GBPUSD#Month Wise Rates#0#AskPrice15</stp>
        <tr r="L5" s="20"/>
        <tr r="N12" s="22"/>
      </tp>
      <tp>
        <v>32.520000000000003</v>
        <stp/>
        <stp>FWRC1#GBPUSD#Month Wise Rates#0#AskPrice14</stp>
        <tr r="N11" s="22"/>
        <tr r="K5" s="20"/>
      </tp>
      <tp>
        <v>19.57</v>
        <stp/>
        <stp>FWRC1#GBPUSD#Month Wise Rates#0#AskPrice17</stp>
        <tr r="N14" s="22"/>
        <tr r="N5" s="20"/>
      </tp>
      <tp>
        <v>24.83</v>
        <stp/>
        <stp>FWRC1#GBPUSD#Month Wise Rates#0#AskPrice16</stp>
        <tr r="M5" s="20"/>
        <tr r="N13" s="22"/>
      </tp>
      <tp>
        <v>256.33199999999999</v>
        <stp/>
        <stp>FWRC1#EURINR#Month Wise Rates#0#AskPrice15</stp>
        <tr r="F12" s="22"/>
      </tp>
      <tp>
        <v>228.01050000000001</v>
        <stp/>
        <stp>FWRC1#EURINR#Month Wise Rates#0#AskPrice14</stp>
        <tr r="F11" s="22"/>
      </tp>
      <tp>
        <v>310.79489999999998</v>
        <stp/>
        <stp>FWRC1#EURINR#Month Wise Rates#0#AskPrice17</stp>
        <tr r="F14" s="22"/>
      </tp>
      <tp>
        <v>281.40600000000001</v>
        <stp/>
        <stp>FWRC1#EURINR#Month Wise Rates#0#AskPrice16</stp>
        <tr r="F13" s="22"/>
      </tp>
      <tp>
        <v>142.1687</v>
        <stp/>
        <stp>FWRC1#EURINR#Month Wise Rates#0#AskPrice11</stp>
        <tr r="F8" s="22"/>
      </tp>
      <tp>
        <v>115.6567</v>
        <stp/>
        <stp>FWRC1#EURINR#Month Wise Rates#0#AskPrice10</stp>
        <tr r="F7" s="22"/>
      </tp>
      <tp>
        <v>196.49</v>
        <stp/>
        <stp>FWRC1#EURINR#Month Wise Rates#0#AskPrice13</stp>
        <tr r="F10" s="22"/>
      </tp>
      <tp>
        <v>170.62960000000001</v>
        <stp/>
        <stp>FWRC1#EURINR#Month Wise Rates#0#AskPrice12</stp>
        <tr r="F9" s="22"/>
      </tp>
      <tp>
        <v>342.11130000000003</v>
        <stp/>
        <stp>FWRC1#EURINR#Month Wise Rates#0#AskPrice18</stp>
        <tr r="F15" s="22"/>
      </tp>
      <tp>
        <v>336.93119999999999</v>
        <stp/>
        <stp>FWRC1#EURINR#Month Wise Rates#0#BidPrice18</stp>
        <tr r="E15" s="22"/>
      </tp>
      <tp>
        <v>303.95760000000001</v>
        <stp/>
        <stp>FWRC1#EURINR#Month Wise Rates#0#BidPrice17</stp>
        <tr r="E14" s="22"/>
      </tp>
      <tp>
        <v>274.99779999999998</v>
        <stp/>
        <stp>FWRC1#EURINR#Month Wise Rates#0#BidPrice16</stp>
        <tr r="E13" s="22"/>
      </tp>
      <tp>
        <v>252.00989999999999</v>
        <stp/>
        <stp>FWRC1#EURINR#Month Wise Rates#0#BidPrice15</stp>
        <tr r="E12" s="22"/>
      </tp>
      <tp>
        <v>223.9444</v>
        <stp/>
        <stp>FWRC1#EURINR#Month Wise Rates#0#BidPrice14</stp>
        <tr r="E11" s="22"/>
      </tp>
      <tp>
        <v>191.35669999999999</v>
        <stp/>
        <stp>FWRC1#EURINR#Month Wise Rates#0#BidPrice13</stp>
        <tr r="E10" s="22"/>
      </tp>
      <tp>
        <v>167.73390000000001</v>
        <stp/>
        <stp>FWRC1#EURINR#Month Wise Rates#0#BidPrice12</stp>
        <tr r="E9" s="22"/>
      </tp>
      <tp>
        <v>138.94</v>
        <stp/>
        <stp>FWRC1#EURINR#Month Wise Rates#0#BidPrice11</stp>
        <tr r="E8" s="22"/>
      </tp>
      <tp>
        <v>112.6228</v>
        <stp/>
        <stp>FWRC1#EURINR#Month Wise Rates#0#BidPrice10</stp>
        <tr r="E7" s="22"/>
      </tp>
      <tp>
        <v>91.92</v>
        <stp/>
        <stp>17#3#1#6056#CHFINRCOMP#Open</stp>
        <tr r="B6" s="23"/>
      </tp>
      <tp>
        <v>60.62</v>
        <stp/>
        <stp>17#3#1#5978#JPYINRCOMP#Open</stp>
        <tr r="B5" s="23"/>
        <tr r="E6" s="10"/>
      </tp>
      <tp t="s">
        <v>SEP-2023</v>
        <stp/>
        <stp>FWRC1#JPYINR#Month End Rates#0#S#Desc.8</stp>
        <tr r="H1" s="18"/>
      </tp>
      <tp t="s">
        <v>OCT-2023</v>
        <stp/>
        <stp>FWRC1#JPYINR#Month End Rates#0#S#Desc.9</stp>
        <tr r="I1" s="18"/>
      </tp>
      <tp t="s">
        <v>MAY-2023</v>
        <stp/>
        <stp>FWRC1#JPYINR#Month End Rates#0#S#Desc.4</stp>
        <tr r="D1" s="18"/>
      </tp>
      <tp t="s">
        <v>JUN-2023</v>
        <stp/>
        <stp>FWRC1#JPYINR#Month End Rates#0#S#Desc.5</stp>
        <tr r="E1" s="18"/>
      </tp>
      <tp t="s">
        <v>JUL-2023</v>
        <stp/>
        <stp>FWRC1#JPYINR#Month End Rates#0#S#Desc.6</stp>
        <tr r="F1" s="18"/>
      </tp>
      <tp t="s">
        <v>AUG-2023</v>
        <stp/>
        <stp>FWRC1#JPYINR#Month End Rates#0#S#Desc.7</stp>
        <tr r="G1" s="18"/>
      </tp>
      <tp t="s">
        <v>CASH/SPOT</v>
        <stp/>
        <stp>FWRC1#JPYINR#Month End Rates#0#S#Desc.2</stp>
        <tr r="C1" s="18"/>
      </tp>
      <tp>
        <v>17.75</v>
        <stp/>
        <stp>FWRC1#USDINR#Month End Rates#0#Close5</stp>
        <tr r="D19" s="23"/>
      </tp>
      <tp>
        <v>6.5</v>
        <stp/>
        <stp>FWRC1#USDINR#Month End Rates#0#Close4</stp>
        <tr r="C19" s="23"/>
      </tp>
      <tp>
        <v>43.5</v>
        <stp/>
        <stp>FWRC1#USDINR#Month End Rates#0#Close7</stp>
        <tr r="F19" s="23"/>
      </tp>
      <tp>
        <v>30.5</v>
        <stp/>
        <stp>FWRC1#USDINR#Month End Rates#0#Close6</stp>
        <tr r="E19" s="23"/>
      </tp>
      <tp>
        <v>81.8</v>
        <stp/>
        <stp>FWRC1#USDINR#Month End Rates#0#Close0</stp>
        <tr r="M19" s="23"/>
        <tr r="F19" s="23"/>
        <tr r="J19" s="23"/>
        <tr r="K19" s="23"/>
        <tr r="I19" s="23"/>
        <tr r="N19" s="23"/>
        <tr r="D19" s="23"/>
        <tr r="L19" s="23"/>
        <tr r="C19" s="23"/>
        <tr r="H19" s="23"/>
        <tr r="G19" s="23"/>
        <tr r="E19" s="23"/>
        <tr r="B19" s="23"/>
      </tp>
      <tp>
        <v>70.5</v>
        <stp/>
        <stp>FWRC1#USDINR#Month End Rates#0#Close9</stp>
        <tr r="H19" s="23"/>
      </tp>
      <tp>
        <v>56</v>
        <stp/>
        <stp>FWRC1#USDINR#Month End Rates#0#Close8</stp>
        <tr r="G19" s="23"/>
      </tp>
      <tp>
        <v>180.72730000000001</v>
        <stp/>
        <stp>FWRC1#USDINR#Month Wise Rates#0#BidPrice18</stp>
        <tr r="C15" s="22"/>
        <tr r="O4" s="15"/>
      </tp>
      <tp>
        <v>157.5455</v>
        <stp/>
        <stp>FWRC1#USDINR#Month Wise Rates#0#BidPrice17</stp>
        <tr r="C14" s="22"/>
        <tr r="N4" s="15"/>
      </tp>
      <tp>
        <v>138.24109999999999</v>
        <stp/>
        <stp>FWRC1#USDINR#Month Wise Rates#0#BidPrice16</stp>
        <tr r="C13" s="22"/>
        <tr r="M4" s="15"/>
      </tp>
      <tp>
        <v>123.0172</v>
        <stp/>
        <stp>FWRC1#USDINR#Month Wise Rates#0#BidPrice15</stp>
        <tr r="C12" s="22"/>
        <tr r="L4" s="15"/>
      </tp>
      <tp>
        <v>105.36360000000001</v>
        <stp/>
        <stp>FWRC1#USDINR#Month Wise Rates#0#BidPrice14</stp>
        <tr r="K4" s="15"/>
        <tr r="C11" s="22"/>
      </tp>
      <tp>
        <v>90.310299999999998</v>
        <stp/>
        <stp>FWRC1#USDINR#Month Wise Rates#0#BidPrice13</stp>
        <tr r="J4" s="15"/>
        <tr r="C10" s="22"/>
      </tp>
      <tp>
        <v>76.783299999999997</v>
        <stp/>
        <stp>FWRC1#USDINR#Month Wise Rates#0#BidPrice12</stp>
        <tr r="C9" s="22"/>
        <tr r="I4" s="15"/>
      </tp>
      <tp>
        <v>60.984400000000001</v>
        <stp/>
        <stp>FWRC1#USDINR#Month Wise Rates#0#BidPrice11</stp>
        <tr r="H4" s="15"/>
        <tr r="C8" s="22"/>
      </tp>
      <tp>
        <v>48.241399999999999</v>
        <stp/>
        <stp>FWRC1#USDINR#Month Wise Rates#0#BidPrice10</stp>
        <tr r="G4" s="15"/>
        <tr r="C7" s="22"/>
      </tp>
      <tp>
        <v>125.0172</v>
        <stp/>
        <stp>FWRC1#USDINR#Month Wise Rates#0#AskPrice15</stp>
        <tr r="L5" s="15"/>
        <tr r="D12" s="22"/>
      </tp>
      <tp>
        <v>107.36360000000001</v>
        <stp/>
        <stp>FWRC1#USDINR#Month Wise Rates#0#AskPrice14</stp>
        <tr r="D11" s="22"/>
        <tr r="K5" s="15"/>
      </tp>
      <tp>
        <v>159.5455</v>
        <stp/>
        <stp>FWRC1#USDINR#Month Wise Rates#0#AskPrice17</stp>
        <tr r="D14" s="22"/>
        <tr r="N5" s="15"/>
      </tp>
      <tp>
        <v>140.24109999999999</v>
        <stp/>
        <stp>FWRC1#USDINR#Month Wise Rates#0#AskPrice16</stp>
        <tr r="M5" s="15"/>
        <tr r="D13" s="22"/>
      </tp>
      <tp>
        <v>62.984400000000001</v>
        <stp/>
        <stp>FWRC1#USDINR#Month Wise Rates#0#AskPrice11</stp>
        <tr r="D8" s="22"/>
        <tr r="H5" s="15"/>
      </tp>
      <tp>
        <v>50.241399999999999</v>
        <stp/>
        <stp>FWRC1#USDINR#Month Wise Rates#0#AskPrice10</stp>
        <tr r="G5" s="15"/>
        <tr r="D7" s="22"/>
      </tp>
      <tp>
        <v>92.310299999999998</v>
        <stp/>
        <stp>FWRC1#USDINR#Month Wise Rates#0#AskPrice13</stp>
        <tr r="J5" s="15"/>
        <tr r="D10" s="22"/>
      </tp>
      <tp>
        <v>78.783299999999997</v>
        <stp/>
        <stp>FWRC1#USDINR#Month Wise Rates#0#AskPrice12</stp>
        <tr r="D9" s="22"/>
        <tr r="I5" s="15"/>
      </tp>
      <tp>
        <v>182.72730000000001</v>
        <stp/>
        <stp>FWRC1#USDINR#Month Wise Rates#0#AskPrice18</stp>
        <tr r="D15" s="22"/>
        <tr r="O5" s="15"/>
      </tp>
      <tp>
        <v>46643.064400000003</v>
        <stp/>
        <stp>FWRC1#JPYINR#Month Wise Rates#0#BidPrice18</stp>
        <tr r="I15" s="22"/>
      </tp>
      <tp>
        <v>42383.849399999999</v>
        <stp/>
        <stp>FWRC1#JPYINR#Month Wise Rates#0#BidPrice17</stp>
        <tr r="I14" s="22"/>
      </tp>
      <tp>
        <v>38558.830300000001</v>
        <stp/>
        <stp>FWRC1#JPYINR#Month Wise Rates#0#BidPrice16</stp>
        <tr r="I13" s="22"/>
      </tp>
      <tp>
        <v>35182.015399999997</v>
        <stp/>
        <stp>FWRC1#JPYINR#Month Wise Rates#0#BidPrice15</stp>
        <tr r="I12" s="22"/>
      </tp>
      <tp>
        <v>30939.1698</v>
        <stp/>
        <stp>FWRC1#JPYINR#Month Wise Rates#0#BidPrice14</stp>
        <tr r="I11" s="22"/>
      </tp>
      <tp>
        <v>26510.251799999998</v>
        <stp/>
        <stp>FWRC1#JPYINR#Month Wise Rates#0#BidPrice13</stp>
        <tr r="I10" s="22"/>
      </tp>
      <tp>
        <v>22730.8056</v>
        <stp/>
        <stp>FWRC1#JPYINR#Month Wise Rates#0#BidPrice12</stp>
        <tr r="I9" s="22"/>
      </tp>
      <tp>
        <v>18736.500499999998</v>
        <stp/>
        <stp>FWRC1#JPYINR#Month Wise Rates#0#BidPrice11</stp>
        <tr r="I8" s="22"/>
      </tp>
      <tp>
        <v>15054.6217</v>
        <stp/>
        <stp>FWRC1#JPYINR#Month Wise Rates#0#BidPrice10</stp>
        <tr r="I7" s="22"/>
      </tp>
      <tp>
        <v>35415.592499999999</v>
        <stp/>
        <stp>FWRC1#JPYINR#Month Wise Rates#0#AskPrice15</stp>
        <tr r="J12" s="22"/>
      </tp>
      <tp>
        <v>31195.170300000002</v>
        <stp/>
        <stp>FWRC1#JPYINR#Month Wise Rates#0#AskPrice14</stp>
        <tr r="J11" s="22"/>
      </tp>
      <tp>
        <v>42721.742700000003</v>
        <stp/>
        <stp>FWRC1#JPYINR#Month Wise Rates#0#AskPrice17</stp>
        <tr r="J14" s="22"/>
      </tp>
      <tp>
        <v>38794.025999999998</v>
        <stp/>
        <stp>FWRC1#JPYINR#Month Wise Rates#0#AskPrice16</stp>
        <tr r="J13" s="22"/>
      </tp>
      <tp>
        <v>18961.8017</v>
        <stp/>
        <stp>FWRC1#JPYINR#Month Wise Rates#0#AskPrice11</stp>
        <tr r="J8" s="22"/>
      </tp>
      <tp>
        <v>15278.0322</v>
        <stp/>
        <stp>FWRC1#JPYINR#Month Wise Rates#0#AskPrice10</stp>
        <tr r="J7" s="22"/>
      </tp>
      <tp>
        <v>26763.6675</v>
        <stp/>
        <stp>FWRC1#JPYINR#Month Wise Rates#0#AskPrice13</stp>
        <tr r="J10" s="22"/>
      </tp>
      <tp>
        <v>22958.088899999999</v>
        <stp/>
        <stp>FWRC1#JPYINR#Month Wise Rates#0#AskPrice12</stp>
        <tr r="J9" s="22"/>
      </tp>
      <tp>
        <v>46907.369700000003</v>
        <stp/>
        <stp>FWRC1#JPYINR#Month Wise Rates#0#AskPrice18</stp>
        <tr r="J15" s="22"/>
      </tp>
      <tp>
        <v>103.36</v>
        <stp/>
        <stp>17#3#1#6031#GBPINRCOMP#Open</stp>
        <tr r="E5" s="10"/>
        <tr r="B4" s="23"/>
      </tp>
      <tp>
        <v>55.307499999999997</v>
        <stp/>
        <stp>17#3#1#5903#AUDINRCOMP#Open</stp>
        <tr r="B8" s="23"/>
      </tp>
      <tp>
        <v>1.4778</v>
        <stp/>
        <stp>FWRC1#EURUSD#Month Wise Rates#0#Bid%18</stp>
        <tr r="O10" s="19"/>
      </tp>
      <tp>
        <v>1.7774000000000001</v>
        <stp/>
        <stp>FWRC1#EURUSD#Month Wise Rates#0#Bid%12</stp>
        <tr r="I10" s="19"/>
      </tp>
      <tp>
        <v>1.7081999999999999</v>
        <stp/>
        <stp>FWRC1#EURUSD#Month Wise Rates#0#Bid%13</stp>
        <tr r="J10" s="19"/>
      </tp>
      <tp>
        <v>1.9258</v>
        <stp/>
        <stp>FWRC1#EURUSD#Month Wise Rates#0#Bid%10</stp>
        <tr r="G10" s="19"/>
      </tp>
      <tp>
        <v>1.8808</v>
        <stp/>
        <stp>FWRC1#EURUSD#Month Wise Rates#0#Bid%11</stp>
        <tr r="H10" s="19"/>
      </tp>
      <tp>
        <v>1.6152</v>
        <stp/>
        <stp>FWRC1#EURUSD#Month Wise Rates#0#Bid%16</stp>
        <tr r="M10" s="19"/>
      </tp>
      <tp>
        <v>1.5469999999999999</v>
        <stp/>
        <stp>FWRC1#EURUSD#Month Wise Rates#0#Bid%17</stp>
        <tr r="N10" s="19"/>
      </tp>
      <tp>
        <v>1.7552000000000001</v>
        <stp/>
        <stp>FWRC1#EURUSD#Month Wise Rates#0#Bid%14</stp>
        <tr r="K10" s="19"/>
      </tp>
      <tp>
        <v>1.6822999999999999</v>
        <stp/>
        <stp>FWRC1#EURUSD#Month Wise Rates#0#Bid%15</stp>
        <tr r="L10" s="19"/>
      </tp>
      <tp>
        <v>1.9519</v>
        <stp/>
        <stp>FWRC1#EURUSD#Month Wise Rates#0#Ask%10</stp>
        <tr r="G11" s="19"/>
      </tp>
      <tp>
        <v>1.907</v>
        <stp/>
        <stp>FWRC1#EURUSD#Month Wise Rates#0#Ask%11</stp>
        <tr r="H11" s="19"/>
      </tp>
      <tp>
        <v>1.7916000000000001</v>
        <stp/>
        <stp>FWRC1#EURUSD#Month Wise Rates#0#Ask%12</stp>
        <tr r="I11" s="19"/>
      </tp>
      <tp>
        <v>1.7621</v>
        <stp/>
        <stp>FWRC1#EURUSD#Month Wise Rates#0#Ask%13</stp>
        <tr r="J11" s="19"/>
      </tp>
      <tp>
        <v>1.7849999999999999</v>
        <stp/>
        <stp>FWRC1#EURUSD#Month Wise Rates#0#Ask%14</stp>
        <tr r="K11" s="19"/>
      </tp>
      <tp>
        <v>1.7121</v>
        <stp/>
        <stp>FWRC1#EURUSD#Month Wise Rates#0#Ask%15</stp>
        <tr r="L11" s="19"/>
      </tp>
      <tp>
        <v>1.629</v>
        <stp/>
        <stp>FWRC1#EURUSD#Month Wise Rates#0#Ask%16</stp>
        <tr r="M11" s="19"/>
      </tp>
      <tp>
        <v>1.6012999999999999</v>
        <stp/>
        <stp>FWRC1#EURUSD#Month Wise Rates#0#Ask%17</stp>
        <tr r="N11" s="19"/>
      </tp>
      <tp>
        <v>1.5041</v>
        <stp/>
        <stp>FWRC1#EURUSD#Month Wise Rates#0#Ask%18</stp>
        <tr r="O11" s="19"/>
      </tp>
      <tp>
        <v>61.127499999999998</v>
        <stp/>
        <stp>17#3#1#5921#CADINRCOMP#Open</stp>
        <tr r="B7" s="23"/>
      </tp>
      <tp>
        <v>61.77</v>
        <stp/>
        <stp>17#3#1#6041#SGDINRCOMP#High</stp>
        <tr r="C9" s="23"/>
      </tp>
      <tp>
        <v>102.85250000000001</v>
        <stp/>
        <stp>17#3#1#6031#GBPINRCOMP#Close</stp>
        <tr r="H5" s="10"/>
      </tp>
      <tp>
        <v>1.1085</v>
        <stp/>
        <stp>FWRC1#EURUSD#Month Wise Rates#0#FwdOutrightAsk8</stp>
        <tr r="E8" s="19"/>
      </tp>
      <tp>
        <v>1.1102000000000001</v>
        <stp/>
        <stp>FWRC1#EURUSD#Month Wise Rates#0#FwdOutrightAsk9</stp>
        <tr r="F8" s="19"/>
      </tp>
      <tp>
        <v>1.1068</v>
        <stp/>
        <stp>FWRC1#EURUSD#Month Wise Rates#0#FwdOutrightAsk7</stp>
        <tr r="D8" s="19"/>
      </tp>
      <tp>
        <v>1.1047</v>
        <stp/>
        <stp>FWRC1#EURUSD#Month Wise Rates#0#FwdOutrightAsk2</stp>
        <tr r="C8" s="19"/>
      </tp>
      <tp>
        <v>81.814999999999998</v>
        <stp/>
        <stp>17#1#1#6069#USDINRCOMP#High</stp>
        <tr r="C2" s="23"/>
        <tr r="F3" s="10"/>
      </tp>
      <tp>
        <v>90.222499999999997</v>
        <stp/>
        <stp>17#3#1#5949#EURINRCOMP#Open</stp>
        <tr r="E4" s="10"/>
        <tr r="B3" s="23"/>
      </tp>
      <tp>
        <v>111.15</v>
        <stp/>
        <stp>FWRC1#EURUSD#Month Wise Rates#0#Close13</stp>
        <tr r="I27" s="23"/>
      </tp>
      <tp>
        <v>100.59</v>
        <stp/>
        <stp>FWRC1#EURUSD#Month Wise Rates#0#Close12</stp>
        <tr r="H27" s="23"/>
      </tp>
      <tp>
        <v>87.09</v>
        <stp/>
        <stp>FWRC1#EURUSD#Month Wise Rates#0#Close11</stp>
        <tr r="G27" s="23"/>
      </tp>
      <tp>
        <v>72.27</v>
        <stp/>
        <stp>FWRC1#EURUSD#Month Wise Rates#0#Close10</stp>
        <tr r="F27" s="23"/>
      </tp>
      <tp>
        <v>157.32</v>
        <stp/>
        <stp>FWRC1#EURUSD#Month Wise Rates#0#Close17</stp>
        <tr r="M27" s="23"/>
      </tp>
      <tp>
        <v>149.58000000000001</v>
        <stp/>
        <stp>FWRC1#EURUSD#Month Wise Rates#0#Close16</stp>
        <tr r="L27" s="23"/>
      </tp>
      <tp>
        <v>141.54</v>
        <stp/>
        <stp>FWRC1#EURUSD#Month Wise Rates#0#Close15</stp>
        <tr r="K27" s="23"/>
      </tp>
      <tp>
        <v>130.15</v>
        <stp/>
        <stp>FWRC1#EURUSD#Month Wise Rates#0#Close14</stp>
        <tr r="J27" s="23"/>
      </tp>
      <tp>
        <v>163.69999999999999</v>
        <stp/>
        <stp>FWRC1#EURUSD#Month Wise Rates#0#Close18</stp>
        <tr r="N27" s="23"/>
      </tp>
      <tp t="s">
        <v>CASH/SPOT</v>
        <stp/>
        <stp>FWRC1#GBPINR#Month End Rates#0#S#Desc.2</stp>
        <tr r="C1" s="17"/>
      </tp>
      <tp t="s">
        <v>JUN-2023</v>
        <stp/>
        <stp>FWRC1#GBPINR#Month End Rates#0#S#Desc.5</stp>
        <tr r="E1" s="17"/>
      </tp>
      <tp t="s">
        <v>MAY-2023</v>
        <stp/>
        <stp>FWRC1#GBPINR#Month End Rates#0#S#Desc.4</stp>
        <tr r="D1" s="17"/>
      </tp>
      <tp t="s">
        <v>AUG-2023</v>
        <stp/>
        <stp>FWRC1#GBPINR#Month End Rates#0#S#Desc.7</stp>
        <tr r="G1" s="17"/>
      </tp>
      <tp t="s">
        <v>JUL-2023</v>
        <stp/>
        <stp>FWRC1#GBPINR#Month End Rates#0#S#Desc.6</stp>
        <tr r="F1" s="17"/>
      </tp>
      <tp t="s">
        <v>OCT-2023</v>
        <stp/>
        <stp>FWRC1#GBPINR#Month End Rates#0#S#Desc.9</stp>
        <tr r="I1" s="17"/>
      </tp>
      <tp t="s">
        <v>SEP-2023</v>
        <stp/>
        <stp>FWRC1#GBPINR#Month End Rates#0#S#Desc.8</stp>
        <tr r="H1" s="17"/>
      </tp>
      <tp>
        <v>1.2676000000000001</v>
        <stp/>
        <stp>FWRC1#GBPUSD#Month Wise Rates#0#FwdOutrightAsk8</stp>
        <tr r="E8" s="20"/>
      </tp>
      <tp>
        <v>1.2682</v>
        <stp/>
        <stp>FWRC1#GBPUSD#Month Wise Rates#0#FwdOutrightAsk9</stp>
        <tr r="F8" s="20"/>
      </tp>
      <tp>
        <v>1.2667999999999999</v>
        <stp/>
        <stp>FWRC1#GBPUSD#Month Wise Rates#0#FwdOutrightAsk7</stp>
        <tr r="D8" s="20"/>
      </tp>
      <tp>
        <v>1.2659</v>
        <stp/>
        <stp>FWRC1#GBPUSD#Month Wise Rates#0#FwdOutrightAsk2</stp>
        <tr r="C8" s="20"/>
      </tp>
      <tp>
        <v>-687.92</v>
        <stp/>
        <stp>FWRC1#USDJPY#Month Wise Rates#0#BidPrice18</stp>
        <tr r="O4" s="21"/>
        <tr r="O15" s="22"/>
      </tp>
      <tp>
        <v>-491.5</v>
        <stp/>
        <stp>FWRC1#USDJPY#Month Wise Rates#0#BidPrice14</stp>
        <tr r="K4" s="21"/>
        <tr r="O11" s="22"/>
      </tp>
      <tp>
        <v>-550.4</v>
        <stp/>
        <stp>FWRC1#USDJPY#Month Wise Rates#0#BidPrice15</stp>
        <tr r="L4" s="21"/>
        <tr r="O12" s="22"/>
      </tp>
      <tp>
        <v>-593.65</v>
        <stp/>
        <stp>FWRC1#USDJPY#Month Wise Rates#0#BidPrice16</stp>
        <tr r="O13" s="22"/>
        <tr r="M4" s="21"/>
      </tp>
      <tp>
        <v>-643.9</v>
        <stp/>
        <stp>FWRC1#USDJPY#Month Wise Rates#0#BidPrice17</stp>
        <tr r="O14" s="22"/>
        <tr r="N4" s="21"/>
      </tp>
      <tp>
        <v>-250.9</v>
        <stp/>
        <stp>FWRC1#USDJPY#Month Wise Rates#0#BidPrice10</stp>
        <tr r="O7" s="22"/>
        <tr r="G4" s="21"/>
      </tp>
      <tp>
        <v>-308.85000000000002</v>
        <stp/>
        <stp>FWRC1#USDJPY#Month Wise Rates#0#BidPrice11</stp>
        <tr r="H4" s="21"/>
        <tr r="O8" s="22"/>
      </tp>
      <tp>
        <v>-367.7</v>
        <stp/>
        <stp>FWRC1#USDJPY#Month Wise Rates#0#BidPrice12</stp>
        <tr r="O9" s="22"/>
        <tr r="I4" s="21"/>
      </tp>
      <tp>
        <v>-425.17</v>
        <stp/>
        <stp>FWRC1#USDJPY#Month Wise Rates#0#BidPrice13</stp>
        <tr r="J4" s="21"/>
        <tr r="O10" s="22"/>
      </tp>
      <tp>
        <v>-592.15</v>
        <stp/>
        <stp>FWRC1#USDJPY#Month Wise Rates#0#AskPrice16</stp>
        <tr r="P13" s="22"/>
        <tr r="M5" s="21"/>
      </tp>
      <tp>
        <v>-640.4</v>
        <stp/>
        <stp>FWRC1#USDJPY#Month Wise Rates#0#AskPrice17</stp>
        <tr r="P14" s="22"/>
        <tr r="N5" s="21"/>
      </tp>
      <tp>
        <v>-489.5</v>
        <stp/>
        <stp>FWRC1#USDJPY#Month Wise Rates#0#AskPrice14</stp>
        <tr r="P11" s="22"/>
        <tr r="K5" s="21"/>
      </tp>
      <tp>
        <v>-548.9</v>
        <stp/>
        <stp>FWRC1#USDJPY#Month Wise Rates#0#AskPrice15</stp>
        <tr r="P12" s="22"/>
        <tr r="L5" s="21"/>
      </tp>
      <tp>
        <v>-366.2</v>
        <stp/>
        <stp>FWRC1#USDJPY#Month Wise Rates#0#AskPrice12</stp>
        <tr r="I5" s="21"/>
        <tr r="P9" s="22"/>
      </tp>
      <tp>
        <v>-423.02</v>
        <stp/>
        <stp>FWRC1#USDJPY#Month Wise Rates#0#AskPrice13</stp>
        <tr r="J5" s="21"/>
        <tr r="P10" s="22"/>
      </tp>
      <tp>
        <v>-249.4</v>
        <stp/>
        <stp>FWRC1#USDJPY#Month Wise Rates#0#AskPrice10</stp>
        <tr r="P7" s="22"/>
        <tr r="G5" s="21"/>
      </tp>
      <tp>
        <v>-307.35000000000002</v>
        <stp/>
        <stp>FWRC1#USDJPY#Month Wise Rates#0#AskPrice11</stp>
        <tr r="H5" s="21"/>
        <tr r="P8" s="22"/>
      </tp>
      <tp>
        <v>-685.92</v>
        <stp/>
        <stp>FWRC1#USDJPY#Month Wise Rates#0#AskPrice18</stp>
        <tr r="P15" s="22"/>
        <tr r="O5" s="21"/>
      </tp>
      <tp>
        <v>28.24</v>
        <stp/>
        <stp>FWRC1#GBPUSD#Month Wise Rates#0#Close11</stp>
        <tr r="G28" s="23"/>
      </tp>
      <tp>
        <v>25.91</v>
        <stp/>
        <stp>FWRC1#GBPUSD#Month Wise Rates#0#Close10</stp>
        <tr r="F28" s="23"/>
      </tp>
      <tp>
        <v>27.57</v>
        <stp/>
        <stp>FWRC1#GBPUSD#Month Wise Rates#0#Close13</stp>
        <tr r="I28" s="23"/>
      </tp>
      <tp>
        <v>29.25</v>
        <stp/>
        <stp>FWRC1#GBPUSD#Month Wise Rates#0#Close12</stp>
        <tr r="H28" s="23"/>
      </tp>
      <tp>
        <v>22.93</v>
        <stp/>
        <stp>FWRC1#GBPUSD#Month Wise Rates#0#Close15</stp>
        <tr r="K28" s="23"/>
      </tp>
      <tp>
        <v>30.67</v>
        <stp/>
        <stp>FWRC1#GBPUSD#Month Wise Rates#0#Close14</stp>
        <tr r="J28" s="23"/>
      </tp>
      <tp>
        <v>17.62</v>
        <stp/>
        <stp>FWRC1#GBPUSD#Month Wise Rates#0#Close17</stp>
        <tr r="M28" s="23"/>
      </tp>
      <tp>
        <v>23.16</v>
        <stp/>
        <stp>FWRC1#GBPUSD#Month Wise Rates#0#Close16</stp>
        <tr r="L28" s="23"/>
      </tp>
      <tp>
        <v>8.2799999999999994</v>
        <stp/>
        <stp>FWRC1#GBPUSD#Month Wise Rates#0#Close18</stp>
        <tr r="N28" s="23"/>
      </tp>
      <tp t="s">
        <v>30-Apr-2024</v>
        <stp/>
        <stp>FWRC1#USDINR#Month End Rates#0#S#MonthEndDate15</stp>
        <tr r="O2" s="14"/>
      </tp>
      <tp t="s">
        <v>28-Mar-2024</v>
        <stp/>
        <stp>FWRC1#USDINR#Month End Rates#0#S#MonthEndDate14</stp>
        <tr r="N2" s="14"/>
      </tp>
      <tp t="s">
        <v>29-Dec-2023</v>
        <stp/>
        <stp>FWRC1#USDINR#Month End Rates#0#S#MonthEndDate11</stp>
        <tr r="K2" s="14"/>
      </tp>
      <tp t="s">
        <v>30-Nov-2023</v>
        <stp/>
        <stp>FWRC1#USDINR#Month End Rates#0#S#MonthEndDate10</stp>
        <tr r="J2" s="14"/>
      </tp>
      <tp t="s">
        <v>29-Feb-2024</v>
        <stp/>
        <stp>FWRC1#USDINR#Month End Rates#0#S#MonthEndDate13</stp>
        <tr r="M2" s="14"/>
      </tp>
      <tp t="s">
        <v>31-Jan-2024</v>
        <stp/>
        <stp>FWRC1#USDINR#Month End Rates#0#S#MonthEndDate12</stp>
        <tr r="L2" s="14"/>
      </tp>
      <tp t="s">
        <v>CASH/SPOT</v>
        <stp/>
        <stp>FWRC1#EURINR#Month End Rates#0#S#Desc.2</stp>
        <tr r="C1" s="16"/>
      </tp>
      <tp t="s">
        <v>AUG-2023</v>
        <stp/>
        <stp>FWRC1#EURINR#Month End Rates#0#S#Desc.7</stp>
        <tr r="G1" s="16"/>
      </tp>
      <tp t="s">
        <v>JUL-2023</v>
        <stp/>
        <stp>FWRC1#EURINR#Month End Rates#0#S#Desc.6</stp>
        <tr r="F1" s="16"/>
      </tp>
      <tp t="s">
        <v>JUN-2023</v>
        <stp/>
        <stp>FWRC1#EURINR#Month End Rates#0#S#Desc.5</stp>
        <tr r="E1" s="16"/>
      </tp>
      <tp t="s">
        <v>MAY-2023</v>
        <stp/>
        <stp>FWRC1#EURINR#Month End Rates#0#S#Desc.4</stp>
        <tr r="D1" s="16"/>
      </tp>
      <tp t="s">
        <v>OCT-2023</v>
        <stp/>
        <stp>FWRC1#EURINR#Month End Rates#0#S#Desc.9</stp>
        <tr r="I1" s="16"/>
      </tp>
      <tp t="s">
        <v>SEP-2023</v>
        <stp/>
        <stp>FWRC1#EURINR#Month End Rates#0#S#Desc.8</stp>
        <tr r="H1" s="16"/>
      </tp>
      <tp>
        <v>103.5625</v>
        <stp/>
        <stp>35#1#1#6031#FUTCUR#1369785600#0#XX#Bid</stp>
        <tr r="B4" s="11"/>
      </tp>
      <tp>
        <v>81.86</v>
        <stp/>
        <stp>35#1#1#6069#FUTCUR#1369785600#0#XX#Bid</stp>
        <tr r="B2" s="11"/>
      </tp>
      <tp>
        <v>60.872500000000002</v>
        <stp/>
        <stp>35#1#1#5978#FUTCUR#1369785600#0#XX#Ask</stp>
        <tr r="C5" s="11"/>
      </tp>
      <tp>
        <v>90.452500000000001</v>
        <stp/>
        <stp>35#1#1#5949#FUTCUR#1369785600#0#XX#Ask</stp>
        <tr r="C3" s="11"/>
      </tp>
      <tp>
        <v>55.555</v>
        <stp/>
        <stp>17#3#1#5903#AUDINRCOMP#High</stp>
        <tr r="C8" s="23"/>
      </tp>
      <tp>
        <v>-5.0674000000000001</v>
        <stp/>
        <stp>FWRC1#USDJPY#Month Wise Rates#0#Ask%18</stp>
        <tr r="O11" s="21"/>
      </tp>
      <tp>
        <v>-5.1534000000000004</v>
        <stp/>
        <stp>FWRC1#USDJPY#Month Wise Rates#0#Ask%17</stp>
        <tr r="N11" s="21"/>
      </tp>
      <tp>
        <v>-5.2325999999999997</v>
        <stp/>
        <stp>FWRC1#USDJPY#Month Wise Rates#0#Ask%16</stp>
        <tr r="M11" s="21"/>
      </tp>
      <tp>
        <v>-5.3385999999999996</v>
        <stp/>
        <stp>FWRC1#USDJPY#Month Wise Rates#0#Ask%15</stp>
        <tr r="L11" s="21"/>
      </tp>
      <tp>
        <v>-5.4023000000000003</v>
        <stp/>
        <stp>FWRC1#USDJPY#Month Wise Rates#0#Ask%14</stp>
        <tr r="K11" s="21"/>
      </tp>
      <tp>
        <v>-5.3201000000000001</v>
        <stp/>
        <stp>FWRC1#USDJPY#Month Wise Rates#0#Ask%13</stp>
        <tr r="J11" s="21"/>
      </tp>
      <tp>
        <v>-5.2953000000000001</v>
        <stp/>
        <stp>FWRC1#USDJPY#Month Wise Rates#0#Ask%12</stp>
        <tr r="I11" s="21"/>
      </tp>
      <tp>
        <v>-5.4317000000000002</v>
        <stp/>
        <stp>FWRC1#USDJPY#Month Wise Rates#0#Ask%11</stp>
        <tr r="H11" s="21"/>
      </tp>
      <tp>
        <v>-5.4382999999999999</v>
        <stp/>
        <stp>FWRC1#USDJPY#Month Wise Rates#0#Ask%10</stp>
        <tr r="G11" s="21"/>
      </tp>
      <tp>
        <v>-5.3529</v>
        <stp/>
        <stp>FWRC1#USDJPY#Month Wise Rates#0#Bid%15</stp>
        <tr r="L10" s="21"/>
      </tp>
      <tp>
        <v>-5.4238</v>
        <stp/>
        <stp>FWRC1#USDJPY#Month Wise Rates#0#Bid%14</stp>
        <tr r="K10" s="21"/>
      </tp>
      <tp>
        <v>-5.1813000000000002</v>
        <stp/>
        <stp>FWRC1#USDJPY#Month Wise Rates#0#Bid%17</stp>
        <tr r="N10" s="21"/>
      </tp>
      <tp>
        <v>-5.2453000000000003</v>
        <stp/>
        <stp>FWRC1#USDJPY#Month Wise Rates#0#Bid%16</stp>
        <tr r="M10" s="21"/>
      </tp>
      <tp>
        <v>-5.4576000000000002</v>
        <stp/>
        <stp>FWRC1#USDJPY#Month Wise Rates#0#Bid%11</stp>
        <tr r="H10" s="21"/>
      </tp>
      <tp>
        <v>-5.4707999999999997</v>
        <stp/>
        <stp>FWRC1#USDJPY#Month Wise Rates#0#Bid%10</stp>
        <tr r="G10" s="21"/>
      </tp>
      <tp>
        <v>-5.3468</v>
        <stp/>
        <stp>FWRC1#USDJPY#Month Wise Rates#0#Bid%13</stp>
        <tr r="J10" s="21"/>
      </tp>
      <tp>
        <v>-5.3164999999999996</v>
        <stp/>
        <stp>FWRC1#USDJPY#Month Wise Rates#0#Bid%12</stp>
        <tr r="I10" s="21"/>
      </tp>
      <tp>
        <v>-5.0819000000000001</v>
        <stp/>
        <stp>FWRC1#USDJPY#Month Wise Rates#0#Bid%18</stp>
        <tr r="O10" s="21"/>
      </tp>
      <tp>
        <v>90.447500000000005</v>
        <stp/>
        <stp>35#1#1#5949#FUTCUR#1369785600#0#XX#Bid</stp>
        <tr r="B3" s="11"/>
      </tp>
      <tp>
        <v>60.8675</v>
        <stp/>
        <stp>35#1#1#5978#FUTCUR#1369785600#0#XX#Bid</stp>
        <tr r="B5" s="11"/>
      </tp>
      <tp>
        <v>81.862499999999997</v>
        <stp/>
        <stp>35#1#1#6069#FUTCUR#1369785600#0#XX#Ask</stp>
        <tr r="C2" s="11"/>
      </tp>
      <tp>
        <v>103.5675</v>
        <stp/>
        <stp>35#1#1#6031#FUTCUR#1369785600#0#XX#Ask</stp>
        <tr r="C4" s="11"/>
      </tp>
      <tp>
        <v>61.68</v>
        <stp/>
        <stp>17#3#1#6041#SGDINRCOMP#Open</stp>
        <tr r="B9" s="23"/>
      </tp>
      <tp>
        <v>61.337499999999999</v>
        <stp/>
        <stp>17#3#1#5921#CADINRCOMP#High</stp>
        <tr r="C7" s="23"/>
      </tp>
      <tp>
        <v>23718.367200000001</v>
        <stp/>
        <stp>FWRC1#GBPINR#Month Wise Rates#0#BidPrice18</stp>
        <tr r="G15" s="22"/>
      </tp>
      <tp>
        <v>21278.0949</v>
        <stp/>
        <stp>FWRC1#GBPINR#Month Wise Rates#0#BidPrice17</stp>
        <tr r="G14" s="22"/>
      </tp>
      <tp>
        <v>19334.1715</v>
        <stp/>
        <stp>FWRC1#GBPINR#Month Wise Rates#0#BidPrice16</stp>
        <tr r="G13" s="22"/>
      </tp>
      <tp>
        <v>17637.153200000001</v>
        <stp/>
        <stp>FWRC1#GBPINR#Month Wise Rates#0#BidPrice15</stp>
        <tr r="G12" s="22"/>
      </tp>
      <tp>
        <v>15831.7001</v>
        <stp/>
        <stp>FWRC1#GBPINR#Month Wise Rates#0#BidPrice14</stp>
        <tr r="G11" s="22"/>
      </tp>
      <tp>
        <v>13641.537399999999</v>
        <stp/>
        <stp>FWRC1#GBPINR#Month Wise Rates#0#BidPrice13</stp>
        <tr r="G10" s="22"/>
      </tp>
      <tp>
        <v>12097.9347</v>
        <stp/>
        <stp>FWRC1#GBPINR#Month Wise Rates#0#BidPrice12</stp>
        <tr r="G9" s="22"/>
      </tp>
      <tp>
        <v>10062.841200000001</v>
        <stp/>
        <stp>FWRC1#GBPINR#Month Wise Rates#0#BidPrice11</stp>
        <tr r="G8" s="22"/>
      </tp>
      <tp>
        <v>8264.6294999999991</v>
        <stp/>
        <stp>FWRC1#GBPINR#Month Wise Rates#0#BidPrice10</stp>
        <tr r="G7" s="22"/>
      </tp>
      <tp>
        <v>81.974999999999994</v>
        <stp/>
        <stp>35#1#1#6069#FUTCUR#1372291200#0#XX#Bid</stp>
        <tr r="B2" s="12"/>
      </tp>
      <tp>
        <v>103.69</v>
        <stp/>
        <stp>35#1#1#6031#FUTCUR#1372291200#0#XX#Bid</stp>
        <tr r="B4" s="12"/>
      </tp>
      <tp>
        <v>18070.954300000001</v>
        <stp/>
        <stp>FWRC1#GBPINR#Month Wise Rates#0#AskPrice15</stp>
        <tr r="H12" s="22"/>
      </tp>
      <tp>
        <v>16248.0232</v>
        <stp/>
        <stp>FWRC1#GBPINR#Month Wise Rates#0#AskPrice14</stp>
        <tr r="H11" s="22"/>
      </tp>
      <tp>
        <v>21712.238000000001</v>
        <stp/>
        <stp>FWRC1#GBPINR#Month Wise Rates#0#AskPrice17</stp>
        <tr r="H14" s="22"/>
      </tp>
      <tp>
        <v>19750.679100000001</v>
        <stp/>
        <stp>FWRC1#GBPINR#Month Wise Rates#0#AskPrice16</stp>
        <tr r="H13" s="22"/>
      </tp>
      <tp>
        <v>10415.206099999999</v>
        <stp/>
        <stp>FWRC1#GBPINR#Month Wise Rates#0#AskPrice11</stp>
        <tr r="H8" s="22"/>
      </tp>
      <tp>
        <v>8587.0418000000009</v>
        <stp/>
        <stp>FWRC1#GBPINR#Month Wise Rates#0#AskPrice10</stp>
        <tr r="H7" s="22"/>
      </tp>
      <tp>
        <v>14150.3652</v>
        <stp/>
        <stp>FWRC1#GBPINR#Month Wise Rates#0#AskPrice13</stp>
        <tr r="H10" s="22"/>
      </tp>
      <tp>
        <v>12477.382299999999</v>
        <stp/>
        <stp>FWRC1#GBPINR#Month Wise Rates#0#AskPrice12</stp>
        <tr r="H9" s="22"/>
      </tp>
      <tp>
        <v>24141.354899999998</v>
        <stp/>
        <stp>FWRC1#GBPINR#Month Wise Rates#0#AskPrice18</stp>
        <tr r="H15" s="22"/>
      </tp>
      <tp>
        <v>1.2675000000000001</v>
        <stp/>
        <stp>FWRC1#GBPUSD#Month Wise Rates#0#FwdOutrightBid8</stp>
        <tr r="E7" s="20"/>
      </tp>
      <tp>
        <v>1.2681</v>
        <stp/>
        <stp>FWRC1#GBPUSD#Month Wise Rates#0#FwdOutrightBid9</stp>
        <tr r="F7" s="20"/>
      </tp>
      <tp>
        <v>1.2667999999999999</v>
        <stp/>
        <stp>FWRC1#GBPUSD#Month Wise Rates#0#FwdOutrightBid7</stp>
        <tr r="D7" s="20"/>
      </tp>
      <tp>
        <v>1.2658</v>
        <stp/>
        <stp>FWRC1#GBPUSD#Month Wise Rates#0#FwdOutrightBid2</stp>
        <tr r="C7" s="20"/>
      </tp>
      <tp>
        <v>61.252499999999998</v>
        <stp/>
        <stp>35#1#1#5978#FUTCUR#1372291200#0#XX#Ask</stp>
        <tr r="C5" s="12"/>
      </tp>
      <tp>
        <v>90.655000000000001</v>
        <stp/>
        <stp>35#1#1#5949#FUTCUR#1372291200#0#XX#Ask</stp>
        <tr r="C3" s="12"/>
      </tp>
      <tp>
        <v>90.237499999999997</v>
        <stp/>
        <stp>FWRC1#EURINR#Month End Rates#0#Close0</stp>
        <tr r="D20" s="23"/>
        <tr r="I20" s="23"/>
        <tr r="C20" s="23"/>
        <tr r="J20" s="23"/>
        <tr r="E20" s="23"/>
        <tr r="M20" s="23"/>
        <tr r="K20" s="23"/>
        <tr r="F20" s="23"/>
        <tr r="G20" s="23"/>
        <tr r="H20" s="23"/>
        <tr r="N20" s="23"/>
        <tr r="L20" s="23"/>
        <tr r="B20" s="23"/>
      </tp>
      <tp>
        <v>102.63249999999999</v>
        <stp/>
        <stp>FWRC1#EURINR#Month End Rates#0#Close7</stp>
        <tr r="F20" s="23"/>
      </tp>
      <tp>
        <v>74.852500000000006</v>
        <stp/>
        <stp>FWRC1#EURINR#Month End Rates#0#Close6</stp>
        <tr r="E20" s="23"/>
      </tp>
      <tp>
        <v>46.37</v>
        <stp/>
        <stp>FWRC1#EURINR#Month End Rates#0#Close5</stp>
        <tr r="D20" s="23"/>
      </tp>
      <tp>
        <v>18.420000000000002</v>
        <stp/>
        <stp>FWRC1#EURINR#Month End Rates#0#Close4</stp>
        <tr r="C20" s="23"/>
      </tp>
      <tp>
        <v>156.07249999999999</v>
        <stp/>
        <stp>FWRC1#EURINR#Month End Rates#0#Close9</stp>
        <tr r="H20" s="23"/>
      </tp>
      <tp>
        <v>128.94999999999999</v>
        <stp/>
        <stp>FWRC1#EURINR#Month End Rates#0#Close8</stp>
        <tr r="G20" s="23"/>
      </tp>
      <tp>
        <v>166.6</v>
        <stp/>
        <stp>FWRC1#EURUSD#Month Wise Rates#0#AskPrice18</stp>
        <tr r="O5" s="19"/>
        <tr r="L15" s="22"/>
      </tp>
      <tp>
        <v>88.3</v>
        <stp/>
        <stp>FWRC1#EURUSD#Month Wise Rates#0#AskPrice11</stp>
        <tr r="L8" s="22"/>
        <tr r="H5" s="19"/>
      </tp>
      <tp>
        <v>73.25</v>
        <stp/>
        <stp>FWRC1#EURUSD#Month Wise Rates#0#AskPrice10</stp>
        <tr r="L7" s="22"/>
        <tr r="G5" s="19"/>
      </tp>
      <tp>
        <v>114.65</v>
        <stp/>
        <stp>FWRC1#EURUSD#Month Wise Rates#0#AskPrice13</stp>
        <tr r="L10" s="22"/>
        <tr r="J5" s="19"/>
      </tp>
      <tp>
        <v>101.39</v>
        <stp/>
        <stp>FWRC1#EURUSD#Month Wise Rates#0#AskPrice12</stp>
        <tr r="I5" s="19"/>
        <tr r="L9" s="22"/>
      </tp>
      <tp>
        <v>144.04</v>
        <stp/>
        <stp>FWRC1#EURUSD#Month Wise Rates#0#AskPrice15</stp>
        <tr r="L12" s="22"/>
        <tr r="L5" s="19"/>
      </tp>
      <tp>
        <v>132.35</v>
        <stp/>
        <stp>FWRC1#EURUSD#Month Wise Rates#0#AskPrice14</stp>
        <tr r="K5" s="19"/>
        <tr r="L11" s="22"/>
      </tp>
      <tp>
        <v>162.82</v>
        <stp/>
        <stp>FWRC1#EURUSD#Month Wise Rates#0#AskPrice17</stp>
        <tr r="N5" s="19"/>
        <tr r="L14" s="22"/>
      </tp>
      <tp>
        <v>150.86000000000001</v>
        <stp/>
        <stp>FWRC1#EURUSD#Month Wise Rates#0#AskPrice16</stp>
        <tr r="L13" s="22"/>
        <tr r="M5" s="19"/>
      </tp>
      <tp>
        <v>111.15</v>
        <stp/>
        <stp>FWRC1#EURUSD#Month Wise Rates#0#BidPrice13</stp>
        <tr r="J4" s="19"/>
        <tr r="K10" s="22"/>
      </tp>
      <tp>
        <v>100.59</v>
        <stp/>
        <stp>FWRC1#EURUSD#Month Wise Rates#0#BidPrice12</stp>
        <tr r="I4" s="19"/>
        <tr r="K9" s="22"/>
      </tp>
      <tp>
        <v>87.09</v>
        <stp/>
        <stp>FWRC1#EURUSD#Month Wise Rates#0#BidPrice11</stp>
        <tr r="K8" s="22"/>
        <tr r="H4" s="19"/>
      </tp>
      <tp>
        <v>72.27</v>
        <stp/>
        <stp>FWRC1#EURUSD#Month Wise Rates#0#BidPrice10</stp>
        <tr r="K7" s="22"/>
        <tr r="G4" s="19"/>
      </tp>
      <tp>
        <v>157.32</v>
        <stp/>
        <stp>FWRC1#EURUSD#Month Wise Rates#0#BidPrice17</stp>
        <tr r="K14" s="22"/>
        <tr r="N4" s="19"/>
      </tp>
      <tp>
        <v>149.58000000000001</v>
        <stp/>
        <stp>FWRC1#EURUSD#Month Wise Rates#0#BidPrice16</stp>
        <tr r="K13" s="22"/>
        <tr r="M4" s="19"/>
      </tp>
      <tp>
        <v>141.54</v>
        <stp/>
        <stp>FWRC1#EURUSD#Month Wise Rates#0#BidPrice15</stp>
        <tr r="L4" s="19"/>
        <tr r="K12" s="22"/>
      </tp>
      <tp>
        <v>130.15</v>
        <stp/>
        <stp>FWRC1#EURUSD#Month Wise Rates#0#BidPrice14</stp>
        <tr r="K4" s="19"/>
        <tr r="K11" s="22"/>
      </tp>
      <tp>
        <v>163.69999999999999</v>
        <stp/>
        <stp>FWRC1#EURUSD#Month Wise Rates#0#BidPrice18</stp>
        <tr r="K15" s="22"/>
        <tr r="O4" s="19"/>
      </tp>
      <tp>
        <v>81.75</v>
        <stp/>
        <stp>17#1#1#6069#USDINRCOMP#Open</stp>
        <tr r="B2" s="23"/>
        <tr r="E3" s="10"/>
      </tp>
      <tp>
        <v>90.382499999999993</v>
        <stp/>
        <stp>17#3#1#5949#EURINRCOMP#High</stp>
        <tr r="F4" s="10"/>
        <tr r="C3" s="23"/>
      </tp>
      <tp>
        <v>1.1084000000000001</v>
        <stp/>
        <stp>FWRC1#EURUSD#Month Wise Rates#0#FwdOutrightBid8</stp>
        <tr r="E7" s="19"/>
      </tp>
      <tp>
        <v>1.1102000000000001</v>
        <stp/>
        <stp>FWRC1#EURUSD#Month Wise Rates#0#FwdOutrightBid9</stp>
        <tr r="F7" s="19"/>
      </tp>
      <tp>
        <v>1.1066</v>
        <stp/>
        <stp>FWRC1#EURUSD#Month Wise Rates#0#FwdOutrightBid7</stp>
        <tr r="D7" s="19"/>
      </tp>
      <tp>
        <v>1.1045</v>
        <stp/>
        <stp>FWRC1#EURUSD#Month Wise Rates#0#FwdOutrightBid2</stp>
        <tr r="C7" s="19"/>
      </tp>
      <tp>
        <v>103.36750000000001</v>
        <stp/>
        <stp>FWRC1#GBPINR#Month End Rates#0#Close0</stp>
        <tr r="I21" s="23"/>
        <tr r="K21" s="23"/>
        <tr r="H21" s="23"/>
        <tr r="J21" s="23"/>
        <tr r="F21" s="23"/>
        <tr r="N21" s="23"/>
        <tr r="G21" s="23"/>
        <tr r="M21" s="23"/>
        <tr r="L21" s="23"/>
        <tr r="E21" s="23"/>
        <tr r="D21" s="23"/>
        <tr r="C21" s="23"/>
        <tr r="B21" s="23"/>
      </tp>
      <tp>
        <v>3416.3325</v>
        <stp/>
        <stp>FWRC1#GBPINR#Month End Rates#0#Close5</stp>
        <tr r="D21" s="23"/>
      </tp>
      <tp>
        <v>1369.7449999999999</v>
        <stp/>
        <stp>FWRC1#GBPINR#Month End Rates#0#Close4</stp>
        <tr r="C21" s="23"/>
      </tp>
      <tp>
        <v>7531.4775</v>
        <stp/>
        <stp>FWRC1#GBPINR#Month End Rates#0#Close7</stp>
        <tr r="F21" s="23"/>
      </tp>
      <tp>
        <v>5553.63</v>
        <stp/>
        <stp>FWRC1#GBPINR#Month End Rates#0#Close6</stp>
        <tr r="E21" s="23"/>
      </tp>
      <tp>
        <v>11256.9025</v>
        <stp/>
        <stp>FWRC1#GBPINR#Month End Rates#0#Close9</stp>
        <tr r="H21" s="23"/>
      </tp>
      <tp>
        <v>9339.3700000000008</v>
        <stp/>
        <stp>FWRC1#GBPINR#Month End Rates#0#Close8</stp>
        <tr r="G21" s="23"/>
      </tp>
      <tp>
        <v>90.647499999999994</v>
        <stp/>
        <stp>35#1#1#5949#FUTCUR#1372291200#0#XX#Bid</stp>
        <tr r="B3" s="12"/>
      </tp>
      <tp>
        <v>61.25</v>
        <stp/>
        <stp>35#1#1#5978#FUTCUR#1372291200#0#XX#Bid</stp>
        <tr r="B5" s="12"/>
      </tp>
      <tp t="s">
        <v>31-Jan-2024</v>
        <stp/>
        <stp>FWRC1#JPYINR#Month End Rates#0#S#PillarDate12</stp>
        <tr r="L2" s="18"/>
      </tp>
      <tp t="s">
        <v>29-Feb-2024</v>
        <stp/>
        <stp>FWRC1#JPYINR#Month End Rates#0#S#PillarDate13</stp>
        <tr r="M2" s="18"/>
      </tp>
      <tp t="s">
        <v>30-Nov-2023</v>
        <stp/>
        <stp>FWRC1#JPYINR#Month End Rates#0#S#PillarDate10</stp>
        <tr r="J2" s="18"/>
      </tp>
      <tp t="s">
        <v>29-Dec-2023</v>
        <stp/>
        <stp>FWRC1#JPYINR#Month End Rates#0#S#PillarDate11</stp>
        <tr r="K2" s="18"/>
      </tp>
      <tp t="s">
        <v>28-Mar-2024</v>
        <stp/>
        <stp>FWRC1#JPYINR#Month End Rates#0#S#PillarDate14</stp>
        <tr r="N2" s="18"/>
      </tp>
      <tp t="s">
        <v>30-Apr-2024</v>
        <stp/>
        <stp>FWRC1#JPYINR#Month End Rates#0#S#PillarDate15</stp>
        <tr r="O2" s="18"/>
      </tp>
      <tp>
        <v>103.69499999999999</v>
        <stp/>
        <stp>35#1#1#6031#FUTCUR#1372291200#0#XX#Ask</stp>
        <tr r="C4" s="12"/>
      </tp>
      <tp>
        <v>81.977500000000006</v>
        <stp/>
        <stp>35#1#1#6069#FUTCUR#1372291200#0#XX#Ask</stp>
        <tr r="C2" s="12"/>
      </tp>
      <tp>
        <v>81.795000000000002</v>
        <stp/>
        <stp>17#1#1#6069#USDINRCOMP#Close</stp>
        <tr r="H3" s="10"/>
      </tp>
      <tp>
        <v>53083.508000000002</v>
        <stp/>
        <stp>FWRC1#CHFINR#Month Wise Rates#0#Close18</stp>
        <tr r="N23" s="23"/>
      </tp>
      <tp>
        <v>17941.976900000001</v>
        <stp/>
        <stp>FWRC1#CHFINR#Month Wise Rates#0#Close10</stp>
        <tr r="F23" s="23"/>
      </tp>
      <tp>
        <v>22201.7101</v>
        <stp/>
        <stp>FWRC1#CHFINR#Month Wise Rates#0#Close11</stp>
        <tr r="G23" s="23"/>
      </tp>
      <tp>
        <v>26731.563999999998</v>
        <stp/>
        <stp>FWRC1#CHFINR#Month Wise Rates#0#Close12</stp>
        <tr r="H23" s="23"/>
      </tp>
      <tp>
        <v>30708.959299999999</v>
        <stp/>
        <stp>FWRC1#CHFINR#Month Wise Rates#0#Close13</stp>
        <tr r="I23" s="23"/>
      </tp>
      <tp>
        <v>35722.015099999997</v>
        <stp/>
        <stp>FWRC1#CHFINR#Month Wise Rates#0#Close14</stp>
        <tr r="J23" s="23"/>
      </tp>
      <tp>
        <v>40173.248099999997</v>
        <stp/>
        <stp>FWRC1#CHFINR#Month Wise Rates#0#Close15</stp>
        <tr r="K23" s="23"/>
      </tp>
      <tp>
        <v>43328.613799999999</v>
        <stp/>
        <stp>FWRC1#CHFINR#Month Wise Rates#0#Close16</stp>
        <tr r="L23" s="23"/>
      </tp>
      <tp>
        <v>47742.676899999999</v>
        <stp/>
        <stp>FWRC1#CHFINR#Month Wise Rates#0#Close17</stp>
        <tr r="M23" s="23"/>
      </tp>
      <tp t="s">
        <v>30-Apr-2024</v>
        <stp/>
        <stp>FWRC1#EURINR#Month End Rates#0#S#MonthEndDate15</stp>
        <tr r="O2" s="16"/>
      </tp>
      <tp t="s">
        <v>28-Mar-2024</v>
        <stp/>
        <stp>FWRC1#EURINR#Month End Rates#0#S#MonthEndDate14</stp>
        <tr r="N2" s="16"/>
      </tp>
      <tp t="s">
        <v>29-Dec-2023</v>
        <stp/>
        <stp>FWRC1#EURINR#Month End Rates#0#S#MonthEndDate11</stp>
        <tr r="K2" s="16"/>
      </tp>
      <tp t="s">
        <v>30-Nov-2023</v>
        <stp/>
        <stp>FWRC1#EURINR#Month End Rates#0#S#MonthEndDate10</stp>
        <tr r="J2" s="16"/>
      </tp>
      <tp t="s">
        <v>29-Feb-2024</v>
        <stp/>
        <stp>FWRC1#EURINR#Month End Rates#0#S#MonthEndDate13</stp>
        <tr r="M2" s="16"/>
      </tp>
      <tp t="s">
        <v>31-Jan-2024</v>
        <stp/>
        <stp>FWRC1#EURINR#Month End Rates#0#S#MonthEndDate12</stp>
        <tr r="L2" s="16"/>
      </tp>
      <tp t="s">
        <v>CASH/SPOT</v>
        <stp/>
        <stp>FWRC1#USDINR#Month End Rates#0#S#Desc.2</stp>
        <tr r="C1" s="14"/>
      </tp>
      <tp t="s">
        <v>AUG-2023</v>
        <stp/>
        <stp>FWRC1#USDINR#Month End Rates#0#S#Desc.7</stp>
        <tr r="G1" s="14"/>
      </tp>
      <tp t="s">
        <v>JUL-2023</v>
        <stp/>
        <stp>FWRC1#USDINR#Month End Rates#0#S#Desc.6</stp>
        <tr r="F1" s="14"/>
      </tp>
      <tp t="s">
        <v>JUN-2023</v>
        <stp/>
        <stp>FWRC1#USDINR#Month End Rates#0#S#Desc.5</stp>
        <tr r="E1" s="14"/>
      </tp>
      <tp t="s">
        <v>MAY-2023</v>
        <stp/>
        <stp>FWRC1#USDINR#Month End Rates#0#S#Desc.4</stp>
        <tr r="D1" s="14"/>
      </tp>
      <tp t="s">
        <v>OCT-2023</v>
        <stp/>
        <stp>FWRC1#USDINR#Month End Rates#0#S#Desc.9</stp>
        <tr r="I1" s="14"/>
      </tp>
      <tp t="s">
        <v>SEP-2023</v>
        <stp/>
        <stp>FWRC1#USDINR#Month End Rates#0#S#Desc.8</stp>
        <tr r="H1" s="14"/>
      </tp>
      <tp>
        <v>2.2280000000000002</v>
        <stp/>
        <stp>FWRC1#USDINR#Month Wise Rates#0#Ask%18</stp>
        <tr r="O11" s="15"/>
      </tp>
      <tp>
        <v>1.9556</v>
        <stp/>
        <stp>FWRC1#USDINR#Month Wise Rates#0#Ask%14</stp>
        <tr r="K11" s="15"/>
      </tp>
      <tp>
        <v>2.0068999999999999</v>
        <stp/>
        <stp>FWRC1#USDINR#Month Wise Rates#0#Ask%15</stp>
        <tr r="L11" s="15"/>
      </tp>
      <tp>
        <v>2.0453000000000001</v>
        <stp/>
        <stp>FWRC1#USDINR#Month Wise Rates#0#Ask%16</stp>
        <tr r="M11" s="15"/>
      </tp>
      <tp>
        <v>2.1190000000000002</v>
        <stp/>
        <stp>FWRC1#USDINR#Month Wise Rates#0#Ask%17</stp>
        <tr r="N11" s="15"/>
      </tp>
      <tp>
        <v>1.8081</v>
        <stp/>
        <stp>FWRC1#USDINR#Month Wise Rates#0#Ask%10</stp>
        <tr r="G11" s="15"/>
      </tp>
      <tp>
        <v>1.8371</v>
        <stp/>
        <stp>FWRC1#USDINR#Month Wise Rates#0#Ask%11</stp>
        <tr r="H11" s="15"/>
      </tp>
      <tp>
        <v>1.8801000000000001</v>
        <stp/>
        <stp>FWRC1#USDINR#Month Wise Rates#0#Ask%12</stp>
        <tr r="I11" s="15"/>
      </tp>
      <tp>
        <v>1.9159999999999999</v>
        <stp/>
        <stp>FWRC1#USDINR#Month Wise Rates#0#Ask%13</stp>
        <tr r="J11" s="15"/>
      </tp>
      <tp>
        <v>2.0158</v>
        <stp/>
        <stp>FWRC1#USDINR#Month Wise Rates#0#Bid%16</stp>
        <tr r="M10" s="15"/>
      </tp>
      <tp>
        <v>2.0922000000000001</v>
        <stp/>
        <stp>FWRC1#USDINR#Month Wise Rates#0#Bid%17</stp>
        <tr r="N10" s="15"/>
      </tp>
      <tp>
        <v>1.919</v>
        <stp/>
        <stp>FWRC1#USDINR#Month Wise Rates#0#Bid%14</stp>
        <tr r="K10" s="15"/>
      </tp>
      <tp>
        <v>1.9744999999999999</v>
        <stp/>
        <stp>FWRC1#USDINR#Month Wise Rates#0#Bid%15</stp>
        <tr r="L10" s="15"/>
      </tp>
      <tp>
        <v>1.8322000000000001</v>
        <stp/>
        <stp>FWRC1#USDINR#Month Wise Rates#0#Bid%12</stp>
        <tr r="I10" s="15"/>
      </tp>
      <tp>
        <v>1.8743000000000001</v>
        <stp/>
        <stp>FWRC1#USDINR#Month Wise Rates#0#Bid%13</stp>
        <tr r="J10" s="15"/>
      </tp>
      <tp>
        <v>1.736</v>
        <stp/>
        <stp>FWRC1#USDINR#Month Wise Rates#0#Bid%10</stp>
        <tr r="G10" s="15"/>
      </tp>
      <tp>
        <v>1.7786</v>
        <stp/>
        <stp>FWRC1#USDINR#Month Wise Rates#0#Bid%11</stp>
        <tr r="H10" s="15"/>
      </tp>
      <tp>
        <v>2.2033</v>
        <stp/>
        <stp>FWRC1#USDINR#Month Wise Rates#0#Bid%18</stp>
        <tr r="O10" s="15"/>
      </tp>
      <tp>
        <v>60.844999999999999</v>
        <stp/>
        <stp>17#3#1#5978#JPYINRCOMP#Close</stp>
        <tr r="H6" s="10"/>
      </tp>
      <tp>
        <v>17389.432499999999</v>
        <stp/>
        <stp>FWRC1#JPYINR#Month End Rates#0#Close8</stp>
        <tr r="G22" s="23"/>
      </tp>
      <tp>
        <v>21150.59</v>
        <stp/>
        <stp>FWRC1#JPYINR#Month End Rates#0#Close9</stp>
        <tr r="H22" s="23"/>
      </tp>
      <tp>
        <v>60.627499999999998</v>
        <stp/>
        <stp>FWRC1#JPYINR#Month End Rates#0#Close0</stp>
        <tr r="N22" s="23"/>
        <tr r="M22" s="23"/>
        <tr r="H22" s="23"/>
        <tr r="C22" s="23"/>
        <tr r="E22" s="23"/>
        <tr r="L22" s="23"/>
        <tr r="G22" s="23"/>
        <tr r="D22" s="23"/>
        <tr r="F22" s="23"/>
        <tr r="J22" s="23"/>
        <tr r="I22" s="23"/>
        <tr r="K22" s="23"/>
        <tr r="B22" s="23"/>
      </tp>
      <tp>
        <v>2426.7925</v>
        <stp/>
        <stp>FWRC1#JPYINR#Month End Rates#0#Close4</stp>
        <tr r="C22" s="23"/>
      </tp>
      <tp>
        <v>6079.8525</v>
        <stp/>
        <stp>FWRC1#JPYINR#Month End Rates#0#Close5</stp>
        <tr r="D22" s="23"/>
      </tp>
      <tp>
        <v>9909.3775000000005</v>
        <stp/>
        <stp>FWRC1#JPYINR#Month End Rates#0#Close6</stp>
        <tr r="E22" s="23"/>
      </tp>
      <tp>
        <v>13719.1325</v>
        <stp/>
        <stp>FWRC1#JPYINR#Month End Rates#0#Close7</stp>
        <tr r="F22" s="23"/>
      </tp>
      <tp t="s">
        <v>29-Feb-2024</v>
        <stp/>
        <stp>FWRC1#GBPINR#Month End Rates#0#S#PillarDate13</stp>
        <tr r="M2" s="17"/>
      </tp>
      <tp t="s">
        <v>31-Jan-2024</v>
        <stp/>
        <stp>FWRC1#GBPINR#Month End Rates#0#S#PillarDate12</stp>
        <tr r="L2" s="17"/>
      </tp>
      <tp t="s">
        <v>29-Dec-2023</v>
        <stp/>
        <stp>FWRC1#GBPINR#Month End Rates#0#S#PillarDate11</stp>
        <tr r="K2" s="17"/>
      </tp>
      <tp t="s">
        <v>29-Nov-2023</v>
        <stp/>
        <stp>FWRC1#GBPINR#Month End Rates#0#S#PillarDate10</stp>
        <tr r="J2" s="17"/>
      </tp>
      <tp t="s">
        <v>30-Apr-2024</v>
        <stp/>
        <stp>FWRC1#GBPINR#Month End Rates#0#S#PillarDate15</stp>
        <tr r="O2" s="17"/>
      </tp>
      <tp t="s">
        <v>28-Mar-2024</v>
        <stp/>
        <stp>FWRC1#GBPINR#Month End Rates#0#S#PillarDate14</stp>
        <tr r="N2" s="17"/>
      </tp>
      <tp>
        <v>133.1294</v>
        <stp/>
        <stp>FWRC1#USDJPY#Month Wise Rates#0#FwdOutrightAsk9</stp>
        <tr r="F8" s="21"/>
      </tp>
      <tp>
        <v>133.75479999999999</v>
        <stp/>
        <stp>FWRC1#USDJPY#Month Wise Rates#0#FwdOutrightAsk8</stp>
        <tr r="E8" s="21"/>
      </tp>
      <tp>
        <v>134.33869999999999</v>
        <stp/>
        <stp>FWRC1#USDJPY#Month Wise Rates#0#FwdOutrightAsk7</stp>
        <tr r="D8" s="21"/>
      </tp>
      <tp>
        <v>135.02289999999999</v>
        <stp/>
        <stp>FWRC1#USDJPY#Month Wise Rates#0#FwdOutrightAsk2</stp>
        <tr r="C8" s="21"/>
      </tp>
      <tp>
        <v>92.197500000000005</v>
        <stp/>
        <stp>17#3#1#6056#CHFINRCOMP#High</stp>
        <tr r="C6" s="23"/>
      </tp>
      <tp>
        <v>60.717500000000001</v>
        <stp/>
        <stp>17#3#1#5978#JPYINRCOMP#High</stp>
        <tr r="F6" s="10"/>
        <tr r="C5" s="23"/>
      </tp>
      <tp>
        <v>-250.9</v>
        <stp/>
        <stp>FWRC1#USDJPY#Month Wise Rates#0#Close10</stp>
        <tr r="F29" s="23"/>
      </tp>
      <tp>
        <v>-308.85000000000002</v>
        <stp/>
        <stp>FWRC1#USDJPY#Month Wise Rates#0#Close11</stp>
        <tr r="G29" s="23"/>
      </tp>
      <tp>
        <v>-367.7</v>
        <stp/>
        <stp>FWRC1#USDJPY#Month Wise Rates#0#Close12</stp>
        <tr r="H29" s="23"/>
      </tp>
      <tp>
        <v>-425.17</v>
        <stp/>
        <stp>FWRC1#USDJPY#Month Wise Rates#0#Close13</stp>
        <tr r="I29" s="23"/>
      </tp>
      <tp>
        <v>-491.5</v>
        <stp/>
        <stp>FWRC1#USDJPY#Month Wise Rates#0#Close14</stp>
        <tr r="J29" s="23"/>
      </tp>
      <tp>
        <v>-550.4</v>
        <stp/>
        <stp>FWRC1#USDJPY#Month Wise Rates#0#Close15</stp>
        <tr r="K29" s="23"/>
      </tp>
      <tp>
        <v>-593.65</v>
        <stp/>
        <stp>FWRC1#USDJPY#Month Wise Rates#0#Close16</stp>
        <tr r="L29" s="23"/>
      </tp>
      <tp>
        <v>-643.9</v>
        <stp/>
        <stp>FWRC1#USDJPY#Month Wise Rates#0#Close17</stp>
        <tr r="M29" s="23"/>
      </tp>
      <tp>
        <v>-687.92</v>
        <stp/>
        <stp>FWRC1#USDJPY#Month Wise Rates#0#Close18</stp>
        <tr r="N29" s="23"/>
      </tp>
      <tp>
        <v>22050.0965</v>
        <stp/>
        <stp>FWRC1#SGDINR#Month Wise Rates#0#Close18</stp>
        <tr r="N26" s="23"/>
      </tp>
      <tp>
        <v>6630.4582</v>
        <stp/>
        <stp>FWRC1#SGDINR#Month Wise Rates#0#Close10</stp>
        <tr r="F26" s="23"/>
      </tp>
      <tp>
        <v>8234.4971000000005</v>
        <stp/>
        <stp>FWRC1#SGDINR#Month Wise Rates#0#Close11</stp>
        <tr r="G26" s="23"/>
      </tp>
      <tp>
        <v>10375.394899999999</v>
        <stp/>
        <stp>FWRC1#SGDINR#Month Wise Rates#0#Close12</stp>
        <tr r="H26" s="23"/>
      </tp>
      <tp>
        <v>11885.4746</v>
        <stp/>
        <stp>FWRC1#SGDINR#Month Wise Rates#0#Close13</stp>
        <tr r="I26" s="23"/>
      </tp>
      <tp>
        <v>13687.2675</v>
        <stp/>
        <stp>FWRC1#SGDINR#Month Wise Rates#0#Close14</stp>
        <tr r="J26" s="23"/>
      </tp>
      <tp>
        <v>15944.8766</v>
        <stp/>
        <stp>FWRC1#SGDINR#Month Wise Rates#0#Close15</stp>
        <tr r="K26" s="23"/>
      </tp>
      <tp>
        <v>17616.761399999999</v>
        <stp/>
        <stp>FWRC1#SGDINR#Month Wise Rates#0#Close16</stp>
        <tr r="L26" s="23"/>
      </tp>
      <tp>
        <v>19456.268899999999</v>
        <stp/>
        <stp>FWRC1#SGDINR#Month Wise Rates#0#Close17</stp>
        <tr r="M26" s="23"/>
      </tp>
      <tp>
        <v>16369.3989</v>
        <stp/>
        <stp>FWRC1#CADINR#Month Wise Rates#0#Close18</stp>
        <tr r="N24" s="23"/>
      </tp>
      <tp>
        <v>17288.364699999998</v>
        <stp/>
        <stp>FWRC1#AUDINR#Month Wise Rates#0#Close18</stp>
        <tr r="N25" s="23"/>
      </tp>
      <tp>
        <v>8689.1733000000004</v>
        <stp/>
        <stp>FWRC1#AUDINR#Month Wise Rates#0#Close12</stp>
        <tr r="H25" s="23"/>
      </tp>
      <tp>
        <v>5086.9031000000004</v>
        <stp/>
        <stp>FWRC1#CADINR#Month Wise Rates#0#Close10</stp>
        <tr r="F24" s="23"/>
      </tp>
      <tp>
        <v>10010.3791</v>
        <stp/>
        <stp>FWRC1#AUDINR#Month Wise Rates#0#Close13</stp>
        <tr r="I25" s="23"/>
      </tp>
      <tp>
        <v>6334.8431</v>
        <stp/>
        <stp>FWRC1#CADINR#Month Wise Rates#0#Close11</stp>
        <tr r="G24" s="23"/>
      </tp>
      <tp>
        <v>5774.7008999999998</v>
        <stp/>
        <stp>FWRC1#AUDINR#Month Wise Rates#0#Close10</stp>
        <tr r="F25" s="23"/>
      </tp>
      <tp>
        <v>7858.7502000000004</v>
        <stp/>
        <stp>FWRC1#CADINR#Month Wise Rates#0#Close12</stp>
        <tr r="H24" s="23"/>
      </tp>
      <tp>
        <v>7128.4414999999999</v>
        <stp/>
        <stp>FWRC1#AUDINR#Month Wise Rates#0#Close11</stp>
        <tr r="G25" s="23"/>
      </tp>
      <tp>
        <v>8971.3755000000001</v>
        <stp/>
        <stp>FWRC1#CADINR#Month Wise Rates#0#Close13</stp>
        <tr r="I24" s="23"/>
      </tp>
      <tp>
        <v>14115.0681</v>
        <stp/>
        <stp>FWRC1#AUDINR#Month Wise Rates#0#Close16</stp>
        <tr r="L25" s="23"/>
      </tp>
      <tp>
        <v>10367.8853</v>
        <stp/>
        <stp>FWRC1#CADINR#Month Wise Rates#0#Close14</stp>
        <tr r="J24" s="23"/>
      </tp>
      <tp>
        <v>15534.0165</v>
        <stp/>
        <stp>FWRC1#AUDINR#Month Wise Rates#0#Close17</stp>
        <tr r="M25" s="23"/>
      </tp>
      <tp>
        <v>11941.116400000001</v>
        <stp/>
        <stp>FWRC1#CADINR#Month Wise Rates#0#Close15</stp>
        <tr r="K24" s="23"/>
      </tp>
      <tp>
        <v>11458.750899999999</v>
        <stp/>
        <stp>FWRC1#AUDINR#Month Wise Rates#0#Close14</stp>
        <tr r="J25" s="23"/>
      </tp>
      <tp>
        <v>13040.352699999999</v>
        <stp/>
        <stp>FWRC1#CADINR#Month Wise Rates#0#Close16</stp>
        <tr r="L24" s="23"/>
      </tp>
      <tp>
        <v>12970.667799999999</v>
        <stp/>
        <stp>FWRC1#AUDINR#Month Wise Rates#0#Close15</stp>
        <tr r="K25" s="23"/>
      </tp>
      <tp>
        <v>14550.909</v>
        <stp/>
        <stp>FWRC1#CADINR#Month Wise Rates#0#Close17</stp>
        <tr r="M24" s="23"/>
      </tp>
      <tp>
        <v>-40.130000000000003</v>
        <stp/>
        <stp>FWRC1#USDCAD#Month Wise Rates#0#Close11</stp>
        <tr r="G31" s="23"/>
      </tp>
      <tp>
        <v>-302.94</v>
        <stp/>
        <stp>FWRC1#USDCHF#Month Wise Rates#0#Close18</stp>
        <tr r="N30" s="23"/>
      </tp>
      <tp>
        <v>-33.479999999999997</v>
        <stp/>
        <stp>FWRC1#USDCAD#Month Wise Rates#0#Close10</stp>
        <tr r="F31" s="23"/>
      </tp>
      <tp>
        <v>-50.14</v>
        <stp/>
        <stp>FWRC1#USDCAD#Month Wise Rates#0#Close13</stp>
        <tr r="I31" s="23"/>
      </tp>
      <tp>
        <v>-45.53</v>
        <stp/>
        <stp>FWRC1#USDCAD#Month Wise Rates#0#Close12</stp>
        <tr r="H31" s="23"/>
      </tp>
      <tp>
        <v>-60.67</v>
        <stp/>
        <stp>FWRC1#USDCAD#Month Wise Rates#0#Close15</stp>
        <tr r="K31" s="23"/>
      </tp>
      <tp>
        <v>-57.48</v>
        <stp/>
        <stp>FWRC1#USDCAD#Month Wise Rates#0#Close14</stp>
        <tr r="J31" s="23"/>
      </tp>
      <tp>
        <v>-62.8</v>
        <stp/>
        <stp>FWRC1#USDCAD#Month Wise Rates#0#Close17</stp>
        <tr r="M31" s="23"/>
      </tp>
      <tp>
        <v>-61.91</v>
        <stp/>
        <stp>FWRC1#USDCAD#Month Wise Rates#0#Close16</stp>
        <tr r="L31" s="23"/>
      </tp>
      <tp>
        <v>-119.56</v>
        <stp/>
        <stp>FWRC1#USDCHF#Month Wise Rates#0#Close10</stp>
        <tr r="F30" s="23"/>
      </tp>
      <tp>
        <v>-63</v>
        <stp/>
        <stp>FWRC1#USDCAD#Month Wise Rates#0#Close18</stp>
        <tr r="N31" s="23"/>
      </tp>
      <tp>
        <v>-145.46</v>
        <stp/>
        <stp>FWRC1#USDCHF#Month Wise Rates#0#Close11</stp>
        <tr r="G30" s="23"/>
      </tp>
      <tp>
        <v>-170.45</v>
        <stp/>
        <stp>FWRC1#USDCHF#Month Wise Rates#0#Close12</stp>
        <tr r="H30" s="23"/>
      </tp>
      <tp>
        <v>-195.79</v>
        <stp/>
        <stp>FWRC1#USDCHF#Month Wise Rates#0#Close13</stp>
        <tr r="I30" s="23"/>
      </tp>
      <tp>
        <v>-226.26</v>
        <stp/>
        <stp>FWRC1#USDCHF#Month Wise Rates#0#Close14</stp>
        <tr r="J30" s="23"/>
      </tp>
      <tp>
        <v>-245.81</v>
        <stp/>
        <stp>FWRC1#USDCHF#Month Wise Rates#0#Close15</stp>
        <tr r="K30" s="23"/>
      </tp>
      <tp>
        <v>-266.51</v>
        <stp/>
        <stp>FWRC1#USDCHF#Month Wise Rates#0#Close16</stp>
        <tr r="L30" s="23"/>
      </tp>
      <tp>
        <v>-286.33</v>
        <stp/>
        <stp>FWRC1#USDCHF#Month Wise Rates#0#Close17</stp>
        <tr r="M30" s="23"/>
      </tp>
      <tp>
        <v>58.73</v>
        <stp/>
        <stp>FWRC1#AUDUSD#Month Wise Rates#0#Close17</stp>
        <tr r="M32" s="23"/>
      </tp>
      <tp>
        <v>57.46</v>
        <stp/>
        <stp>FWRC1#AUDUSD#Month Wise Rates#0#Close16</stp>
        <tr r="L32" s="23"/>
      </tp>
      <tp>
        <v>55.6</v>
        <stp/>
        <stp>FWRC1#AUDUSD#Month Wise Rates#0#Close15</stp>
        <tr r="K32" s="23"/>
      </tp>
      <tp>
        <v>52.39</v>
        <stp/>
        <stp>FWRC1#AUDUSD#Month Wise Rates#0#Close14</stp>
        <tr r="J32" s="23"/>
      </tp>
      <tp>
        <v>47.09</v>
        <stp/>
        <stp>FWRC1#AUDUSD#Month Wise Rates#0#Close13</stp>
        <tr r="I32" s="23"/>
      </tp>
      <tp>
        <v>41.38</v>
        <stp/>
        <stp>FWRC1#AUDUSD#Month Wise Rates#0#Close12</stp>
        <tr r="H32" s="23"/>
      </tp>
      <tp>
        <v>36.270000000000003</v>
        <stp/>
        <stp>FWRC1#AUDUSD#Month Wise Rates#0#Close11</stp>
        <tr r="G32" s="23"/>
      </tp>
      <tp>
        <v>30.3</v>
        <stp/>
        <stp>FWRC1#AUDUSD#Month Wise Rates#0#Close10</stp>
        <tr r="F32" s="23"/>
      </tp>
      <tp>
        <v>60.11</v>
        <stp/>
        <stp>FWRC1#AUDUSD#Month Wise Rates#0#Close18</stp>
        <tr r="N32" s="23"/>
      </tp>
      <tp>
        <v>90.387500000000003</v>
        <stp/>
        <stp>17#3#1#5949#EURINRCOMP#Close</stp>
        <tr r="H4" s="10"/>
      </tp>
      <tp>
        <v>61.602499999999999</v>
        <stp/>
        <stp>35#1#1#5978#FUTCUR#1374883200#0#XX#Bid</stp>
        <tr r="B5" s="13"/>
      </tp>
      <tp>
        <v>90.842500000000001</v>
        <stp/>
        <stp>35#1#1#5949#FUTCUR#1374883200#0#XX#Bid</stp>
        <tr r="B3" s="13"/>
      </tp>
      <tp>
        <v>103.815</v>
        <stp/>
        <stp>35#1#1#6031#FUTCUR#1374883200#0#XX#Ask</stp>
        <tr r="C4" s="13"/>
      </tp>
      <tp>
        <v>82.102500000000006</v>
        <stp/>
        <stp>35#1#1#6069#FUTCUR#1374883200#0#XX#Ask</stp>
        <tr r="C2" s="13"/>
      </tp>
      <tp>
        <v>0.63600000000000001</v>
        <stp/>
        <stp>FWRC1#GBPUSD#Month Wise Rates#0#Ask%10</stp>
        <tr r="G11" s="20"/>
      </tp>
      <tp>
        <v>0.56840000000000002</v>
        <stp/>
        <stp>FWRC1#GBPUSD#Month Wise Rates#0#Ask%11</stp>
        <tr r="H11" s="20"/>
      </tp>
      <tp>
        <v>0.47239999999999999</v>
        <stp/>
        <stp>FWRC1#GBPUSD#Month Wise Rates#0#Ask%12</stp>
        <tr r="I11" s="20"/>
      </tp>
      <tp>
        <v>0.3972</v>
        <stp/>
        <stp>FWRC1#GBPUSD#Month Wise Rates#0#Ask%13</stp>
        <tr r="J11" s="20"/>
      </tp>
      <tp>
        <v>0.38269999999999998</v>
        <stp/>
        <stp>FWRC1#GBPUSD#Month Wise Rates#0#Ask%14</stp>
        <tr r="K11" s="20"/>
      </tp>
      <tp>
        <v>0.2601</v>
        <stp/>
        <stp>FWRC1#GBPUSD#Month Wise Rates#0#Ask%15</stp>
        <tr r="L11" s="20"/>
      </tp>
      <tp>
        <v>0.23400000000000001</v>
        <stp/>
        <stp>FWRC1#GBPUSD#Month Wise Rates#0#Ask%16</stp>
        <tr r="M11" s="20"/>
      </tp>
      <tp>
        <v>0.16789999999999999</v>
        <stp/>
        <stp>FWRC1#GBPUSD#Month Wise Rates#0#Ask%17</stp>
        <tr r="N11" s="20"/>
      </tp>
      <tp>
        <v>0.1172</v>
        <stp/>
        <stp>FWRC1#GBPUSD#Month Wise Rates#0#Ask%18</stp>
        <tr r="O11" s="20"/>
      </tp>
      <tp>
        <v>6.5199999999999994E-2</v>
        <stp/>
        <stp>FWRC1#GBPUSD#Month Wise Rates#0#Bid%18</stp>
        <tr r="O10" s="20"/>
      </tp>
      <tp>
        <v>0.45100000000000001</v>
        <stp/>
        <stp>FWRC1#GBPUSD#Month Wise Rates#0#Bid%12</stp>
        <tr r="I10" s="20"/>
      </tp>
      <tp>
        <v>0.36969999999999997</v>
        <stp/>
        <stp>FWRC1#GBPUSD#Month Wise Rates#0#Bid%13</stp>
        <tr r="J10" s="20"/>
      </tp>
      <tp>
        <v>0.60250000000000004</v>
        <stp/>
        <stp>FWRC1#GBPUSD#Month Wise Rates#0#Bid%10</stp>
        <tr r="G10" s="20"/>
      </tp>
      <tp>
        <v>0.53220000000000001</v>
        <stp/>
        <stp>FWRC1#GBPUSD#Month Wise Rates#0#Bid%11</stp>
        <tr r="H10" s="20"/>
      </tp>
      <tp>
        <v>0.21820000000000001</v>
        <stp/>
        <stp>FWRC1#GBPUSD#Month Wise Rates#0#Bid%16</stp>
        <tr r="M10" s="20"/>
      </tp>
      <tp>
        <v>0.1512</v>
        <stp/>
        <stp>FWRC1#GBPUSD#Month Wise Rates#0#Bid%17</stp>
        <tr r="N10" s="20"/>
      </tp>
      <tp>
        <v>0.3609</v>
        <stp/>
        <stp>FWRC1#GBPUSD#Month Wise Rates#0#Bid%14</stp>
        <tr r="K10" s="20"/>
      </tp>
      <tp>
        <v>0.23780000000000001</v>
        <stp/>
        <stp>FWRC1#GBPUSD#Month Wise Rates#0#Bid%15</stp>
        <tr r="L10" s="20"/>
      </tp>
      <tp>
        <v>82.1</v>
        <stp/>
        <stp>35#1#1#6069#FUTCUR#1374883200#0#XX#Bid</stp>
        <tr r="B2" s="13"/>
      </tp>
      <tp>
        <v>103.81</v>
        <stp/>
        <stp>35#1#1#6031#FUTCUR#1374883200#0#XX#Bid</stp>
        <tr r="B4" s="13"/>
      </tp>
      <tp>
        <v>90.864999999999995</v>
        <stp/>
        <stp>35#1#1#5949#FUTCUR#1374883200#0#XX#Ask</stp>
        <tr r="C3" s="13"/>
      </tp>
      <tp>
        <v>61.62</v>
        <stp/>
        <stp>35#1#1#5978#FUTCUR#1374883200#0#XX#Ask</stp>
        <tr r="C5" s="13"/>
      </tp>
      <tp>
        <v>103.485</v>
        <stp/>
        <stp>17#3#1#6031#GBPINRCOMP#High</stp>
        <tr r="C4" s="23"/>
        <tr r="F5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ColWidth="8.85546875" defaultRowHeight="15" x14ac:dyDescent="0.25"/>
  <cols>
    <col min="1" max="1" width="12" bestFit="1" customWidth="1"/>
    <col min="4" max="4" width="9.5703125" bestFit="1" customWidth="1"/>
    <col min="8" max="8" width="8.7109375" bestFit="1" customWidth="1"/>
  </cols>
  <sheetData>
    <row r="1" spans="1:7" x14ac:dyDescent="0.25">
      <c r="A1" s="106" t="s">
        <v>13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</row>
    <row r="2" spans="1:7" x14ac:dyDescent="0.25">
      <c r="A2" s="106" t="s">
        <v>51</v>
      </c>
      <c r="B2" s="104">
        <f>RTD("tickerplantrtdserver",,"FWRC1#USDINR#Month End Rates#0#BidPrice0")</f>
        <v>81.8</v>
      </c>
      <c r="C2" s="105">
        <f>RTD("tickerplantrtdserver",,"FWRC1#USDINR#Month End Rates#0#BidPrice2")</f>
        <v>0.4</v>
      </c>
      <c r="D2" s="104">
        <f>B2-(C3/100)</f>
        <v>81.78</v>
      </c>
      <c r="E2" s="105">
        <f>RTD("tickerplantrtdserver",,"FWRC1#USDINR#Month End Rates#0#BidPrice3")</f>
        <v>0.2</v>
      </c>
      <c r="F2" s="104">
        <f>B2-(E3/100)</f>
        <v>81.789999999999992</v>
      </c>
    </row>
    <row r="3" spans="1:7" ht="15.75" customHeight="1" x14ac:dyDescent="0.25">
      <c r="A3" s="106" t="s">
        <v>52</v>
      </c>
      <c r="B3" s="104">
        <f t="array" ref="B3">RTD("tickerplantrtdserver",,"FWRC1#USDINR#Month End Rates#0#AskPrice0")</f>
        <v>81.805000000000007</v>
      </c>
      <c r="C3" s="105">
        <f t="array" ref="C3">RTD("tickerplantrtdserver",,"FWRC1#USDINR#Month End Rates#0#AskPrice2")</f>
        <v>2</v>
      </c>
      <c r="D3" s="104">
        <f>B3-(C2/100)</f>
        <v>81.801000000000002</v>
      </c>
      <c r="E3" s="105">
        <f t="array" ref="E3">RTD("tickerplantrtdserver",,"FWRC1#USDINR#Month End Rates#0#AskPrice3")</f>
        <v>1</v>
      </c>
      <c r="F3" s="104">
        <f>B3-(E2/100)</f>
        <v>81.803000000000011</v>
      </c>
      <c r="G3" s="2"/>
    </row>
    <row r="14" spans="1:7" x14ac:dyDescent="0.25">
      <c r="F14" s="1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6" t="s">
        <v>12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  <c r="G1" s="2"/>
    </row>
    <row r="2" spans="1:7" ht="15.95" customHeight="1" x14ac:dyDescent="0.25">
      <c r="A2" s="106" t="s">
        <v>51</v>
      </c>
      <c r="B2" s="104">
        <f>RTD("tickerplantrtdserver",,"FWRC1#EURINR#Month Wise Rates#0#BidPrice0")</f>
        <v>90.317499999999995</v>
      </c>
      <c r="C2" s="105">
        <f>RTD("tickerplantrtdserver",,"FWRC1#EURINR#Month End Rates#0#BidPrice2")</f>
        <v>1.5451999999999999</v>
      </c>
      <c r="D2" s="104">
        <f>B2-(C3/100)</f>
        <v>90.28416</v>
      </c>
      <c r="E2" s="105">
        <f t="array" ref="E2">RTD("tickerplantrtdserver",,"FWRC1#EURINR#Month End Rates#0#BidPrice3")</f>
        <v>0.77300000000000002</v>
      </c>
      <c r="F2" s="104">
        <f>B2-(E3/100)</f>
        <v>90.300772999999992</v>
      </c>
      <c r="G2" s="2"/>
    </row>
    <row r="3" spans="1:7" ht="15.75" customHeight="1" x14ac:dyDescent="0.25">
      <c r="A3" s="106" t="s">
        <v>52</v>
      </c>
      <c r="B3" s="104">
        <f>RTD("tickerplantrtdserver",,"FWRC1#EURINR#Month Wise Rates#0#AskPrice0")</f>
        <v>90.325000000000003</v>
      </c>
      <c r="C3" s="105">
        <f t="array" ref="C3">RTD("tickerplantrtdserver",,"FWRC1#EURINR#Month End Rates#0#AskPrice2")</f>
        <v>3.3340000000000001</v>
      </c>
      <c r="D3" s="104">
        <f>B3-(C2/100)</f>
        <v>90.309548000000007</v>
      </c>
      <c r="E3" s="105">
        <f t="array" ref="E3">RTD("tickerplantrtdserver",,"FWRC1#EURINR#Month End Rates#0#AskPrice3")</f>
        <v>1.6727000000000001</v>
      </c>
      <c r="F3" s="104">
        <f>B3-(E2/100)</f>
        <v>90.317270000000008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/>
  </sheetViews>
  <sheetFormatPr defaultColWidth="8.85546875" defaultRowHeight="15" x14ac:dyDescent="0.25"/>
  <cols>
    <col min="1" max="1" width="12" bestFit="1" customWidth="1"/>
  </cols>
  <sheetData>
    <row r="1" spans="1:7" x14ac:dyDescent="0.25">
      <c r="A1" s="106" t="s">
        <v>11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  <c r="G1" s="2"/>
    </row>
    <row r="2" spans="1:7" ht="15.95" customHeight="1" x14ac:dyDescent="0.25">
      <c r="A2" s="106" t="s">
        <v>51</v>
      </c>
      <c r="B2" s="104">
        <f>RTD("tickerplantrtdserver",,"FWRC1#GBPINR#Month Wise Rates#0#BidPrice0")</f>
        <v>103.47</v>
      </c>
      <c r="C2" s="105">
        <f>RTD("tickerplantrtdserver",,"FWRC1#GBPINR#Month End Rates#0#BidPrice2")/100</f>
        <v>1.6617980000000001</v>
      </c>
      <c r="D2" s="104">
        <f>B2-(C3/100)</f>
        <v>103.42815147</v>
      </c>
      <c r="E2" s="105">
        <f>RTD("tickerplantrtdserver",,"FWRC1#GBPINR#Month End Rates#0#BidPrice3")/100</f>
        <v>0.517204</v>
      </c>
      <c r="F2" s="104">
        <f>B2-(E3/100)</f>
        <v>103.45388937</v>
      </c>
      <c r="G2" s="2"/>
    </row>
    <row r="3" spans="1:7" ht="15.75" customHeight="1" x14ac:dyDescent="0.25">
      <c r="A3" s="106" t="s">
        <v>52</v>
      </c>
      <c r="B3" s="104">
        <f>RTD("tickerplantrtdserver",,"FWRC1#GBPINR#Month Wise Rates#0#AskPrice0")</f>
        <v>103.4875</v>
      </c>
      <c r="C3" s="105">
        <f>RTD("tickerplantrtdserver",,"FWRC1#GBPINR#Month End Rates#0#AskPrice2")/100</f>
        <v>4.1848530000000004</v>
      </c>
      <c r="D3" s="104">
        <f>B3-(C2/100)</f>
        <v>103.47088201999999</v>
      </c>
      <c r="E3" s="105">
        <f>RTD("tickerplantrtdserver",,"FWRC1#GBPINR#Month End Rates#0#AskPrice3")/100</f>
        <v>1.6110630000000001</v>
      </c>
      <c r="F3" s="104">
        <f>B3-(E2/100)</f>
        <v>103.48232795999999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ColWidth="8.85546875" defaultRowHeight="15" x14ac:dyDescent="0.25"/>
  <cols>
    <col min="1" max="1" width="12" bestFit="1" customWidth="1"/>
    <col min="8" max="8" width="8.7109375" bestFit="1" customWidth="1"/>
  </cols>
  <sheetData>
    <row r="1" spans="1:7" x14ac:dyDescent="0.25">
      <c r="A1" s="106" t="s">
        <v>10</v>
      </c>
      <c r="B1" s="106" t="s">
        <v>32</v>
      </c>
      <c r="C1" s="106" t="s">
        <v>31</v>
      </c>
      <c r="D1" s="106" t="s">
        <v>30</v>
      </c>
      <c r="E1" s="106" t="s">
        <v>29</v>
      </c>
      <c r="F1" s="106" t="s">
        <v>28</v>
      </c>
      <c r="G1" s="2"/>
    </row>
    <row r="2" spans="1:7" ht="15.95" customHeight="1" x14ac:dyDescent="0.25">
      <c r="A2" s="106" t="s">
        <v>51</v>
      </c>
      <c r="B2" s="104">
        <f>RTD("tickerplantrtdserver",,"FWRC1#JPYINR#Month Wise Rates#0#BidPrice0")</f>
        <v>60.602499999999999</v>
      </c>
      <c r="C2" s="105">
        <f>RTD("tickerplantrtdserver",,"FWRC1#JPYINR#Month End Rates#0#BidPrice2")/100</f>
        <v>2.1053310000000001</v>
      </c>
      <c r="D2" s="104">
        <f>B2-(C3/100)</f>
        <v>60.568647210000002</v>
      </c>
      <c r="E2" s="105">
        <f>RTD("tickerplantrtdserver",,"FWRC1#JPYINR#Month End Rates#0#BidPrice3")/100</f>
        <v>1.0055689999999999</v>
      </c>
      <c r="F2" s="104">
        <f>B2-(E3/100)</f>
        <v>60.586157419999999</v>
      </c>
      <c r="G2" s="2"/>
    </row>
    <row r="3" spans="1:7" ht="15.75" customHeight="1" x14ac:dyDescent="0.25">
      <c r="A3" s="106" t="s">
        <v>52</v>
      </c>
      <c r="B3" s="104">
        <f>RTD("tickerplantrtdserver",,"FWRC1#JPYINR#Month Wise Rates#0#AskPrice0")</f>
        <v>60.61</v>
      </c>
      <c r="C3" s="105">
        <f>RTD("tickerplantrtdserver",,"FWRC1#JPYINR#Month End Rates#0#AskPrice2")/100</f>
        <v>3.3852789999999997</v>
      </c>
      <c r="D3" s="104">
        <f>B3-(C2/100)</f>
        <v>60.58894669</v>
      </c>
      <c r="E3" s="105">
        <f>RTD("tickerplantrtdserver",,"FWRC1#JPYINR#Month End Rates#0#AskPrice3")/100</f>
        <v>1.634258</v>
      </c>
      <c r="F3" s="104">
        <f>B3-(E2/100)</f>
        <v>60.599944309999998</v>
      </c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43"/>
  <sheetViews>
    <sheetView zoomScaleNormal="100" workbookViewId="0"/>
  </sheetViews>
  <sheetFormatPr defaultColWidth="8.85546875" defaultRowHeight="15" x14ac:dyDescent="0.25"/>
  <cols>
    <col min="8" max="16" width="9.7109375" style="2" customWidth="1"/>
    <col min="17" max="17" width="8.7109375" bestFit="1" customWidth="1"/>
  </cols>
  <sheetData>
    <row r="1" spans="1:9" x14ac:dyDescent="0.25">
      <c r="A1" s="24"/>
      <c r="B1" s="19" t="s">
        <v>36</v>
      </c>
      <c r="C1" s="19" t="s">
        <v>37</v>
      </c>
      <c r="D1" s="19" t="s">
        <v>35</v>
      </c>
      <c r="E1" s="19" t="s">
        <v>38</v>
      </c>
      <c r="F1" s="19" t="s">
        <v>39</v>
      </c>
      <c r="G1" s="19" t="s">
        <v>34</v>
      </c>
      <c r="H1" s="22" t="s">
        <v>40</v>
      </c>
      <c r="I1" s="18" t="s">
        <v>33</v>
      </c>
    </row>
    <row r="2" spans="1:9" ht="15.75" customHeight="1" x14ac:dyDescent="0.25">
      <c r="A2" s="25" t="s">
        <v>27</v>
      </c>
      <c r="B2" s="42" t="str">
        <f>RTD("tickerplantrtdserver",,"47#5#1#5629#USD1M.LIBOR#LTP")</f>
        <v/>
      </c>
      <c r="C2" s="42" t="str">
        <f>RTD("tickerplantrtdserver",,"47#5#1#5629#USD2M.LIBOR#LTP")</f>
        <v/>
      </c>
      <c r="D2" s="42" t="str">
        <f>RTD("tickerplantrtdserver",,"47#5#1#5629#USD3M.LIBOR#LTP")</f>
        <v/>
      </c>
      <c r="E2" s="42" t="str">
        <f>RTD("tickerplantrtdserver",,"47#5#1#5629#USD4M.LIBOR#LTP")</f>
        <v/>
      </c>
      <c r="F2" s="42" t="str">
        <f>RTD("tickerplantrtdserver",,"47#5#1#5629#USD5M.LIBOR#LTP")</f>
        <v/>
      </c>
      <c r="G2" s="42" t="str">
        <f>RTD("tickerplantrtdserver",,"47#5#1#5629#USD6M.LIBOR#LTP")</f>
        <v/>
      </c>
      <c r="H2" s="44" t="str">
        <f>RTD("tickerplantrtdserver",,"47#5#1#5629#USD9M.LIBOR#LTP")</f>
        <v/>
      </c>
      <c r="I2" s="45" t="str">
        <f>RTD("tickerplantrtdserver",,"47#5#1#5629#USD1Y.LIBOR#LTP")</f>
        <v/>
      </c>
    </row>
    <row r="3" spans="1:9" x14ac:dyDescent="0.25">
      <c r="A3" s="25" t="s">
        <v>25</v>
      </c>
      <c r="B3" s="42" t="str">
        <f>RTD("tickerplantrtdserver",,"47#5#1#5629#EUR1M.LIBOR#LTP")</f>
        <v/>
      </c>
      <c r="C3" s="42" t="str">
        <f>RTD("tickerplantrtdserver",,"47#5#1#5629#EUR2M.LIBOR#LTP")</f>
        <v/>
      </c>
      <c r="D3" s="42" t="str">
        <f>RTD("tickerplantrtdserver",,"47#5#1#5629#EUR3M.LIBOR#LTP")</f>
        <v/>
      </c>
      <c r="E3" s="42" t="str">
        <f>RTD("tickerplantrtdserver",,"47#5#1#5629#EUR4M.LIBOR#LTP")</f>
        <v/>
      </c>
      <c r="F3" s="42" t="str">
        <f>RTD("tickerplantrtdserver",,"47#5#1#5629#EUR5M.LIBOR#LTP")</f>
        <v/>
      </c>
      <c r="G3" s="42" t="str">
        <f>RTD("tickerplantrtdserver",,"47#5#1#5629#EUR6M.LIBOR#LTP")</f>
        <v/>
      </c>
      <c r="H3" s="44" t="str">
        <f>RTD("tickerplantrtdserver",,"47#5#1#5629#EUR9M.LIBOR#LTP")</f>
        <v/>
      </c>
      <c r="I3" s="45" t="str">
        <f>RTD("tickerplantrtdserver",,"47#5#1#5629#EUR1Y.LIBOR#LTP")</f>
        <v/>
      </c>
    </row>
    <row r="4" spans="1:9" x14ac:dyDescent="0.25">
      <c r="A4" s="25" t="s">
        <v>23</v>
      </c>
      <c r="B4" s="42" t="str">
        <f>RTD("tickerplantrtdserver",,"47#5#1#5629#GBP1M.LIBOR#LTP")</f>
        <v/>
      </c>
      <c r="C4" s="42" t="str">
        <f>RTD("tickerplantrtdserver",,"47#5#1#5629#GBP2M.LIBOR#LTP")</f>
        <v/>
      </c>
      <c r="D4" s="42" t="str">
        <f>RTD("tickerplantrtdserver",,"47#5#1#5629#GBP3M.LIBOR#LTP")</f>
        <v/>
      </c>
      <c r="E4" s="42" t="str">
        <f>RTD("tickerplantrtdserver",,"47#5#1#5629#GBP4M.LIBOR#LTP")</f>
        <v/>
      </c>
      <c r="F4" s="42" t="str">
        <f>RTD("tickerplantrtdserver",,"47#5#1#5629#GBP5M.LIBOR#LTP")</f>
        <v/>
      </c>
      <c r="G4" s="42" t="str">
        <f>RTD("tickerplantrtdserver",,"47#5#1#5629#GBP6M.LIBOR#LTP")</f>
        <v/>
      </c>
      <c r="H4" s="44" t="str">
        <f>RTD("tickerplantrtdserver",,"47#5#1#5629#GBP9M.LIBOR#LTP")</f>
        <v/>
      </c>
      <c r="I4" s="45" t="str">
        <f>RTD("tickerplantrtdserver",,"47#5#1#5629#GBP1Y.LIBOR#LTP")</f>
        <v/>
      </c>
    </row>
    <row r="5" spans="1:9" ht="15.75" thickBot="1" x14ac:dyDescent="0.3">
      <c r="A5" s="26" t="s">
        <v>22</v>
      </c>
      <c r="B5" s="16" t="str">
        <f>RTD("tickerplantrtdserver",,"47#5#1#5629#JPY1M.LIBOR#LTP")</f>
        <v/>
      </c>
      <c r="C5" s="16" t="str">
        <f>RTD("tickerplantrtdserver",,"47#5#1#5629#JPY2M.LIBOR#LTP")</f>
        <v/>
      </c>
      <c r="D5" s="16" t="str">
        <f>RTD("tickerplantrtdserver",,"47#5#1#5629#JPY3M.LIBOR#LTP")</f>
        <v/>
      </c>
      <c r="E5" s="16" t="str">
        <f>RTD("tickerplantrtdserver",,"47#5#1#5629#JPY2M.LIBOR#LTP")</f>
        <v/>
      </c>
      <c r="F5" s="16" t="str">
        <f>RTD("tickerplantrtdserver",,"47#5#1#5629#JPY5M.LIBOR#LTP")</f>
        <v/>
      </c>
      <c r="G5" s="16" t="str">
        <f>RTD("tickerplantrtdserver",,"47#5#1#5629#JPY6M.LIBOR#LTP")</f>
        <v/>
      </c>
      <c r="H5" s="46" t="str">
        <f>RTD("tickerplantrtdserver",,"47#5#1#5629#JPY9M.LIBOR#LTP")</f>
        <v/>
      </c>
      <c r="I5" s="47" t="str">
        <f>RTD("tickerplantrtdserver",,"47#5#1#5629#JPY1Y.LIBOR#LTP")</f>
        <v/>
      </c>
    </row>
    <row r="10" spans="1:9" s="14" customFormat="1" x14ac:dyDescent="0.25"/>
    <row r="11" spans="1:9" s="14" customFormat="1" ht="15.75" customHeight="1" x14ac:dyDescent="0.25"/>
    <row r="12" spans="1:9" s="14" customFormat="1" x14ac:dyDescent="0.25"/>
    <row r="22" spans="17:29" s="2" customFormat="1" x14ac:dyDescent="0.25"/>
    <row r="23" spans="17:29" x14ac:dyDescent="0.25"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7:29" x14ac:dyDescent="0.25"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7:29" x14ac:dyDescent="0.25"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30" spans="17:29" x14ac:dyDescent="0.25"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7:29" x14ac:dyDescent="0.25"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7:29" x14ac:dyDescent="0.25"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7:29" x14ac:dyDescent="0.25"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7:29" x14ac:dyDescent="0.25"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7:29" x14ac:dyDescent="0.25"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7:29" x14ac:dyDescent="0.25"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7:29" x14ac:dyDescent="0.25"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7:29" x14ac:dyDescent="0.25"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7:29" x14ac:dyDescent="0.25"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7:29" x14ac:dyDescent="0.25"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14"/>
    </row>
    <row r="41" spans="17:29" x14ac:dyDescent="0.25">
      <c r="Q41" s="14"/>
      <c r="R41" s="20"/>
      <c r="S41" s="20"/>
      <c r="T41" s="20"/>
      <c r="U41" s="20"/>
      <c r="V41" s="20"/>
      <c r="W41" s="20"/>
      <c r="X41" s="20"/>
      <c r="Y41" s="20"/>
      <c r="Z41" s="20"/>
      <c r="AA41" s="14"/>
      <c r="AB41" s="14"/>
    </row>
    <row r="42" spans="17:29" x14ac:dyDescent="0.25">
      <c r="Q42" s="14"/>
      <c r="R42" s="20"/>
      <c r="S42" s="20"/>
      <c r="T42" s="20"/>
      <c r="U42" s="20"/>
      <c r="V42" s="20"/>
      <c r="W42" s="20"/>
      <c r="X42" s="20"/>
      <c r="Y42" s="20"/>
      <c r="Z42" s="20"/>
      <c r="AA42" s="14"/>
      <c r="AB42" s="14"/>
    </row>
    <row r="43" spans="17:29" x14ac:dyDescent="0.25">
      <c r="R43" s="2"/>
      <c r="S43" s="2"/>
      <c r="T43" s="2"/>
      <c r="U43" s="2"/>
      <c r="V43" s="2"/>
      <c r="W43" s="2"/>
      <c r="X43" s="2"/>
      <c r="Y43" s="2"/>
      <c r="Z43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4"/>
  <sheetViews>
    <sheetView tabSelected="1" zoomScaleNormal="100" workbookViewId="0">
      <selection sqref="A1:A2"/>
    </sheetView>
  </sheetViews>
  <sheetFormatPr defaultColWidth="8.85546875" defaultRowHeight="15" x14ac:dyDescent="0.25"/>
  <cols>
    <col min="1" max="1" width="12.7109375" bestFit="1" customWidth="1"/>
    <col min="8" max="8" width="9.7109375" bestFit="1" customWidth="1"/>
    <col min="9" max="9" width="9" customWidth="1"/>
    <col min="10" max="10" width="8.7109375" customWidth="1"/>
    <col min="11" max="11" width="7.7109375" bestFit="1" customWidth="1"/>
  </cols>
  <sheetData>
    <row r="1" spans="1:12" s="14" customFormat="1" x14ac:dyDescent="0.25">
      <c r="A1" s="156" t="s">
        <v>41</v>
      </c>
      <c r="B1" s="152" t="s">
        <v>49</v>
      </c>
      <c r="C1" s="152" t="s">
        <v>50</v>
      </c>
      <c r="D1" s="152" t="s">
        <v>21</v>
      </c>
      <c r="E1" s="152" t="s">
        <v>20</v>
      </c>
      <c r="F1" s="152" t="s">
        <v>19</v>
      </c>
      <c r="G1" s="152" t="s">
        <v>18</v>
      </c>
      <c r="H1" s="152" t="s">
        <v>17</v>
      </c>
      <c r="I1" s="152" t="s">
        <v>16</v>
      </c>
      <c r="J1" s="154" t="s">
        <v>15</v>
      </c>
    </row>
    <row r="2" spans="1:12" s="14" customFormat="1" ht="15.75" customHeight="1" x14ac:dyDescent="0.25">
      <c r="A2" s="157"/>
      <c r="B2" s="153"/>
      <c r="C2" s="153"/>
      <c r="D2" s="153"/>
      <c r="E2" s="153"/>
      <c r="F2" s="153"/>
      <c r="G2" s="153"/>
      <c r="H2" s="153"/>
      <c r="I2" s="153"/>
      <c r="J2" s="155"/>
      <c r="K2" s="30"/>
    </row>
    <row r="3" spans="1:12" s="14" customFormat="1" x14ac:dyDescent="0.25">
      <c r="A3" s="7" t="s">
        <v>13</v>
      </c>
      <c r="B3" s="5">
        <f>RTD("tickerplantrtdserver",,"17#1#1#6069#USDINRCOMP#Bid")</f>
        <v>81.8</v>
      </c>
      <c r="C3" s="5">
        <f>RTD("tickerplantrtdserver",,"17#1#1#6069#USDINRCOMP#Ask")</f>
        <v>81.805000000000007</v>
      </c>
      <c r="D3" s="17">
        <f>RTD("tickerplantrtdserver",,"17#1#1#6069#USDINRCOMP#%Chg")</f>
        <v>0.01</v>
      </c>
      <c r="E3" s="5">
        <f>RTD("tickerplantrtdserver",,"17#1#1#6069#USDINRCOMP#Open")</f>
        <v>81.75</v>
      </c>
      <c r="F3" s="5">
        <f>RTD("tickerplantrtdserver",,"17#1#1#6069#USDINRCOMP#High")</f>
        <v>81.814999999999998</v>
      </c>
      <c r="G3" s="5">
        <f>RTD("tickerplantrtdserver",,"17#1#1#6069#USDINRCOMP#Low")</f>
        <v>81.680000000000007</v>
      </c>
      <c r="H3" s="9">
        <f>RTD("tickerplantrtdserver",,"17#1#1#6069#USDINRCOMP#Close")</f>
        <v>81.795000000000002</v>
      </c>
      <c r="I3" s="9">
        <f>RTD("tickerplantrtdserver",,"17#1#1#6069#USDINRCOMP#52WkHigh")</f>
        <v>83.232500000000002</v>
      </c>
      <c r="J3" s="48">
        <f>RTD("tickerplantrtdserver",,"17#1#1#6069#USDINRCOMP#52WkLow")</f>
        <v>75.989999999999995</v>
      </c>
      <c r="K3" s="15"/>
    </row>
    <row r="4" spans="1:12" s="14" customFormat="1" x14ac:dyDescent="0.25">
      <c r="A4" s="7" t="s">
        <v>12</v>
      </c>
      <c r="B4" s="5">
        <f>RTD("tickerplantrtdserver",,"17#3#1#5949#EURINRCOMP#Bid")</f>
        <v>90.317499999999995</v>
      </c>
      <c r="C4" s="5">
        <f>RTD("tickerplantrtdserver",,"17#3#1#5949#EURINRCOMP#Ask")</f>
        <v>90.325000000000003</v>
      </c>
      <c r="D4" s="17">
        <f>RTD("tickerplantrtdserver",,"17#3#1#5949#EURINRCOMP#%Chg")</f>
        <v>-0.08</v>
      </c>
      <c r="E4" s="5">
        <f>RTD("tickerplantrtdserver",,"17#3#1#5949#EURINRCOMP#Open")</f>
        <v>90.222499999999997</v>
      </c>
      <c r="F4" s="5">
        <f>RTD("tickerplantrtdserver",,"17#3#1#5949#EURINRCOMP#High")</f>
        <v>90.382499999999993</v>
      </c>
      <c r="G4" s="9">
        <f>RTD("tickerplantrtdserver",,"17#3#1#5949#EURINRCOMP#Low")</f>
        <v>90.144999999999996</v>
      </c>
      <c r="H4" s="9">
        <f>RTD("tickerplantrtdserver",,"17#3#1#5949#EURINRCOMP#Close")</f>
        <v>90.387500000000003</v>
      </c>
      <c r="I4" s="9">
        <f>RTD("tickerplantrtdserver",,"17#3#1#5949#EURINRCOMP#52WkHigh")</f>
        <v>0</v>
      </c>
      <c r="J4" s="27">
        <f>RTD("tickerplantrtdserver",,"17#3#1#5949#EURINRCOMP#52WkHigh")</f>
        <v>0</v>
      </c>
      <c r="K4" s="20"/>
    </row>
    <row r="5" spans="1:12" s="14" customFormat="1" x14ac:dyDescent="0.25">
      <c r="A5" s="7" t="s">
        <v>11</v>
      </c>
      <c r="B5" s="151">
        <f>RTD("tickerplantrtdserver",,"17#3#1#6031#GBPINRCOMP#Bid")</f>
        <v>103.47</v>
      </c>
      <c r="C5" s="151">
        <f>RTD("tickerplantrtdserver",,"17#3#1#6031#GBPINRCOMP#Ask")</f>
        <v>103.4875</v>
      </c>
      <c r="D5" s="17">
        <f>RTD("tickerplantrtdserver",,"17#3#1#6031#GBPINRCOMP#%Chg")</f>
        <v>0.6</v>
      </c>
      <c r="E5" s="5">
        <f>RTD("tickerplantrtdserver",,"17#3#1#6031#GBPINRCOMP#Open")</f>
        <v>103.36</v>
      </c>
      <c r="F5" s="5">
        <f>RTD("tickerplantrtdserver",,"17#3#1#6031#GBPINRCOMP#High")</f>
        <v>103.485</v>
      </c>
      <c r="G5" s="9">
        <f>RTD("tickerplantrtdserver",,"17#3#1#6031#GBPINRCOMP#Low")</f>
        <v>103.265</v>
      </c>
      <c r="H5" s="5">
        <f>RTD("tickerplantrtdserver",,"17#3#1#6031#GBPINRCOMP#Close")</f>
        <v>102.85250000000001</v>
      </c>
      <c r="I5" s="5">
        <f>RTD("tickerplantrtdserver",,"17#3#1#6031#GBPINRCOMP#52WkHigh")</f>
        <v>0</v>
      </c>
      <c r="J5" s="27">
        <f>RTD("tickerplantrtdserver",,"17#3#1#6031#GBPINRCOMP#52WkLow")</f>
        <v>0</v>
      </c>
      <c r="K5" s="20"/>
    </row>
    <row r="6" spans="1:12" s="14" customFormat="1" x14ac:dyDescent="0.25">
      <c r="A6" s="28" t="s">
        <v>10</v>
      </c>
      <c r="B6" s="5">
        <f>RTD("tickerplantrtdserver",,"17#3#1#5978#JPYINRCOMP#Bid")</f>
        <v>60.602499999999999</v>
      </c>
      <c r="C6" s="5">
        <f>RTD("tickerplantrtdserver",,"17#3#1#5978#JPYINRCOMP#Ask")</f>
        <v>60.61</v>
      </c>
      <c r="D6" s="4">
        <f>RTD("tickerplantrtdserver",,"17#3#1#5978#JPYINRCOMP#%Chg")</f>
        <v>-0.4</v>
      </c>
      <c r="E6" s="5">
        <f>RTD("tickerplantrtdserver",,"17#3#1#5978#JPYINRCOMP#Open")</f>
        <v>60.62</v>
      </c>
      <c r="F6" s="5">
        <f>RTD("tickerplantrtdserver",,"17#3#1#5978#JPYINRCOMP#High")</f>
        <v>60.717500000000001</v>
      </c>
      <c r="G6" s="49">
        <f>RTD("tickerplantrtdserver",,"17#3#1#5978#JPYINRCOMP#Low")</f>
        <v>60.527500000000003</v>
      </c>
      <c r="H6" s="5">
        <f>RTD("tickerplantrtdserver",,"17#3#1#5978#JPYINRCOMP#Close")</f>
        <v>60.844999999999999</v>
      </c>
      <c r="I6" s="5">
        <f>RTD("tickerplantrtdserver",,"17#3#1#5978#JPYINRCOMP#52WkHigh")</f>
        <v>0</v>
      </c>
      <c r="J6" s="27">
        <f>RTD("tickerplantrtdserver",,"17#3#1#5978#JPYINRCOMP#52WkLow")</f>
        <v>0</v>
      </c>
      <c r="K6" s="20"/>
    </row>
    <row r="7" spans="1:12" s="14" customFormat="1" x14ac:dyDescent="0.25">
      <c r="A7" s="28" t="s">
        <v>9</v>
      </c>
      <c r="B7" s="5">
        <f>RTD("tickerplantrtdserver",,"12#2#1#5949#SEURUSD#Bid")</f>
        <v>1.10463</v>
      </c>
      <c r="C7" s="5">
        <f>RTD("tickerplantrtdserver",,"12#2#1#5949#SEURUSD#Ask")</f>
        <v>1.10466</v>
      </c>
      <c r="D7" s="17">
        <f>RTD("tickerplantrtdserver",,"12#2#1#5949#SEURUSD#%Chg")</f>
        <v>0.27</v>
      </c>
      <c r="E7" s="5">
        <f>RTD("tickerplantrtdserver",,"12#2#1#5949#SEURUSD#Open")</f>
        <v>1.10162</v>
      </c>
      <c r="F7" s="5">
        <f>RTD("tickerplantrtdserver",,"12#2#1#5949#SEURUSD#High")</f>
        <v>1.10538</v>
      </c>
      <c r="G7" s="49">
        <f>RTD("tickerplantrtdserver",,"12#2#1#5949#SEURUSD#Low")</f>
        <v>1.10137</v>
      </c>
      <c r="H7" s="5">
        <f>RTD("tickerplantrtdserver",,"12#2#1#5949#SEURUSD#Close")</f>
        <v>1.10162</v>
      </c>
      <c r="I7" s="5">
        <f>RTD("tickerplantrtdserver",,"12#2#1#5949#SEURUSD#52WkHigh")</f>
        <v>1.10955</v>
      </c>
      <c r="J7" s="27">
        <f>RTD("tickerplantrtdserver",,"12#2#1#5949#SEURUSD#52WkLow")</f>
        <v>0.95320000000000005</v>
      </c>
      <c r="K7" s="20"/>
    </row>
    <row r="8" spans="1:12" s="14" customFormat="1" x14ac:dyDescent="0.25">
      <c r="A8" s="28" t="s">
        <v>8</v>
      </c>
      <c r="B8" s="5">
        <f>RTD("tickerplantrtdserver",,"12#2#1#6031#SGBPUSD#Bid")</f>
        <v>1.26586</v>
      </c>
      <c r="C8" s="5">
        <f>RTD("tickerplantrtdserver",,"12#2#1#6031#SGBPUSD#Ask")</f>
        <v>1.2659100000000001</v>
      </c>
      <c r="D8" s="17">
        <f>RTD("tickerplantrtdserver",,"12#2#1#6031#SGBPUSD#%Chg")</f>
        <v>0.25</v>
      </c>
      <c r="E8" s="5">
        <f>RTD("tickerplantrtdserver",,"12#2#1#6031#SGBPUSD#Open")</f>
        <v>1.26274</v>
      </c>
      <c r="F8" s="5">
        <f>RTD("tickerplantrtdserver",,"12#2#1#6031#SGBPUSD#High")</f>
        <v>1.26596</v>
      </c>
      <c r="G8" s="49">
        <f>RTD("tickerplantrtdserver",,"12#2#1#6031#SGBPUSD#Low")</f>
        <v>1.2621</v>
      </c>
      <c r="H8" s="5">
        <f>RTD("tickerplantrtdserver",,"12#2#1#6031#SGBPUSD#Close")</f>
        <v>1.26274</v>
      </c>
      <c r="I8" s="5">
        <f>RTD("tickerplantrtdserver",,"12#2#1#6031#SGBPUSD#52WkHigh")</f>
        <v>1.2666900000000001</v>
      </c>
      <c r="J8" s="27">
        <f>RTD("tickerplantrtdserver",,"12#2#1#6031#SGBPUSD#52WkLow")</f>
        <v>1.03488</v>
      </c>
    </row>
    <row r="9" spans="1:12" ht="15.75" thickBot="1" x14ac:dyDescent="0.3">
      <c r="A9" s="6" t="s">
        <v>7</v>
      </c>
      <c r="B9" s="50">
        <f>RTD("tickerplantrtdserver",,"12#2#1#6069#SUSDJPY#Bid")</f>
        <v>134.989</v>
      </c>
      <c r="C9" s="50">
        <f>RTD("tickerplantrtdserver",,"12#2#1#6069#SUSDJPY#Ask")</f>
        <v>134.99199999999999</v>
      </c>
      <c r="D9" s="50">
        <f>RTD("tickerplantrtdserver",,"12#2#1#6069#SUSDJPY#%Chg")</f>
        <v>0.14000000000000001</v>
      </c>
      <c r="E9" s="50">
        <f>RTD("tickerplantrtdserver",,"12#2#1#6069#SUSDJPY#Open")</f>
        <v>134.80699999999999</v>
      </c>
      <c r="F9" s="50">
        <f>RTD("tickerplantrtdserver",,"12#2#1#6069#SUSDJPY#High")</f>
        <v>135.29900000000001</v>
      </c>
      <c r="G9" s="51">
        <f>RTD("tickerplantrtdserver",,"12#2#1#6069#SUSDJPY#Low")</f>
        <v>134.60499999999999</v>
      </c>
      <c r="H9" s="50">
        <f>RTD("tickerplantrtdserver",,"12#2#1#6069#SUSDJPY#Close")</f>
        <v>134.80699999999999</v>
      </c>
      <c r="I9" s="50">
        <f>RTD("tickerplantrtdserver",,"12#2#1#6069#SUSDJPY#52WkHigh")</f>
        <v>151.94499999999999</v>
      </c>
      <c r="J9" s="52">
        <f>RTD("tickerplantrtdserver",,"12#2#1#6069#SUSDJPY#52WkLow")</f>
        <v>126.321</v>
      </c>
    </row>
    <row r="10" spans="1:12" ht="15.95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s="14" customFormat="1" x14ac:dyDescent="0.25"/>
    <row r="12" spans="1:12" s="14" customFormat="1" ht="15.75" customHeight="1" x14ac:dyDescent="0.25"/>
    <row r="13" spans="1:12" s="14" customFormat="1" ht="15.75" customHeight="1" x14ac:dyDescent="0.25">
      <c r="E13" s="33"/>
    </row>
    <row r="14" spans="1:12" ht="15.75" customHeight="1" x14ac:dyDescent="0.25"/>
  </sheetData>
  <mergeCells count="10">
    <mergeCell ref="I1:I2"/>
    <mergeCell ref="J1:J2"/>
    <mergeCell ref="A1:A2"/>
    <mergeCell ref="B1:B2"/>
    <mergeCell ref="C1:C2"/>
    <mergeCell ref="D1:D2"/>
    <mergeCell ref="E1:E2"/>
    <mergeCell ref="F1:F2"/>
    <mergeCell ref="G1:G2"/>
    <mergeCell ref="H1:H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1"/>
  <sheetViews>
    <sheetView workbookViewId="0"/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20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20" s="35" customFormat="1" ht="15.75" customHeight="1" x14ac:dyDescent="0.25">
      <c r="A2" s="8" t="s">
        <v>13</v>
      </c>
      <c r="B2" s="53">
        <f>RTD("tickerplantrtdserver",,"35#1#1#6069#FUTCUR#1369785600#0#XX#Bid")</f>
        <v>81.86</v>
      </c>
      <c r="C2" s="54">
        <f>RTD("tickerplantrtdserver",,"35#1#1#6069#FUTCUR#1369785600#0#XX#Ask")</f>
        <v>81.862499999999997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20" s="35" customFormat="1" x14ac:dyDescent="0.25">
      <c r="A3" s="7" t="s">
        <v>12</v>
      </c>
      <c r="B3" s="5">
        <f>RTD("tickerplantrtdserver",,"35#1#1#5949#FUTCUR#1369785600#0#XX#Bid")</f>
        <v>90.447500000000005</v>
      </c>
      <c r="C3" s="27">
        <f>RTD("tickerplantrtdserver",,"35#1#1#5949#FUTCUR#1369785600#0#XX#Ask")</f>
        <v>90.452500000000001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20" s="35" customFormat="1" x14ac:dyDescent="0.25">
      <c r="A4" s="7" t="s">
        <v>11</v>
      </c>
      <c r="B4" s="5">
        <f>RTD("tickerplantrtdserver",,"35#1#1#6031#FUTCUR#1369785600#0#XX#Bid")</f>
        <v>103.5625</v>
      </c>
      <c r="C4" s="27">
        <f>RTD("tickerplantrtdserver",,"35#1#1#6031#FUTCUR#1369785600#0#XX#Ask")</f>
        <v>103.5675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20" s="35" customFormat="1" ht="15.75" thickBot="1" x14ac:dyDescent="0.3">
      <c r="A5" s="6" t="s">
        <v>10</v>
      </c>
      <c r="B5" s="29">
        <f>RTD("tickerplantrtdserver",,"35#1#1#5978#FUTCUR#1369785600#0#XX#Bid")</f>
        <v>60.8675</v>
      </c>
      <c r="C5" s="43">
        <f>RTD("tickerplantrtdserver",,"35#1#1#5978#FUTCUR#1369785600#0#XX#Ask")</f>
        <v>60.872500000000002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20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20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20" s="35" customFormat="1" x14ac:dyDescent="0.25">
      <c r="A8" s="36"/>
      <c r="B8" s="36"/>
      <c r="C8" s="36"/>
      <c r="D8" s="36"/>
      <c r="E8" s="36"/>
      <c r="F8" s="36"/>
      <c r="G8" s="36"/>
      <c r="K8" s="36"/>
      <c r="L8" s="36"/>
      <c r="P8" s="36"/>
      <c r="Q8" s="36"/>
    </row>
    <row r="9" spans="1:20" x14ac:dyDescent="0.25">
      <c r="A9" s="20"/>
      <c r="B9" s="20"/>
      <c r="C9" s="20"/>
      <c r="D9" s="20"/>
      <c r="E9" s="20"/>
      <c r="F9" s="20"/>
      <c r="G9" s="20"/>
      <c r="K9" s="58"/>
      <c r="L9" s="58"/>
      <c r="M9" s="14"/>
      <c r="N9" s="14"/>
      <c r="O9" s="14"/>
      <c r="P9" s="58"/>
      <c r="Q9" s="58"/>
      <c r="R9" s="14"/>
      <c r="S9" s="14"/>
      <c r="T9" s="14"/>
    </row>
    <row r="10" spans="1:20" x14ac:dyDescent="0.25">
      <c r="A10" s="20"/>
      <c r="B10" s="31"/>
      <c r="C10" s="31"/>
      <c r="D10" s="20"/>
      <c r="E10" s="20"/>
      <c r="F10" s="20"/>
      <c r="G10" s="20"/>
      <c r="K10" s="58"/>
      <c r="L10" s="58"/>
      <c r="M10" s="14"/>
      <c r="N10" s="14"/>
      <c r="O10" s="14"/>
      <c r="P10" s="58"/>
      <c r="Q10" s="58"/>
      <c r="R10" s="14"/>
      <c r="S10" s="14"/>
      <c r="T10" s="14"/>
    </row>
    <row r="11" spans="1:20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</row>
    <row r="12" spans="1:20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</row>
    <row r="13" spans="1:20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K13" s="21"/>
      <c r="L13" s="21"/>
      <c r="M13" s="32"/>
      <c r="N13" s="32"/>
      <c r="O13" s="32"/>
      <c r="P13" s="21"/>
      <c r="Q13" s="21"/>
      <c r="R13" s="32"/>
      <c r="S13" s="32"/>
      <c r="T13" s="32"/>
    </row>
    <row r="14" spans="1:20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K14" s="33"/>
      <c r="L14" s="34"/>
      <c r="M14" s="34"/>
      <c r="N14" s="34"/>
      <c r="O14" s="21"/>
      <c r="P14" s="33"/>
      <c r="Q14" s="34"/>
      <c r="R14" s="34"/>
      <c r="S14" s="34"/>
      <c r="T14" s="21"/>
    </row>
    <row r="15" spans="1:20" x14ac:dyDescent="0.25">
      <c r="A15" s="13"/>
      <c r="B15" s="21"/>
      <c r="C15" s="21"/>
      <c r="D15" s="20"/>
      <c r="E15" s="20"/>
      <c r="G15" s="13"/>
      <c r="H15" s="20"/>
      <c r="I15" s="20"/>
      <c r="J15" s="20"/>
      <c r="K15" s="14"/>
      <c r="L15" s="13"/>
      <c r="M15" s="58"/>
      <c r="N15" s="58"/>
      <c r="O15" s="58"/>
      <c r="P15" s="14"/>
      <c r="Q15" s="13"/>
      <c r="R15" s="58"/>
      <c r="S15" s="58"/>
      <c r="T15" s="58"/>
    </row>
    <row r="16" spans="1:20" x14ac:dyDescent="0.25">
      <c r="A16" s="15"/>
      <c r="B16" s="21"/>
      <c r="C16" s="21"/>
      <c r="D16" s="20"/>
      <c r="E16" s="20"/>
      <c r="G16" s="15"/>
      <c r="H16" s="20"/>
      <c r="I16" s="20"/>
      <c r="J16" s="20"/>
      <c r="K16" s="14"/>
      <c r="L16" s="15"/>
      <c r="M16" s="58"/>
      <c r="N16" s="58"/>
      <c r="O16" s="58"/>
      <c r="P16" s="14"/>
      <c r="Q16" s="15"/>
      <c r="R16" s="58"/>
      <c r="S16" s="58"/>
      <c r="T16" s="58"/>
    </row>
    <row r="17" spans="1:20" x14ac:dyDescent="0.25">
      <c r="A17" s="15"/>
      <c r="B17" s="21"/>
      <c r="C17" s="21"/>
      <c r="D17" s="20"/>
      <c r="E17" s="20"/>
      <c r="G17" s="15"/>
      <c r="H17" s="20"/>
      <c r="I17" s="20"/>
      <c r="J17" s="20"/>
      <c r="K17" s="14"/>
      <c r="L17" s="15"/>
      <c r="M17" s="58"/>
      <c r="N17" s="58"/>
      <c r="O17" s="58"/>
      <c r="P17" s="14"/>
      <c r="Q17" s="15"/>
      <c r="R17" s="58"/>
      <c r="S17" s="58"/>
      <c r="T17" s="58"/>
    </row>
    <row r="18" spans="1:20" x14ac:dyDescent="0.25">
      <c r="A18" s="15"/>
      <c r="B18" s="21"/>
      <c r="C18" s="21"/>
      <c r="D18" s="20"/>
      <c r="E18" s="20"/>
      <c r="G18" s="15"/>
      <c r="H18" s="20"/>
      <c r="I18" s="20"/>
      <c r="J18" s="20"/>
      <c r="K18" s="14"/>
      <c r="L18" s="15"/>
      <c r="M18" s="58"/>
      <c r="N18" s="58"/>
      <c r="O18" s="58"/>
      <c r="P18" s="14"/>
      <c r="Q18" s="15"/>
      <c r="R18" s="58"/>
      <c r="S18" s="58"/>
      <c r="T18" s="58"/>
    </row>
    <row r="19" spans="1:20" x14ac:dyDescent="0.25">
      <c r="A19" s="15"/>
      <c r="B19" s="21"/>
      <c r="C19" s="21"/>
      <c r="D19" s="20"/>
      <c r="E19" s="20"/>
      <c r="G19" s="15"/>
      <c r="H19" s="20"/>
      <c r="I19" s="20"/>
      <c r="J19" s="20"/>
      <c r="K19" s="14"/>
      <c r="L19" s="15"/>
      <c r="M19" s="58"/>
      <c r="N19" s="58"/>
      <c r="O19" s="58"/>
      <c r="P19" s="14"/>
      <c r="Q19" s="15"/>
      <c r="R19" s="58"/>
      <c r="S19" s="58"/>
      <c r="T19" s="58"/>
    </row>
    <row r="20" spans="1:20" x14ac:dyDescent="0.25"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1:20" x14ac:dyDescent="0.25"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1:20" x14ac:dyDescent="0.25"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31" spans="1:20" x14ac:dyDescent="0.25">
      <c r="P31" s="5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4"/>
  <sheetViews>
    <sheetView workbookViewId="0"/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425781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RTD("tickerplantrtdserver",,"35#1#1#6069#FUTCUR#1372291200#0#XX#Bid")</f>
        <v>81.974999999999994</v>
      </c>
      <c r="C2" s="54">
        <f>RTD("tickerplantrtdserver",,"35#1#1#6069#FUTCUR#1372291200#0#XX#Ask")</f>
        <v>81.977500000000006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RTD("tickerplantrtdserver",,"35#1#1#5949#FUTCUR#1372291200#0#XX#Bid")</f>
        <v>90.647499999999994</v>
      </c>
      <c r="C3" s="27">
        <f>RTD("tickerplantrtdserver",,"35#1#1#5949#FUTCUR#1372291200#0#XX#Ask")</f>
        <v>90.655000000000001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RTD("tickerplantrtdserver",,"35#1#1#6031#FUTCUR#1372291200#0#XX#Bid")</f>
        <v>103.69</v>
      </c>
      <c r="C4" s="27">
        <f>RTD("tickerplantrtdserver",,"35#1#1#6031#FUTCUR#1372291200#0#XX#Ask")</f>
        <v>103.69499999999999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RTD("tickerplantrtdserver",,"35#1#1#5978#FUTCUR#1372291200#0#XX#Bid")</f>
        <v>61.25</v>
      </c>
      <c r="C5" s="43">
        <f>RTD("tickerplantrtdserver",,"35#1#1#5978#FUTCUR#1372291200#0#XX#Ask")</f>
        <v>61.252499999999998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J8" s="36"/>
      <c r="M8" s="36"/>
      <c r="P8" s="36"/>
      <c r="S8" s="36"/>
    </row>
    <row r="9" spans="1:19" x14ac:dyDescent="0.25">
      <c r="A9" s="20"/>
      <c r="B9" s="20"/>
      <c r="C9" s="20"/>
      <c r="D9" s="20"/>
      <c r="E9" s="20"/>
      <c r="F9" s="20"/>
      <c r="G9" s="20"/>
      <c r="J9" s="58"/>
      <c r="K9" s="14"/>
      <c r="L9" s="14"/>
      <c r="M9" s="58"/>
      <c r="N9" s="14"/>
      <c r="O9" s="14"/>
      <c r="P9" s="58"/>
      <c r="Q9" s="14"/>
      <c r="R9" s="14"/>
      <c r="S9" s="58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14"/>
      <c r="L10" s="14"/>
      <c r="M10" s="58"/>
      <c r="N10" s="14"/>
      <c r="O10" s="14"/>
      <c r="P10" s="58"/>
      <c r="Q10" s="14"/>
      <c r="R10" s="14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32"/>
      <c r="L13" s="32"/>
      <c r="M13" s="21"/>
      <c r="N13" s="32"/>
      <c r="O13" s="32"/>
      <c r="P13" s="21"/>
      <c r="Q13" s="32"/>
      <c r="R13" s="32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J15" s="13"/>
      <c r="K15" s="58"/>
      <c r="L15" s="58"/>
      <c r="M15" s="13"/>
      <c r="N15" s="58"/>
      <c r="O15" s="58"/>
      <c r="P15" s="13"/>
      <c r="Q15" s="58"/>
      <c r="R15" s="58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J16" s="15"/>
      <c r="K16" s="58"/>
      <c r="L16" s="58"/>
      <c r="M16" s="15"/>
      <c r="N16" s="58"/>
      <c r="O16" s="58"/>
      <c r="P16" s="15"/>
      <c r="Q16" s="58"/>
      <c r="R16" s="58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J17" s="15"/>
      <c r="K17" s="58"/>
      <c r="L17" s="58"/>
      <c r="M17" s="15"/>
      <c r="N17" s="58"/>
      <c r="O17" s="58"/>
      <c r="P17" s="15"/>
      <c r="Q17" s="58"/>
      <c r="R17" s="58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J18" s="15"/>
      <c r="K18" s="58"/>
      <c r="L18" s="58"/>
      <c r="M18" s="15"/>
      <c r="N18" s="58"/>
      <c r="O18" s="58"/>
      <c r="P18" s="15"/>
      <c r="Q18" s="58"/>
      <c r="R18" s="58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J19" s="15"/>
      <c r="K19" s="58"/>
      <c r="L19" s="58"/>
      <c r="M19" s="15"/>
      <c r="N19" s="58"/>
      <c r="O19" s="58"/>
      <c r="P19" s="15"/>
      <c r="Q19" s="58"/>
      <c r="R19" s="58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K24" s="14"/>
      <c r="L24" s="14"/>
      <c r="M24" s="14"/>
      <c r="N24" s="14"/>
      <c r="O24" s="14"/>
      <c r="P24" s="14"/>
      <c r="Q24" s="14"/>
      <c r="R24" s="14"/>
      <c r="S24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3"/>
  <sheetViews>
    <sheetView workbookViewId="0">
      <selection activeCell="B6" sqref="B6"/>
    </sheetView>
  </sheetViews>
  <sheetFormatPr defaultColWidth="8.85546875" defaultRowHeight="15" x14ac:dyDescent="0.25"/>
  <cols>
    <col min="1" max="7" width="9.140625" style="14"/>
    <col min="8" max="8" width="9.7109375" style="14" bestFit="1" customWidth="1"/>
    <col min="9" max="9" width="9" style="14" customWidth="1"/>
    <col min="10" max="10" width="8.7109375" style="14" customWidth="1"/>
    <col min="11" max="11" width="7.7109375" bestFit="1" customWidth="1"/>
    <col min="12" max="12" width="8.85546875" bestFit="1" customWidth="1"/>
    <col min="13" max="14" width="8.28515625" bestFit="1" customWidth="1"/>
    <col min="15" max="15" width="7.85546875" bestFit="1" customWidth="1"/>
  </cols>
  <sheetData>
    <row r="1" spans="1:19" s="35" customFormat="1" ht="15.75" thickBot="1" x14ac:dyDescent="0.3">
      <c r="A1" s="12" t="s">
        <v>14</v>
      </c>
      <c r="B1" s="11" t="s">
        <v>1</v>
      </c>
      <c r="C1" s="10" t="s">
        <v>0</v>
      </c>
    </row>
    <row r="2" spans="1:19" s="35" customFormat="1" ht="15.75" customHeight="1" x14ac:dyDescent="0.25">
      <c r="A2" s="8" t="s">
        <v>13</v>
      </c>
      <c r="B2" s="53">
        <f>RTD("tickerplantrtdserver",,"35#1#1#6069#FUTCUR#1374883200#0#XX#Bid")</f>
        <v>82.1</v>
      </c>
      <c r="C2" s="54">
        <f>RTD("tickerplantrtdserver",,"35#1#1#6069#FUTCUR#1374883200#0#XX#Ask")</f>
        <v>82.102500000000006</v>
      </c>
      <c r="D2" s="36"/>
      <c r="E2" s="36"/>
      <c r="F2" s="36"/>
      <c r="G2" s="36"/>
      <c r="H2" s="37"/>
      <c r="I2" s="37"/>
      <c r="J2" s="37"/>
      <c r="K2" s="37"/>
      <c r="L2" s="37"/>
      <c r="M2" s="37"/>
      <c r="N2" s="37"/>
      <c r="O2" s="37"/>
    </row>
    <row r="3" spans="1:19" s="35" customFormat="1" x14ac:dyDescent="0.25">
      <c r="A3" s="7" t="s">
        <v>12</v>
      </c>
      <c r="B3" s="5">
        <f>RTD("tickerplantrtdserver",,"35#1#1#5949#FUTCUR#1374883200#0#XX#Bid")</f>
        <v>90.842500000000001</v>
      </c>
      <c r="C3" s="27">
        <f>RTD("tickerplantrtdserver",,"35#1#1#5949#FUTCUR#1374883200#0#XX#Ask")</f>
        <v>90.864999999999995</v>
      </c>
      <c r="D3" s="37"/>
      <c r="E3" s="37"/>
      <c r="F3" s="37"/>
      <c r="G3" s="36"/>
      <c r="H3" s="36"/>
      <c r="I3" s="38"/>
      <c r="J3" s="38"/>
      <c r="K3" s="38"/>
      <c r="L3" s="38"/>
      <c r="M3" s="38"/>
      <c r="N3" s="38"/>
      <c r="O3" s="38"/>
    </row>
    <row r="4" spans="1:19" s="35" customFormat="1" x14ac:dyDescent="0.25">
      <c r="A4" s="7" t="s">
        <v>11</v>
      </c>
      <c r="B4" s="5">
        <f>RTD("tickerplantrtdserver",,"35#1#1#6031#FUTCUR#1374883200#0#XX#Bid")</f>
        <v>103.81</v>
      </c>
      <c r="C4" s="27">
        <f>RTD("tickerplantrtdserver",,"35#1#1#6031#FUTCUR#1374883200#0#XX#Ask")</f>
        <v>103.815</v>
      </c>
      <c r="D4" s="37"/>
      <c r="E4" s="37"/>
      <c r="F4" s="37"/>
      <c r="G4" s="36"/>
      <c r="H4" s="36"/>
      <c r="I4" s="36"/>
      <c r="J4" s="36"/>
      <c r="K4" s="36"/>
      <c r="L4" s="36"/>
      <c r="M4" s="36"/>
      <c r="N4" s="36"/>
      <c r="O4" s="36"/>
    </row>
    <row r="5" spans="1:19" s="35" customFormat="1" ht="15.75" thickBot="1" x14ac:dyDescent="0.3">
      <c r="A5" s="6" t="s">
        <v>10</v>
      </c>
      <c r="B5" s="29">
        <f>RTD("tickerplantrtdserver",,"35#1#1#5978#FUTCUR#1374883200#0#XX#Bid")</f>
        <v>61.602499999999999</v>
      </c>
      <c r="C5" s="43">
        <f>RTD("tickerplantrtdserver",,"35#1#1#5978#FUTCUR#1374883200#0#XX#Ask")</f>
        <v>61.62</v>
      </c>
      <c r="D5" s="39"/>
      <c r="E5" s="36"/>
      <c r="F5" s="39"/>
      <c r="G5" s="36"/>
      <c r="H5" s="36"/>
      <c r="I5" s="36"/>
      <c r="J5" s="36"/>
      <c r="K5" s="36"/>
      <c r="L5" s="36"/>
      <c r="M5" s="36"/>
      <c r="N5" s="36"/>
      <c r="O5" s="36"/>
    </row>
    <row r="6" spans="1:19" s="35" customFormat="1" x14ac:dyDescent="0.25">
      <c r="A6" s="37"/>
      <c r="B6" s="36"/>
      <c r="C6" s="40"/>
      <c r="D6" s="39"/>
      <c r="E6" s="36"/>
      <c r="F6" s="39"/>
      <c r="G6" s="36"/>
      <c r="H6" s="36"/>
      <c r="I6" s="36"/>
      <c r="J6" s="36"/>
      <c r="K6" s="36"/>
      <c r="L6" s="36"/>
      <c r="M6" s="36"/>
      <c r="N6" s="36"/>
      <c r="O6" s="36"/>
    </row>
    <row r="7" spans="1:19" s="35" customFormat="1" x14ac:dyDescent="0.25">
      <c r="A7" s="36"/>
      <c r="B7" s="36"/>
      <c r="C7" s="36"/>
      <c r="D7" s="36"/>
      <c r="E7" s="36"/>
      <c r="F7" s="36"/>
      <c r="G7" s="36"/>
      <c r="H7" s="36"/>
      <c r="I7" s="41"/>
      <c r="J7" s="41"/>
      <c r="K7" s="36"/>
      <c r="L7" s="36"/>
      <c r="M7" s="36"/>
      <c r="N7" s="36"/>
      <c r="O7" s="36"/>
    </row>
    <row r="8" spans="1:19" s="35" customFormat="1" x14ac:dyDescent="0.25">
      <c r="A8" s="36"/>
      <c r="B8" s="36"/>
      <c r="C8" s="36"/>
      <c r="D8" s="36"/>
      <c r="E8" s="36"/>
      <c r="F8" s="36"/>
      <c r="G8" s="36"/>
      <c r="M8" s="36"/>
    </row>
    <row r="9" spans="1:19" x14ac:dyDescent="0.25">
      <c r="A9" s="20"/>
      <c r="B9" s="20"/>
      <c r="C9" s="20"/>
      <c r="D9" s="20"/>
      <c r="E9" s="20"/>
      <c r="F9" s="20"/>
      <c r="G9" s="20"/>
      <c r="M9" s="2"/>
    </row>
    <row r="10" spans="1:19" x14ac:dyDescent="0.25">
      <c r="A10" s="20"/>
      <c r="B10" s="31"/>
      <c r="C10" s="31"/>
      <c r="D10" s="20"/>
      <c r="E10" s="20"/>
      <c r="F10" s="20"/>
      <c r="G10" s="20"/>
      <c r="J10" s="58"/>
      <c r="K10" s="58"/>
      <c r="L10" s="14"/>
      <c r="M10" s="14"/>
      <c r="N10" s="58"/>
      <c r="O10" s="58"/>
      <c r="P10" s="14"/>
      <c r="Q10" s="14"/>
      <c r="R10" s="58"/>
      <c r="S10" s="58"/>
    </row>
    <row r="11" spans="1:19" s="14" customForma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</row>
    <row r="12" spans="1:19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</row>
    <row r="13" spans="1:19" s="14" customFormat="1" ht="15.95" customHeigh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21"/>
      <c r="K13" s="21"/>
      <c r="L13" s="32"/>
      <c r="M13" s="32"/>
      <c r="N13" s="21"/>
      <c r="O13" s="21"/>
      <c r="P13" s="32"/>
      <c r="Q13" s="32"/>
      <c r="R13" s="21"/>
      <c r="S13" s="21"/>
    </row>
    <row r="14" spans="1:19" ht="15.75" customHeigh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33"/>
      <c r="K14" s="34"/>
      <c r="L14" s="34"/>
      <c r="M14" s="34"/>
      <c r="N14" s="33"/>
      <c r="O14" s="34"/>
      <c r="P14" s="34"/>
      <c r="Q14" s="34"/>
      <c r="R14" s="33"/>
      <c r="S14" s="34"/>
    </row>
    <row r="15" spans="1:19" x14ac:dyDescent="0.25">
      <c r="A15" s="13"/>
      <c r="B15" s="21"/>
      <c r="C15" s="21"/>
      <c r="D15" s="20"/>
      <c r="E15" s="20"/>
      <c r="G15" s="13"/>
      <c r="H15" s="20"/>
      <c r="I15" s="20"/>
      <c r="K15" s="13"/>
      <c r="L15" s="58"/>
      <c r="M15" s="58"/>
      <c r="N15" s="14"/>
      <c r="O15" s="13"/>
      <c r="P15" s="58"/>
      <c r="Q15" s="58"/>
      <c r="R15" s="14"/>
      <c r="S15" s="13"/>
    </row>
    <row r="16" spans="1:19" x14ac:dyDescent="0.25">
      <c r="A16" s="15"/>
      <c r="B16" s="21"/>
      <c r="C16" s="21"/>
      <c r="D16" s="20"/>
      <c r="E16" s="20"/>
      <c r="G16" s="15"/>
      <c r="H16" s="20"/>
      <c r="I16" s="20"/>
      <c r="K16" s="15"/>
      <c r="L16" s="58"/>
      <c r="M16" s="58"/>
      <c r="N16" s="14"/>
      <c r="O16" s="15"/>
      <c r="P16" s="58"/>
      <c r="Q16" s="58"/>
      <c r="R16" s="14"/>
      <c r="S16" s="15"/>
    </row>
    <row r="17" spans="1:19" x14ac:dyDescent="0.25">
      <c r="A17" s="15"/>
      <c r="B17" s="21"/>
      <c r="C17" s="21"/>
      <c r="D17" s="20"/>
      <c r="E17" s="20"/>
      <c r="G17" s="15"/>
      <c r="H17" s="20"/>
      <c r="I17" s="20"/>
      <c r="K17" s="15"/>
      <c r="L17" s="58"/>
      <c r="M17" s="58"/>
      <c r="N17" s="14"/>
      <c r="O17" s="15"/>
      <c r="P17" s="58"/>
      <c r="Q17" s="58"/>
      <c r="R17" s="14"/>
      <c r="S17" s="15"/>
    </row>
    <row r="18" spans="1:19" x14ac:dyDescent="0.25">
      <c r="A18" s="15"/>
      <c r="B18" s="21"/>
      <c r="C18" s="21"/>
      <c r="D18" s="20"/>
      <c r="E18" s="20"/>
      <c r="G18" s="15"/>
      <c r="H18" s="20"/>
      <c r="I18" s="20"/>
      <c r="K18" s="15"/>
      <c r="L18" s="58"/>
      <c r="M18" s="58"/>
      <c r="N18" s="14"/>
      <c r="O18" s="15"/>
      <c r="P18" s="58"/>
      <c r="Q18" s="58"/>
      <c r="R18" s="14"/>
      <c r="S18" s="15"/>
    </row>
    <row r="19" spans="1:19" x14ac:dyDescent="0.25">
      <c r="A19" s="15"/>
      <c r="B19" s="21"/>
      <c r="C19" s="21"/>
      <c r="D19" s="20"/>
      <c r="E19" s="20"/>
      <c r="G19" s="15"/>
      <c r="H19" s="20"/>
      <c r="I19" s="20"/>
      <c r="K19" s="15"/>
      <c r="L19" s="58"/>
      <c r="M19" s="58"/>
      <c r="N19" s="14"/>
      <c r="O19" s="15"/>
      <c r="P19" s="58"/>
      <c r="Q19" s="58"/>
      <c r="R19" s="14"/>
      <c r="S19" s="15"/>
    </row>
    <row r="20" spans="1:19" x14ac:dyDescent="0.25"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K23" s="14"/>
      <c r="L23" s="14"/>
      <c r="M23" s="14"/>
      <c r="N23" s="14"/>
      <c r="O23" s="14"/>
      <c r="P23" s="14"/>
      <c r="Q23" s="14"/>
      <c r="R23" s="14"/>
      <c r="S23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6"/>
  <sheetViews>
    <sheetView zoomScale="110" zoomScaleNormal="110" workbookViewId="0">
      <selection activeCell="F14" sqref="F14"/>
    </sheetView>
  </sheetViews>
  <sheetFormatPr defaultRowHeight="15" x14ac:dyDescent="0.25"/>
  <cols>
    <col min="1" max="1" width="13.85546875" bestFit="1" customWidth="1"/>
    <col min="2" max="2" width="4.28515625" customWidth="1"/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58" t="s">
        <v>6</v>
      </c>
      <c r="B1" s="159"/>
      <c r="C1" s="62" t="str">
        <f>RTD("tickerplantrtdserver",,"FWRC1#USDINR#Month End Rates#0#S#Desc.2")</f>
        <v>CASH/SPOT</v>
      </c>
      <c r="D1" s="62" t="str">
        <f>RTD("tickerplantrtdserver",,"FWRC1#USDINR#Month End Rates#0#S#Desc.4")</f>
        <v>MAY-2023</v>
      </c>
      <c r="E1" s="62" t="str">
        <f>RTD("tickerplantrtdserver",,"FWRC1#USDINR#Month End Rates#0#S#Desc.5")</f>
        <v>JUN-2023</v>
      </c>
      <c r="F1" s="62" t="str">
        <f>RTD("tickerplantrtdserver",,"FWRC1#USDINR#Month End Rates#0#S#Desc.6")</f>
        <v>JUL-2023</v>
      </c>
      <c r="G1" s="62" t="str">
        <f>RTD("tickerplantrtdserver",,"FWRC1#USDINR#Month End Rates#0#S#Desc.7")</f>
        <v>AUG-2023</v>
      </c>
      <c r="H1" s="62" t="str">
        <f>RTD("tickerplantrtdserver",,"FWRC1#USDINR#Month End Rates#0#S#Desc.8")</f>
        <v>SEP-2023</v>
      </c>
      <c r="I1" s="62" t="str">
        <f>RTD("tickerplantrtdserver",,"FWRC1#USDINR#Month End Rates#0#S#Desc.9")</f>
        <v>OCT-2023</v>
      </c>
      <c r="J1" s="62" t="str">
        <f>RTD("tickerplantrtdserver",,"FWRC1#USDINR#Month End Rates#0#S#Desc.10")</f>
        <v>NOV-2023</v>
      </c>
      <c r="K1" s="62" t="str">
        <f>RTD("tickerplantrtdserver",,"FWRC1#USDINR#Month End Rates#0#S#Desc.11")</f>
        <v>DEC-2023</v>
      </c>
      <c r="L1" s="62" t="str">
        <f>RTD("tickerplantrtdserver",,"FWRC1#USDINR#Month End Rates#0#S#Desc.12")</f>
        <v>JAN-2024</v>
      </c>
      <c r="M1" s="62" t="str">
        <f>RTD("tickerplantrtdserver",,"FWRC1#USDINR#Month End Rates#0#S#Desc.13")</f>
        <v>FEB-2024</v>
      </c>
      <c r="N1" s="62" t="str">
        <f>RTD("tickerplantrtdserver",,"FWRC1#USDINR#Month End Rates#0#S#Desc.14")</f>
        <v>MAR-2024</v>
      </c>
      <c r="O1" s="63" t="str">
        <f>RTD("tickerplantrtdserver",,"FWRC1#USDINR#Month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107" t="str">
        <f>RTD("tickerplantrtdserver",,"FWRC1#USDINR#Month End Rates#0#S#MonthEndDate2")</f>
        <v>10-May-2023</v>
      </c>
      <c r="D2" s="107" t="str">
        <f>RTD("tickerplantrtdserver",,"FWRC1#USDINR#Month End Rates#0#S#MonthEndDate4")</f>
        <v>31-May-2023</v>
      </c>
      <c r="E2" s="107" t="str">
        <f t="array" ref="E2">RTD("tickerplantrtdserver",,"FWRC1#USDINR#Month End Rates#0#S#MonthEndDate5")</f>
        <v>30-Jun-2023</v>
      </c>
      <c r="F2" s="107" t="str">
        <f t="array" ref="F2">RTD("tickerplantrtdserver",,"FWRC1#USDINR#Month End Rates#0#S#MonthEndDate6")</f>
        <v>31-Jul-2023</v>
      </c>
      <c r="G2" s="107" t="str">
        <f t="array" ref="G2">RTD("tickerplantrtdserver",,"FWRC1#USDINR#Month End Rates#0#S#MonthEndDate7")</f>
        <v>31-Aug-2023</v>
      </c>
      <c r="H2" s="107" t="str">
        <f t="array" ref="H2">RTD("tickerplantrtdserver",,"FWRC1#USDINR#Month End Rates#0#S#MonthEndDate8")</f>
        <v>29-Sep-2023</v>
      </c>
      <c r="I2" s="107" t="str">
        <f t="array" ref="I2">RTD("tickerplantrtdserver",,"FWRC1#USDINR#Month End Rates#0#S#MonthEndDate9")</f>
        <v>31-Oct-2023</v>
      </c>
      <c r="J2" s="107" t="str">
        <f t="array" ref="J2">RTD("tickerplantrtdserver",,"FWRC1#USDINR#Month End Rates#0#S#MonthEndDate10")</f>
        <v>30-Nov-2023</v>
      </c>
      <c r="K2" s="107" t="str">
        <f t="array" ref="K2">RTD("tickerplantrtdserver",,"FWRC1#USDINR#Month End Rates#0#S#MonthEndDate11")</f>
        <v>29-Dec-2023</v>
      </c>
      <c r="L2" s="107" t="str">
        <f t="array" ref="L2">RTD("tickerplantrtdserver",,"FWRC1#USDINR#Month End Rates#0#S#MonthEndDate12")</f>
        <v>31-Jan-2024</v>
      </c>
      <c r="M2" s="107" t="str">
        <f t="array" ref="M2">RTD("tickerplantrtdserver",,"FWRC1#USDINR#Month End Rates#0#S#MonthEndDate13")</f>
        <v>29-Feb-2024</v>
      </c>
      <c r="N2" s="107" t="str">
        <f t="array" ref="N2">RTD("tickerplantrtdserver",,"FWRC1#USDINR#Month End Rates#0#S#MonthEndDate14")</f>
        <v>28-Mar-2024</v>
      </c>
      <c r="O2" s="108" t="str">
        <f>RTD("tickerplantrtdserver",,"FWRC1#USDINR#Month End Rates#0#S#MonthEndDate15")</f>
        <v>30-Apr-2024</v>
      </c>
      <c r="P2" s="30"/>
    </row>
    <row r="3" spans="1:18" s="14" customFormat="1" x14ac:dyDescent="0.25">
      <c r="A3" s="162" t="s">
        <v>4</v>
      </c>
      <c r="B3" s="163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  <c r="P3" s="15"/>
    </row>
    <row r="4" spans="1:18" s="14" customFormat="1" x14ac:dyDescent="0.25">
      <c r="A4" s="160" t="s">
        <v>47</v>
      </c>
      <c r="B4" s="161"/>
      <c r="C4" s="65">
        <f>RTD("tickerplantrtdserver",,"FWRC1#USDINR#Month End Rates#0#BidPrice2")</f>
        <v>0.4</v>
      </c>
      <c r="D4" s="65">
        <f>RTD("tickerplantrtdserver",,"FWRC1#USDINR#Month End Rates#0#BidPrice4")</f>
        <v>6.5</v>
      </c>
      <c r="E4" s="65">
        <f t="array" ref="E4">RTD("tickerplantrtdserver",,"FWRC1#USDINR#Month End Rates#0#BidPrice5")</f>
        <v>17.75</v>
      </c>
      <c r="F4" s="65">
        <f t="array" ref="F4">RTD("tickerplantrtdserver",,"FWRC1#USDINR#Month End Rates#0#BidPrice6")</f>
        <v>30.5</v>
      </c>
      <c r="G4" s="65">
        <f t="array" ref="G4">RTD("tickerplantrtdserver",,"FWRC1#USDINR#Month End Rates#0#BidPrice7")</f>
        <v>43.5</v>
      </c>
      <c r="H4" s="65">
        <f t="array" ref="H4">RTD("tickerplantrtdserver",,"FWRC1#USDINR#Month End Rates#0#BidPrice8")</f>
        <v>56</v>
      </c>
      <c r="I4" s="65">
        <f t="array" ref="I4">RTD("tickerplantrtdserver",,"FWRC1#USDINR#Month End Rates#0#BidPrice9")</f>
        <v>70.5</v>
      </c>
      <c r="J4" s="65">
        <f t="array" ref="J4">RTD("tickerplantrtdserver",,"FWRC1#USDINR#Month End Rates#0#BidPrice10")</f>
        <v>85</v>
      </c>
      <c r="K4" s="65">
        <f t="array" ref="K4">RTD("tickerplantrtdserver",,"FWRC1#USDINR#Month End Rates#0#BidPrice11")</f>
        <v>99</v>
      </c>
      <c r="L4" s="65">
        <f t="array" ref="L4">RTD("tickerplantrtdserver",,"FWRC1#USDINR#Month End Rates#0#BidPrice12")</f>
        <v>116.5</v>
      </c>
      <c r="M4" s="65">
        <f t="array" ref="M4">RTD("tickerplantrtdserver",,"FWRC1#USDINR#Month End Rates#0#BidPrice13")</f>
        <v>132.25</v>
      </c>
      <c r="N4" s="65">
        <f t="array" ref="N4">RTD("tickerplantrtdserver",,"FWRC1#USDINR#Month End Rates#0#BidPrice14")</f>
        <v>147.5</v>
      </c>
      <c r="O4" s="67">
        <f t="array" ref="O4">RTD("tickerplantrtdserver",,"FWRC1#USDINR#Month End Rates#0#BidPrice15")</f>
        <v>173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RTD("tickerplantrtdserver",,"FWRC1#USDINR#Month End Rates#0#AskPrice2")</f>
        <v>2</v>
      </c>
      <c r="D5" s="65">
        <f>RTD("tickerplantrtdserver",,"FWRC1#USDINR#Month End Rates#0#AskPrice4")</f>
        <v>8.5</v>
      </c>
      <c r="E5" s="65">
        <f t="array" ref="E5">RTD("tickerplantrtdserver",,"FWRC1#USDINR#Month End Rates#0#AskPrice5")</f>
        <v>19.75</v>
      </c>
      <c r="F5" s="65">
        <f t="array" ref="F5">RTD("tickerplantrtdserver",,"FWRC1#USDINR#Month End Rates#0#AskPrice6")</f>
        <v>32.5</v>
      </c>
      <c r="G5" s="65">
        <f t="array" ref="G5">RTD("tickerplantrtdserver",,"FWRC1#USDINR#Month End Rates#0#AskPrice7")</f>
        <v>45.5</v>
      </c>
      <c r="H5" s="65">
        <f t="array" ref="H5">RTD("tickerplantrtdserver",,"FWRC1#USDINR#Month End Rates#0#AskPrice8")</f>
        <v>58</v>
      </c>
      <c r="I5" s="65">
        <f t="array" ref="I5">RTD("tickerplantrtdserver",,"FWRC1#USDINR#Month End Rates#0#AskPrice9")</f>
        <v>72.5</v>
      </c>
      <c r="J5" s="65">
        <f t="array" ref="J5">RTD("tickerplantrtdserver",,"FWRC1#USDINR#Month End Rates#0#AskPrice10")</f>
        <v>87</v>
      </c>
      <c r="K5" s="65">
        <f t="array" ref="K5">RTD("tickerplantrtdserver",,"FWRC1#USDINR#Month End Rates#0#AskPrice11")</f>
        <v>101</v>
      </c>
      <c r="L5" s="65">
        <f t="array" ref="L5">RTD("tickerplantrtdserver",,"FWRC1#USDINR#Month End Rates#0#AskPrice12")</f>
        <v>118.5</v>
      </c>
      <c r="M5" s="65">
        <f t="array" ref="M5">RTD("tickerplantrtdserver",,"FWRC1#USDINR#Month End Rates#0#AskPrice13")</f>
        <v>134.25</v>
      </c>
      <c r="N5" s="65">
        <f t="array" ref="N5">RTD("tickerplantrtdserver",,"FWRC1#USDINR#Month End Rates#0#AskPrice14")</f>
        <v>149.5</v>
      </c>
      <c r="O5" s="67">
        <f t="array" ref="O5">RTD("tickerplantrtdserver",,"FWRC1#USDINR#Month End Rates#0#AskPrice15")</f>
        <v>175</v>
      </c>
      <c r="P5" s="20"/>
    </row>
    <row r="6" spans="1:18" s="14" customFormat="1" x14ac:dyDescent="0.25">
      <c r="A6" s="162" t="s">
        <v>3</v>
      </c>
      <c r="B6" s="163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  <c r="P6" s="20"/>
    </row>
    <row r="7" spans="1:18" s="14" customFormat="1" x14ac:dyDescent="0.25">
      <c r="A7" s="160" t="s">
        <v>47</v>
      </c>
      <c r="B7" s="161"/>
      <c r="C7" s="64">
        <f>USDINR!D2</f>
        <v>81.78</v>
      </c>
      <c r="D7" s="64">
        <f>USDINR!B2+(D4/100)</f>
        <v>81.864999999999995</v>
      </c>
      <c r="E7" s="64">
        <f>USDINR!B2+(E4/100)</f>
        <v>81.977499999999992</v>
      </c>
      <c r="F7" s="64">
        <f>USDINR!B2+(F4/100)</f>
        <v>82.105000000000004</v>
      </c>
      <c r="G7" s="64">
        <f>USDINR!B2+(G4/100)</f>
        <v>82.234999999999999</v>
      </c>
      <c r="H7" s="64">
        <f>USDINR!B2+(H4/100)</f>
        <v>82.36</v>
      </c>
      <c r="I7" s="64">
        <f>USDINR!B2+(I4/100)</f>
        <v>82.504999999999995</v>
      </c>
      <c r="J7" s="64">
        <f>USDINR!B2+(J4/100)</f>
        <v>82.649999999999991</v>
      </c>
      <c r="K7" s="64">
        <f>USDINR!B2+(K4/100)</f>
        <v>82.789999999999992</v>
      </c>
      <c r="L7" s="64">
        <f>USDINR!B2+(L4/100)</f>
        <v>82.965000000000003</v>
      </c>
      <c r="M7" s="64">
        <f>USDINR!B2+(M4/100)</f>
        <v>83.122500000000002</v>
      </c>
      <c r="N7" s="64">
        <f>USDINR!B2+(N4/100)</f>
        <v>83.274999999999991</v>
      </c>
      <c r="O7" s="68">
        <f>USDINR!B2+(O4/100)</f>
        <v>83.53</v>
      </c>
      <c r="P7" s="20"/>
    </row>
    <row r="8" spans="1:18" s="14" customFormat="1" x14ac:dyDescent="0.25">
      <c r="A8" s="160" t="s">
        <v>48</v>
      </c>
      <c r="B8" s="161"/>
      <c r="C8" s="64">
        <f>USDINR!D3</f>
        <v>81.801000000000002</v>
      </c>
      <c r="D8" s="64">
        <f>USDINR!B3+(D5/100)</f>
        <v>81.89</v>
      </c>
      <c r="E8" s="64">
        <f>USDINR!B3+(E5/100)</f>
        <v>82.002500000000012</v>
      </c>
      <c r="F8" s="64">
        <f>USDINR!B3+(F5/100)</f>
        <v>82.13000000000001</v>
      </c>
      <c r="G8" s="64">
        <f>USDINR!B3+(G5/100)</f>
        <v>82.26</v>
      </c>
      <c r="H8" s="64">
        <f>USDINR!B3+(H5/100)</f>
        <v>82.385000000000005</v>
      </c>
      <c r="I8" s="64">
        <f>USDINR!B3+(I5/100)</f>
        <v>82.53</v>
      </c>
      <c r="J8" s="64">
        <f>USDINR!B3+(J5/100)</f>
        <v>82.675000000000011</v>
      </c>
      <c r="K8" s="64">
        <f>USDINR!B3+(K5/100)</f>
        <v>82.815000000000012</v>
      </c>
      <c r="L8" s="64">
        <f>USDINR!B3+(L5/100)</f>
        <v>82.990000000000009</v>
      </c>
      <c r="M8" s="64">
        <f>USDINR!B3+(M5/100)</f>
        <v>83.147500000000008</v>
      </c>
      <c r="N8" s="64">
        <f>USDINR!B3+(N5/100)</f>
        <v>83.300000000000011</v>
      </c>
      <c r="O8" s="68">
        <f>USDINR!B3+(O5/100)</f>
        <v>83.555000000000007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6">
        <f t="array" ref="C10">RTD("tickerplantrtdserver",,"FWRC1#USDINR#Month End Rates#0#Bid%2")</f>
        <v>0.89239999999999997</v>
      </c>
      <c r="D10" s="66">
        <f t="array" ref="D10">RTD("tickerplantrtdserver",,"FWRC1#USDINR#Month End Rates#0#Bid%4")</f>
        <v>1.3811</v>
      </c>
      <c r="E10" s="65">
        <f t="array" ref="E10">RTD("tickerplantrtdserver",,"FWRC1#USDINR#Month End Rates#0#Bid%5")</f>
        <v>1.5529999999999999</v>
      </c>
      <c r="F10" s="65">
        <f t="array" ref="F10">RTD("tickerplantrtdserver",,"FWRC1#USDINR#Month End Rates#0#Bid%6")</f>
        <v>1.6597</v>
      </c>
      <c r="G10" s="65">
        <f t="array" ref="G10">RTD("tickerplantrtdserver",,"FWRC1#USDINR#Month End Rates#0#Bid%7")</f>
        <v>1.7177</v>
      </c>
      <c r="H10" s="65">
        <f t="array" ref="H10">RTD("tickerplantrtdserver",,"FWRC1#USDINR#Month End Rates#0#Bid%8")</f>
        <v>1.7597</v>
      </c>
      <c r="I10" s="65">
        <f t="array" ref="I10">RTD("tickerplantrtdserver",,"FWRC1#USDINR#Month End Rates#0#Bid%9")</f>
        <v>1.8079000000000001</v>
      </c>
      <c r="J10" s="65">
        <f t="array" ref="J10">RTD("tickerplantrtdserver",,"FWRC1#USDINR#Month End Rates#0#Bid%10")</f>
        <v>1.8592</v>
      </c>
      <c r="K10" s="65">
        <f t="array" ref="K10">RTD("tickerplantrtdserver",,"FWRC1#USDINR#Month End Rates#0#Bid%11")</f>
        <v>1.8958999999999999</v>
      </c>
      <c r="L10" s="65">
        <f t="array" ref="L10">RTD("tickerplantrtdserver",,"FWRC1#USDINR#Month End Rates#0#Bid%12")</f>
        <v>1.9542999999999999</v>
      </c>
      <c r="M10" s="65">
        <f t="array" ref="M10">RTD("tickerplantrtdserver",,"FWRC1#USDINR#Month End Rates#0#Bid%13")</f>
        <v>2.0004</v>
      </c>
      <c r="N10" s="65">
        <f t="array" ref="N10">RTD("tickerplantrtdserver",,"FWRC1#USDINR#Month End Rates#0#Bid%14")</f>
        <v>2.0375999999999999</v>
      </c>
      <c r="O10" s="67">
        <f t="array" ref="O10">RTD("tickerplantrtdserver",,"FWRC1#USDINR#Month End Rates#0#Bid%15")</f>
        <v>2.1684000000000001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RTD("tickerplantrtdserver",,"FWRC1#USDINR#Month End Rates#0#Ask%2")</f>
        <v>4.4626000000000001</v>
      </c>
      <c r="D11" s="69">
        <f t="array" ref="D11">RTD("tickerplantrtdserver",,"FWRC1#USDINR#Month End Rates#0#Ask%4")</f>
        <v>1.8063</v>
      </c>
      <c r="E11" s="69">
        <f t="array" ref="E11">RTD("tickerplantrtdserver",,"FWRC1#USDINR#Month End Rates#0#Ask%5")</f>
        <v>1.7282</v>
      </c>
      <c r="F11" s="69">
        <f t="array" ref="F11">RTD("tickerplantrtdserver",,"FWRC1#USDINR#Month End Rates#0#Ask%6")</f>
        <v>1.7686999999999999</v>
      </c>
      <c r="G11" s="69">
        <f t="array" ref="G11">RTD("tickerplantrtdserver",,"FWRC1#USDINR#Month End Rates#0#Ask%7")</f>
        <v>1.7968999999999999</v>
      </c>
      <c r="H11" s="69">
        <f t="array" ref="H11">RTD("tickerplantrtdserver",,"FWRC1#USDINR#Month End Rates#0#Ask%8")</f>
        <v>1.8228</v>
      </c>
      <c r="I11" s="69">
        <f t="array" ref="I11">RTD("tickerplantrtdserver",,"FWRC1#USDINR#Month End Rates#0#Ask%9")</f>
        <v>1.8593999999999999</v>
      </c>
      <c r="J11" s="69">
        <f t="array" ref="J11">RTD("tickerplantrtdserver",,"FWRC1#USDINR#Month End Rates#0#Ask%10")</f>
        <v>1.9032</v>
      </c>
      <c r="K11" s="69">
        <f t="array" ref="K11">RTD("tickerplantrtdserver",,"FWRC1#USDINR#Month End Rates#0#Ask%11")</f>
        <v>1.9345000000000001</v>
      </c>
      <c r="L11" s="69">
        <f t="array" ref="L11">RTD("tickerplantrtdserver",,"FWRC1#USDINR#Month End Rates#0#Ask%12")</f>
        <v>1.9881</v>
      </c>
      <c r="M11" s="69">
        <f t="array" ref="M11">RTD("tickerplantrtdserver",,"FWRC1#USDINR#Month End Rates#0#Ask%13")</f>
        <v>2.0308999999999999</v>
      </c>
      <c r="N11" s="69">
        <f t="array" ref="N11">RTD("tickerplantrtdserver",,"FWRC1#USDINR#Month End Rates#0#Ask%14")</f>
        <v>2.0655000000000001</v>
      </c>
      <c r="O11" s="70">
        <f t="array" ref="O11">RTD("tickerplantrtdserver",,"FWRC1#USDINR#Month End Rates#0#Ask%15")</f>
        <v>2.1937000000000002</v>
      </c>
    </row>
    <row r="12" spans="1:18" s="14" customFormat="1" ht="15.75" customHeight="1" x14ac:dyDescent="0.25"/>
    <row r="13" spans="1:18" s="14" customFormat="1" x14ac:dyDescent="0.25"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Q13" s="23"/>
      <c r="R13" s="23"/>
    </row>
    <row r="14" spans="1:18" s="14" customFormat="1" x14ac:dyDescent="0.25"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31"/>
      <c r="Q14" s="31"/>
      <c r="R14" s="31"/>
    </row>
    <row r="15" spans="1:18" s="14" customFormat="1" x14ac:dyDescent="0.25"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 s="14" customForma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6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6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6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6" s="2" customFormat="1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6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6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1:16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6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6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6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6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6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x14ac:dyDescent="0.25">
      <c r="A36" s="1"/>
      <c r="B36" s="1"/>
    </row>
  </sheetData>
  <mergeCells count="12">
    <mergeCell ref="A10:B10"/>
    <mergeCell ref="A11:B11"/>
    <mergeCell ref="A8:B8"/>
    <mergeCell ref="A9:B9"/>
    <mergeCell ref="C9:O9"/>
    <mergeCell ref="A1:B1"/>
    <mergeCell ref="A7:B7"/>
    <mergeCell ref="A5:B5"/>
    <mergeCell ref="A4:B4"/>
    <mergeCell ref="A2:B2"/>
    <mergeCell ref="A6:B6"/>
    <mergeCell ref="A3:B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43"/>
  <sheetViews>
    <sheetView zoomScale="110" zoomScaleNormal="110" workbookViewId="0">
      <selection activeCell="C7" sqref="C7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3" t="str">
        <f t="array" ref="C1">RTD("tickerplantrtdserver",,"FWRC1#USDINR#Month Wise Rates#0#S#Desc.2")</f>
        <v>TN</v>
      </c>
      <c r="D1" s="73" t="str">
        <f t="array" ref="D1">RTD("tickerplantrtdserver",,"FWRC1#USDINR#Month Wise Rates#0#S#Desc.7")</f>
        <v>1M</v>
      </c>
      <c r="E1" s="73" t="str">
        <f t="array" ref="E1">RTD("tickerplantrtdserver",,"FWRC1#USDINR#Month Wise Rates#0#S#Desc.8")</f>
        <v>2M</v>
      </c>
      <c r="F1" s="73" t="str">
        <f t="array" ref="F1">RTD("tickerplantrtdserver",,"FWRC1#USDINR#Month Wise Rates#0#S#Desc.9")</f>
        <v>3M</v>
      </c>
      <c r="G1" s="73" t="str">
        <f t="array" ref="G1">RTD("tickerplantrtdserver",,"FWRC1#USDINR#Month Wise Rates#0#S#Desc.10")</f>
        <v>4M</v>
      </c>
      <c r="H1" s="73" t="str">
        <f t="array" ref="H1">RTD("tickerplantrtdserver",,"FWRC1#USDINR#Month Wise Rates#0#S#Desc.11")</f>
        <v>5M</v>
      </c>
      <c r="I1" s="73" t="str">
        <f t="array" ref="I1">RTD("tickerplantrtdserver",,"FWRC1#USDINR#Month Wise Rates#0#S#Desc.12")</f>
        <v>6M</v>
      </c>
      <c r="J1" s="73" t="str">
        <f t="array" ref="J1">RTD("tickerplantrtdserver",,"FWRC1#USDINR#Month Wise Rates#0#S#Desc.13")</f>
        <v>7M</v>
      </c>
      <c r="K1" s="73" t="str">
        <f t="array" ref="K1">RTD("tickerplantrtdserver",,"FWRC1#USDINR#Month Wise Rates#0#S#Desc.14")</f>
        <v>8M</v>
      </c>
      <c r="L1" s="73" t="str">
        <f t="array" ref="L1">RTD("tickerplantrtdserver",,"FWRC1#USDINR#Month Wise Rates#0#S#Desc.15")</f>
        <v>9M</v>
      </c>
      <c r="M1" s="73" t="str">
        <f t="array" ref="M1">RTD("tickerplantrtdserver",,"FWRC1#USDINR#Month Wise Rates#0#S#Desc.16")</f>
        <v>10M</v>
      </c>
      <c r="N1" s="73" t="str">
        <f t="array" ref="N1">RTD("tickerplantrtdserver",,"FWRC1#USDINR#Month Wise Rates#0#S#Desc.17")</f>
        <v>11M</v>
      </c>
      <c r="O1" s="74" t="str">
        <f t="array" ref="O1">RTD("tickerplantrtdserver",,"FWRC1#USDINR#Month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2" t="str">
        <f t="array" ref="C2">RTD("tickerplantrtdserver",,"FWRC1#USDINR#Month Wise Rates#0#S#PillarDate2")</f>
        <v>10-May-2023</v>
      </c>
      <c r="D2" s="71" t="str">
        <f t="array" ref="D2">RTD("tickerplantrtdserver",,"FWRC1#USDINR#Month Wise Rates#0#S#PillarDate7")</f>
        <v>12-Jun-2023</v>
      </c>
      <c r="E2" s="71" t="str">
        <f t="array" ref="E2">RTD("tickerplantrtdserver",,"FWRC1#USDINR#Month Wise Rates#0#S#PillarDate8")</f>
        <v>10-Jul-2023</v>
      </c>
      <c r="F2" s="71" t="str">
        <f t="array" ref="F2">RTD("tickerplantrtdserver",,"FWRC1#USDINR#Month Wise Rates#0#S#PillarDate9")</f>
        <v>10-Aug-2023</v>
      </c>
      <c r="G2" s="71" t="str">
        <f t="array" ref="G2">RTD("tickerplantrtdserver",,"FWRC1#USDINR#Month Wise Rates#0#S#PillarDate10")</f>
        <v>11-Sep-2023</v>
      </c>
      <c r="H2" s="71" t="str">
        <f t="array" ref="H2">RTD("tickerplantrtdserver",,"FWRC1#USDINR#Month Wise Rates#0#S#PillarDate11")</f>
        <v>10-Oct-2023</v>
      </c>
      <c r="I2" s="71" t="str">
        <f t="array" ref="I2">RTD("tickerplantrtdserver",,"FWRC1#USDINR#Month Wise Rates#0#S#PillarDate12")</f>
        <v>13-Nov-2023</v>
      </c>
      <c r="J2" s="71" t="str">
        <f t="array" ref="J2">RTD("tickerplantrtdserver",,"FWRC1#USDINR#Month Wise Rates#0#S#PillarDate13")</f>
        <v>11-Dec-2023</v>
      </c>
      <c r="K2" s="71" t="str">
        <f t="array" ref="K2">RTD("tickerplantrtdserver",,"FWRC1#USDINR#Month Wise Rates#0#S#PillarDate14")</f>
        <v>10-Jan-2024</v>
      </c>
      <c r="L2" s="71" t="str">
        <f t="array" ref="L2">RTD("tickerplantrtdserver",,"FWRC1#USDINR#Month Wise Rates#0#S#PillarDate15")</f>
        <v>12-Feb-2024</v>
      </c>
      <c r="M2" s="71" t="str">
        <f t="array" ref="M2">RTD("tickerplantrtdserver",,"FWRC1#USDINR#Month Wise Rates#0#S#PillarDate16")</f>
        <v>11-Mar-2024</v>
      </c>
      <c r="N2" s="71" t="str">
        <f t="array" ref="N2">RTD("tickerplantrtdserver",,"FWRC1#USDINR#Month Wise Rates#0#S#PillarDate17")</f>
        <v>10-Apr-2024</v>
      </c>
      <c r="O2" s="75" t="str">
        <f t="array" ref="O2">RTD("tickerplantrtdserver",,"FWRC1#USDINR#Month Wise Rates#0#S#PillarDate18")</f>
        <v>10-May-2024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RTD("tickerplantrtdserver",,"FWRC1#USDINR#Month Wise Rates#0#BidPrice3")</f>
        <v>0.3095</v>
      </c>
      <c r="D4" s="65">
        <f>RTD("tickerplantrtdserver",,"FWRC1#USDINR#Month Wise Rates#0#BidPrice7")</f>
        <v>11</v>
      </c>
      <c r="E4" s="65">
        <f t="array" ref="E4">RTD("tickerplantrtdserver",,"FWRC1#USDINR#Month Wise Rates#0#BidPrice8")</f>
        <v>21.8629</v>
      </c>
      <c r="F4" s="65">
        <f t="array" ref="F4">RTD("tickerplantrtdserver",,"FWRC1#USDINR#Month Wise Rates#0#BidPrice9")</f>
        <v>34.6935</v>
      </c>
      <c r="G4" s="65">
        <f>RTD("tickerplantrtdserver",,"FWRC1#USDINR#Month Wise Rates#0#BidPrice10")</f>
        <v>48.241399999999999</v>
      </c>
      <c r="H4" s="65">
        <f t="array" ref="H4">RTD("tickerplantrtdserver",,"FWRC1#USDINR#Month Wise Rates#0#BidPrice11")</f>
        <v>60.984400000000001</v>
      </c>
      <c r="I4" s="65">
        <f t="array" ref="I4">RTD("tickerplantrtdserver",,"FWRC1#USDINR#Month Wise Rates#0#BidPrice12")</f>
        <v>76.783299999999997</v>
      </c>
      <c r="J4" s="65">
        <f t="array" ref="J4">RTD("tickerplantrtdserver",,"FWRC1#USDINR#Month Wise Rates#0#BidPrice13")</f>
        <v>90.310299999999998</v>
      </c>
      <c r="K4" s="65">
        <f t="array" ref="K4">RTD("tickerplantrtdserver",,"FWRC1#USDINR#Month Wise Rates#0#BidPrice14")</f>
        <v>105.36360000000001</v>
      </c>
      <c r="L4" s="65">
        <f t="array" ref="L4">RTD("tickerplantrtdserver",,"FWRC1#USDINR#Month Wise Rates#0#BidPrice15")</f>
        <v>123.0172</v>
      </c>
      <c r="M4" s="65">
        <f t="array" ref="M4">RTD("tickerplantrtdserver",,"FWRC1#USDINR#Month Wise Rates#0#BidPrice16")</f>
        <v>138.24109999999999</v>
      </c>
      <c r="N4" s="65">
        <f t="array" ref="N4">RTD("tickerplantrtdserver",,"FWRC1#USDINR#Month Wise Rates#0#BidPrice17")</f>
        <v>157.5455</v>
      </c>
      <c r="O4" s="67">
        <f t="array" ref="O4">RTD("tickerplantrtdserver",,"FWRC1#USDINR#Month Wise Rates#0#BidPrice18")</f>
        <v>180.72730000000001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RTD("tickerplantrtdserver",,"FWRC1#USDINR#Month Wise Rates#0#AskPrice3")</f>
        <v>0.40479999999999999</v>
      </c>
      <c r="D5" s="65">
        <f t="array" ref="D5">RTD("tickerplantrtdserver",,"FWRC1#USDINR#Month Wise Rates#0#AskPrice7")</f>
        <v>13</v>
      </c>
      <c r="E5" s="65">
        <f t="array" ref="E5">RTD("tickerplantrtdserver",,"FWRC1#USDINR#Month Wise Rates#0#AskPrice8")</f>
        <v>23.8629</v>
      </c>
      <c r="F5" s="65">
        <f t="array" ref="F5">RTD("tickerplantrtdserver",,"FWRC1#USDINR#Month Wise Rates#0#AskPrice9")</f>
        <v>36.6935</v>
      </c>
      <c r="G5" s="65">
        <f t="array" ref="G5">RTD("tickerplantrtdserver",,"FWRC1#USDINR#Month Wise Rates#0#AskPrice10")</f>
        <v>50.241399999999999</v>
      </c>
      <c r="H5" s="65">
        <f t="array" ref="H5">RTD("tickerplantrtdserver",,"FWRC1#USDINR#Month Wise Rates#0#AskPrice11")</f>
        <v>62.984400000000001</v>
      </c>
      <c r="I5" s="65">
        <f t="array" ref="I5">RTD("tickerplantrtdserver",,"FWRC1#USDINR#Month Wise Rates#0#AskPrice12")</f>
        <v>78.783299999999997</v>
      </c>
      <c r="J5" s="65">
        <f t="array" ref="J5">RTD("tickerplantrtdserver",,"FWRC1#USDINR#Month Wise Rates#0#AskPrice13")</f>
        <v>92.310299999999998</v>
      </c>
      <c r="K5" s="65">
        <f t="array" ref="K5">RTD("tickerplantrtdserver",,"FWRC1#USDINR#Month Wise Rates#0#AskPrice14")</f>
        <v>107.36360000000001</v>
      </c>
      <c r="L5" s="65">
        <f t="array" ref="L5">RTD("tickerplantrtdserver",,"FWRC1#USDINR#Month Wise Rates#0#AskPrice15")</f>
        <v>125.0172</v>
      </c>
      <c r="M5" s="65">
        <f t="array" ref="M5">RTD("tickerplantrtdserver",,"FWRC1#USDINR#Month Wise Rates#0#AskPrice16")</f>
        <v>140.24109999999999</v>
      </c>
      <c r="N5" s="65">
        <f t="array" ref="N5">RTD("tickerplantrtdserver",,"FWRC1#USDINR#Month Wise Rates#0#AskPrice17")</f>
        <v>159.5455</v>
      </c>
      <c r="O5" s="67">
        <f t="array" ref="O5">RTD("tickerplantrtdserver",,"FWRC1#USDINR#Month Wise Rates#0#AskPrice18")</f>
        <v>182.72730000000001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>USDINR!F2</f>
        <v>81.789999999999992</v>
      </c>
      <c r="D7" s="64">
        <f>USDINR!B2+(D4/100)</f>
        <v>81.91</v>
      </c>
      <c r="E7" s="64">
        <f>USDINR!B2+(E4/100)</f>
        <v>82.018629000000004</v>
      </c>
      <c r="F7" s="64">
        <f>USDINR!B2+(F4/100)</f>
        <v>82.146934999999999</v>
      </c>
      <c r="G7" s="64">
        <f>USDINR!B2+(G4/100)</f>
        <v>82.282414000000003</v>
      </c>
      <c r="H7" s="64">
        <f>USDINR!B2+(H4/100)</f>
        <v>82.409843999999993</v>
      </c>
      <c r="I7" s="64">
        <f>USDINR!B2+(I4/100)</f>
        <v>82.567832999999993</v>
      </c>
      <c r="J7" s="64">
        <f>USDINR!B2+(J4/100)</f>
        <v>82.703102999999999</v>
      </c>
      <c r="K7" s="64">
        <f>USDINR!B2+(K4/100)</f>
        <v>82.853635999999995</v>
      </c>
      <c r="L7" s="64">
        <f>USDINR!B2+(L4/100)</f>
        <v>83.030171999999993</v>
      </c>
      <c r="M7" s="64">
        <f>USDINR!B2+(M4/100)</f>
        <v>83.182411000000002</v>
      </c>
      <c r="N7" s="64">
        <f>USDINR!B2+(N4/100)</f>
        <v>83.375455000000002</v>
      </c>
      <c r="O7" s="68">
        <f>USDINR!B2+(O4/100)</f>
        <v>83.607272999999992</v>
      </c>
      <c r="P7" s="20"/>
    </row>
    <row r="8" spans="1:18" s="14" customFormat="1" x14ac:dyDescent="0.25">
      <c r="A8" s="160" t="s">
        <v>48</v>
      </c>
      <c r="B8" s="161"/>
      <c r="C8" s="64">
        <f>USDINR!F3</f>
        <v>81.803000000000011</v>
      </c>
      <c r="D8" s="64">
        <f>USDINR!B3+(D5/100)</f>
        <v>81.935000000000002</v>
      </c>
      <c r="E8" s="64">
        <f>USDINR!B3+(E5/100)</f>
        <v>82.04362900000001</v>
      </c>
      <c r="F8" s="64">
        <f>USDINR!B3+(F5/100)</f>
        <v>82.171935000000005</v>
      </c>
      <c r="G8" s="64">
        <f>USDINR!B3+(G5/100)</f>
        <v>82.307414000000009</v>
      </c>
      <c r="H8" s="64">
        <f>USDINR!B3+(H5/100)</f>
        <v>82.434844000000012</v>
      </c>
      <c r="I8" s="64">
        <f>USDINR!B3+(I5/100)</f>
        <v>82.592833000000013</v>
      </c>
      <c r="J8" s="64">
        <f>USDINR!B3+(J5/100)</f>
        <v>82.728103000000004</v>
      </c>
      <c r="K8" s="64">
        <f>USDINR!B3+(K5/100)</f>
        <v>82.878636</v>
      </c>
      <c r="L8" s="64">
        <f>USDINR!B3+(L5/100)</f>
        <v>83.055172000000013</v>
      </c>
      <c r="M8" s="64">
        <f>USDINR!B3+(M5/100)</f>
        <v>83.207411000000008</v>
      </c>
      <c r="N8" s="64">
        <f>USDINR!B3+(N5/100)</f>
        <v>83.400455000000008</v>
      </c>
      <c r="O8" s="68">
        <f>USDINR!B3+(O5/100)</f>
        <v>83.632273000000012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>RTD("tickerplantrtdserver",,"FWRC1#USDINR#Month Wise Rates#0#Bid%3")</f>
        <v>1.3811</v>
      </c>
      <c r="D10" s="65">
        <f t="array" ref="D10">RTD("tickerplantrtdserver",,"FWRC1#USDINR#Month Wise Rates#0#Bid%7")</f>
        <v>1.4874000000000001</v>
      </c>
      <c r="E10" s="65">
        <f t="array" ref="E10">RTD("tickerplantrtdserver",,"FWRC1#USDINR#Month Wise Rates#0#Bid%8")</f>
        <v>1.5992999999999999</v>
      </c>
      <c r="F10" s="65">
        <f t="array" ref="F10">RTD("tickerplantrtdserver",,"FWRC1#USDINR#Month Wise Rates#0#Bid%9")</f>
        <v>1.6827000000000001</v>
      </c>
      <c r="G10" s="65">
        <f t="array" ref="G10">RTD("tickerplantrtdserver",,"FWRC1#USDINR#Month Wise Rates#0#Bid%10")</f>
        <v>1.736</v>
      </c>
      <c r="H10" s="65">
        <f t="array" ref="H10">RTD("tickerplantrtdserver",,"FWRC1#USDINR#Month Wise Rates#0#Bid%11")</f>
        <v>1.7786</v>
      </c>
      <c r="I10" s="65">
        <f t="array" ref="I10">RTD("tickerplantrtdserver",,"FWRC1#USDINR#Month Wise Rates#0#Bid%12")</f>
        <v>1.8322000000000001</v>
      </c>
      <c r="J10" s="65">
        <f t="array" ref="J10">RTD("tickerplantrtdserver",,"FWRC1#USDINR#Month Wise Rates#0#Bid%13")</f>
        <v>1.8743000000000001</v>
      </c>
      <c r="K10" s="65">
        <f t="array" ref="K10">RTD("tickerplantrtdserver",,"FWRC1#USDINR#Month Wise Rates#0#Bid%14")</f>
        <v>1.919</v>
      </c>
      <c r="L10" s="65">
        <f t="array" ref="L10">RTD("tickerplantrtdserver",,"FWRC1#USDINR#Month Wise Rates#0#Bid%15")</f>
        <v>1.9744999999999999</v>
      </c>
      <c r="M10" s="65">
        <f t="array" ref="M10">RTD("tickerplantrtdserver",,"FWRC1#USDINR#Month Wise Rates#0#Bid%16")</f>
        <v>2.0158</v>
      </c>
      <c r="N10" s="65">
        <f t="array" ref="N10">RTD("tickerplantrtdserver",,"FWRC1#USDINR#Month Wise Rates#0#Bid%17")</f>
        <v>2.0922000000000001</v>
      </c>
      <c r="O10" s="67">
        <f t="array" ref="O10">RTD("tickerplantrtdserver",,"FWRC1#USDINR#Month Wise Rates#0#Bid%18")</f>
        <v>2.2033</v>
      </c>
    </row>
    <row r="11" spans="1:18" s="14" customFormat="1" ht="15.75" thickBot="1" x14ac:dyDescent="0.3">
      <c r="A11" s="164" t="s">
        <v>48</v>
      </c>
      <c r="B11" s="165"/>
      <c r="C11" s="69">
        <f>RTD("tickerplantrtdserver",,"FWRC1#USDINR#Month Wise Rates#0#Ask%3")</f>
        <v>1.8063</v>
      </c>
      <c r="D11" s="69">
        <f t="array" ref="D11">RTD("tickerplantrtdserver",,"FWRC1#USDINR#Month Wise Rates#0#Ask%7")</f>
        <v>1.758</v>
      </c>
      <c r="E11" s="69">
        <f t="array" ref="E11">RTD("tickerplantrtdserver",,"FWRC1#USDINR#Month Wise Rates#0#Ask%8")</f>
        <v>1.7458</v>
      </c>
      <c r="F11" s="69">
        <f t="array" ref="F11">RTD("tickerplantrtdserver",,"FWRC1#USDINR#Month Wise Rates#0#Ask%9")</f>
        <v>1.7799</v>
      </c>
      <c r="G11" s="69">
        <f t="array" ref="G11">RTD("tickerplantrtdserver",,"FWRC1#USDINR#Month Wise Rates#0#Ask%10")</f>
        <v>1.8081</v>
      </c>
      <c r="H11" s="69">
        <f t="array" ref="H11">RTD("tickerplantrtdserver",,"FWRC1#USDINR#Month Wise Rates#0#Ask%11")</f>
        <v>1.8371</v>
      </c>
      <c r="I11" s="69">
        <f t="array" ref="I11">RTD("tickerplantrtdserver",,"FWRC1#USDINR#Month Wise Rates#0#Ask%12")</f>
        <v>1.8801000000000001</v>
      </c>
      <c r="J11" s="69">
        <f t="array" ref="J11">RTD("tickerplantrtdserver",,"FWRC1#USDINR#Month Wise Rates#0#Ask%13")</f>
        <v>1.9159999999999999</v>
      </c>
      <c r="K11" s="69">
        <f t="array" ref="K11">RTD("tickerplantrtdserver",,"FWRC1#USDINR#Month Wise Rates#0#Ask%14")</f>
        <v>1.9556</v>
      </c>
      <c r="L11" s="69">
        <f t="array" ref="L11">RTD("tickerplantrtdserver",,"FWRC1#USDINR#Month Wise Rates#0#Ask%15")</f>
        <v>2.0068999999999999</v>
      </c>
      <c r="M11" s="69">
        <f t="array" ref="M11">RTD("tickerplantrtdserver",,"FWRC1#USDINR#Month Wise Rates#0#Ask%16")</f>
        <v>2.0453000000000001</v>
      </c>
      <c r="N11" s="69">
        <f t="array" ref="N11">RTD("tickerplantrtdserver",,"FWRC1#USDINR#Month Wise Rates#0#Ask%17")</f>
        <v>2.1190000000000002</v>
      </c>
      <c r="O11" s="70">
        <f t="array" ref="O11">RTD("tickerplantrtdserver",,"FWRC1#USDINR#Month Wise Rates#0#Ask%18")</f>
        <v>2.2280000000000002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33"/>
      <c r="G15" s="34"/>
      <c r="H15" s="34"/>
      <c r="I15" s="34"/>
      <c r="J15" s="21"/>
      <c r="L15" s="58"/>
      <c r="M15" s="58"/>
      <c r="N15" s="58"/>
      <c r="P15" s="31"/>
      <c r="Q15" s="31"/>
      <c r="R15" s="31"/>
    </row>
    <row r="16" spans="1:18" s="14" customFormat="1" x14ac:dyDescent="0.25">
      <c r="A16" s="13"/>
      <c r="B16" s="21"/>
      <c r="C16" s="21"/>
      <c r="D16" s="58"/>
      <c r="E16" s="21"/>
      <c r="F16" s="33"/>
      <c r="G16" s="34"/>
      <c r="H16" s="34"/>
      <c r="I16" s="34"/>
      <c r="J16" s="21"/>
      <c r="L16" s="58"/>
      <c r="M16" s="58"/>
      <c r="N16" s="58"/>
      <c r="P16" s="31"/>
      <c r="Q16" s="31"/>
      <c r="R16" s="31"/>
    </row>
    <row r="17" spans="1:18" s="14" customFormat="1" x14ac:dyDescent="0.25">
      <c r="A17" s="13"/>
      <c r="B17" s="21"/>
      <c r="C17" s="21"/>
      <c r="D17" s="58"/>
      <c r="E17" s="21"/>
      <c r="F17" s="33"/>
      <c r="G17" s="34"/>
      <c r="H17" s="34"/>
      <c r="I17" s="34"/>
      <c r="J17" s="21"/>
      <c r="L17" s="58"/>
      <c r="M17" s="58"/>
      <c r="N17" s="58"/>
      <c r="P17" s="31"/>
      <c r="Q17" s="31"/>
      <c r="R17" s="31"/>
    </row>
    <row r="18" spans="1:18" s="14" customFormat="1" x14ac:dyDescent="0.25">
      <c r="A18" s="13"/>
      <c r="B18" s="21"/>
      <c r="C18" s="21"/>
      <c r="D18" s="58"/>
      <c r="E18" s="21"/>
      <c r="F18" s="33"/>
      <c r="G18" s="34"/>
      <c r="H18" s="34"/>
      <c r="I18" s="34"/>
      <c r="J18" s="21"/>
      <c r="L18" s="58"/>
      <c r="M18" s="58"/>
      <c r="N18" s="58"/>
      <c r="P18" s="31"/>
      <c r="Q18" s="31"/>
      <c r="R18" s="31"/>
    </row>
    <row r="19" spans="1:18" s="14" customFormat="1" x14ac:dyDescent="0.25">
      <c r="A19" s="13"/>
      <c r="B19" s="21"/>
      <c r="C19" s="21"/>
      <c r="D19" s="58"/>
      <c r="E19" s="21"/>
      <c r="F19" s="33"/>
      <c r="G19" s="34"/>
      <c r="H19" s="34"/>
      <c r="I19" s="34"/>
      <c r="J19" s="21"/>
      <c r="L19" s="58"/>
      <c r="M19" s="58"/>
      <c r="N19" s="58"/>
      <c r="P19" s="31"/>
      <c r="Q19" s="31"/>
      <c r="R19" s="31"/>
    </row>
    <row r="20" spans="1:18" s="14" customFormat="1" x14ac:dyDescent="0.25">
      <c r="A20" s="13"/>
      <c r="B20" s="21"/>
      <c r="C20" s="21"/>
      <c r="D20" s="58"/>
      <c r="E20" s="21"/>
      <c r="F20" s="33"/>
      <c r="G20" s="34"/>
      <c r="H20" s="34"/>
      <c r="I20" s="34"/>
      <c r="J20" s="21"/>
      <c r="L20" s="58"/>
      <c r="M20" s="58"/>
      <c r="N20" s="58"/>
      <c r="P20" s="31"/>
      <c r="Q20" s="31"/>
      <c r="R20" s="31"/>
    </row>
    <row r="21" spans="1:18" x14ac:dyDescent="0.25">
      <c r="A21" s="13"/>
      <c r="B21" s="21"/>
      <c r="C21" s="21"/>
      <c r="D21" s="58"/>
      <c r="E21" s="21"/>
      <c r="F21" s="33"/>
      <c r="G21" s="34"/>
      <c r="H21" s="34"/>
      <c r="I21" s="34"/>
      <c r="J21" s="21"/>
      <c r="K21" s="14"/>
      <c r="L21" s="58"/>
      <c r="M21" s="58"/>
      <c r="N21" s="58"/>
      <c r="O21" s="14"/>
      <c r="P21" s="31"/>
      <c r="Q21" s="31"/>
      <c r="R21" s="31"/>
    </row>
    <row r="22" spans="1:18" x14ac:dyDescent="0.25">
      <c r="A22" s="13"/>
      <c r="B22" s="21"/>
      <c r="C22" s="21"/>
      <c r="D22" s="58"/>
      <c r="E22" s="21"/>
      <c r="F22" s="33"/>
      <c r="G22" s="34"/>
      <c r="H22" s="34"/>
      <c r="I22" s="34"/>
      <c r="J22" s="21"/>
      <c r="K22" s="14"/>
      <c r="L22" s="58"/>
      <c r="M22" s="58"/>
      <c r="N22" s="58"/>
      <c r="O22" s="14"/>
      <c r="P22" s="31"/>
      <c r="Q22" s="31"/>
      <c r="R22" s="31"/>
    </row>
    <row r="23" spans="1:18" x14ac:dyDescent="0.25">
      <c r="A23" s="13"/>
      <c r="B23" s="21"/>
      <c r="C23" s="21"/>
      <c r="D23" s="58"/>
      <c r="E23" s="21"/>
      <c r="F23" s="33"/>
      <c r="G23" s="34"/>
      <c r="H23" s="34"/>
      <c r="I23" s="34"/>
      <c r="J23" s="21"/>
      <c r="K23" s="14"/>
      <c r="L23" s="58"/>
      <c r="M23" s="58"/>
      <c r="N23" s="58"/>
      <c r="O23" s="14"/>
      <c r="P23" s="31"/>
      <c r="Q23" s="31"/>
      <c r="R23" s="31"/>
    </row>
    <row r="24" spans="1:18" s="2" customFormat="1" x14ac:dyDescent="0.25">
      <c r="A24" s="13"/>
      <c r="B24" s="21"/>
      <c r="C24" s="21"/>
      <c r="D24" s="58"/>
      <c r="E24" s="21"/>
      <c r="F24" s="33"/>
      <c r="G24" s="34"/>
      <c r="H24" s="34"/>
      <c r="I24" s="34"/>
      <c r="J24" s="21"/>
      <c r="K24" s="14"/>
      <c r="L24" s="58"/>
      <c r="M24" s="58"/>
      <c r="N24" s="58"/>
      <c r="O24" s="14"/>
      <c r="P24" s="31"/>
      <c r="Q24" s="31"/>
      <c r="R24" s="31"/>
    </row>
    <row r="25" spans="1:18" x14ac:dyDescent="0.25">
      <c r="A25" s="13"/>
      <c r="B25" s="21"/>
      <c r="C25" s="21"/>
      <c r="D25" s="58"/>
      <c r="E25" s="21"/>
      <c r="F25" s="33"/>
      <c r="G25" s="34"/>
      <c r="H25" s="34"/>
      <c r="I25" s="34"/>
      <c r="J25" s="21"/>
      <c r="K25" s="14"/>
      <c r="L25" s="58"/>
      <c r="M25" s="58"/>
      <c r="N25" s="58"/>
      <c r="O25" s="14"/>
      <c r="P25" s="31"/>
      <c r="Q25" s="31"/>
      <c r="R25" s="31"/>
    </row>
    <row r="26" spans="1:18" x14ac:dyDescent="0.25">
      <c r="A26" s="13"/>
      <c r="B26" s="21"/>
      <c r="C26" s="21"/>
      <c r="D26" s="58"/>
      <c r="E26" s="21"/>
      <c r="F26" s="33"/>
      <c r="G26" s="34"/>
      <c r="H26" s="34"/>
      <c r="I26" s="34"/>
      <c r="J26" s="21"/>
      <c r="K26" s="14"/>
      <c r="L26" s="58"/>
      <c r="M26" s="58"/>
      <c r="N26" s="58"/>
      <c r="O26" s="14"/>
      <c r="P26" s="31"/>
      <c r="Q26" s="31"/>
      <c r="R26" s="31"/>
    </row>
    <row r="27" spans="1:18" x14ac:dyDescent="0.25">
      <c r="A27" s="13"/>
      <c r="B27" s="21"/>
      <c r="C27" s="21"/>
      <c r="D27" s="58"/>
      <c r="E27" s="21"/>
      <c r="F27" s="33"/>
      <c r="G27" s="34"/>
      <c r="H27" s="34"/>
      <c r="I27" s="34"/>
      <c r="J27" s="21"/>
      <c r="K27" s="14"/>
      <c r="L27" s="58"/>
      <c r="M27" s="58"/>
      <c r="N27" s="58"/>
      <c r="O27" s="14"/>
      <c r="P27" s="31"/>
      <c r="Q27" s="31"/>
      <c r="R27" s="31"/>
    </row>
    <row r="28" spans="1:18" x14ac:dyDescent="0.25">
      <c r="A28" s="13"/>
      <c r="B28" s="21"/>
      <c r="C28" s="21"/>
      <c r="D28" s="58"/>
      <c r="E28" s="21"/>
      <c r="F28" s="33"/>
      <c r="G28" s="34"/>
      <c r="H28" s="34"/>
      <c r="I28" s="34"/>
      <c r="J28" s="21"/>
      <c r="K28" s="14"/>
      <c r="L28" s="58"/>
      <c r="M28" s="58"/>
      <c r="N28" s="58"/>
      <c r="O28" s="14"/>
      <c r="P28" s="31"/>
      <c r="Q28" s="31"/>
      <c r="R28" s="31"/>
    </row>
    <row r="29" spans="1:18" x14ac:dyDescent="0.25">
      <c r="A29" s="13"/>
      <c r="B29" s="21"/>
      <c r="C29" s="21"/>
      <c r="D29" s="58"/>
      <c r="E29" s="21"/>
      <c r="F29" s="33"/>
      <c r="G29" s="34"/>
      <c r="H29" s="34"/>
      <c r="I29" s="34"/>
      <c r="J29" s="21"/>
      <c r="K29" s="14"/>
      <c r="L29" s="58"/>
      <c r="M29" s="58"/>
      <c r="N29" s="58"/>
      <c r="O29" s="14"/>
      <c r="P29" s="31"/>
      <c r="Q29" s="31"/>
      <c r="R29" s="31"/>
    </row>
    <row r="30" spans="1:18" x14ac:dyDescent="0.25">
      <c r="A30" s="13"/>
      <c r="B30" s="21"/>
      <c r="C30" s="21"/>
      <c r="D30" s="58"/>
      <c r="E30" s="21"/>
      <c r="F30" s="33"/>
      <c r="G30" s="34"/>
      <c r="H30" s="34"/>
      <c r="I30" s="34"/>
      <c r="J30" s="21"/>
      <c r="K30" s="14"/>
      <c r="L30" s="58"/>
      <c r="M30" s="58"/>
      <c r="N30" s="58"/>
      <c r="O30" s="14"/>
      <c r="P30" s="31"/>
      <c r="Q30" s="31"/>
      <c r="R30" s="31"/>
    </row>
    <row r="31" spans="1:18" x14ac:dyDescent="0.25">
      <c r="A31" s="13"/>
      <c r="B31" s="21"/>
      <c r="C31" s="21"/>
      <c r="D31" s="58"/>
      <c r="E31" s="21"/>
      <c r="F31" s="33"/>
      <c r="G31" s="34"/>
      <c r="H31" s="34"/>
      <c r="I31" s="34"/>
      <c r="J31" s="21"/>
      <c r="K31" s="14"/>
      <c r="L31" s="58"/>
      <c r="M31" s="58"/>
      <c r="N31" s="58"/>
      <c r="O31" s="14"/>
      <c r="P31" s="31"/>
      <c r="Q31" s="31"/>
      <c r="R31" s="31"/>
    </row>
    <row r="32" spans="1:18" x14ac:dyDescent="0.25">
      <c r="A32" s="13"/>
      <c r="B32" s="21"/>
      <c r="C32" s="21"/>
      <c r="D32" s="58"/>
      <c r="E32" s="21"/>
      <c r="F32" s="33"/>
      <c r="G32" s="34"/>
      <c r="H32" s="34"/>
      <c r="I32" s="34"/>
      <c r="J32" s="21"/>
      <c r="K32" s="14"/>
      <c r="L32" s="58"/>
      <c r="M32" s="58"/>
      <c r="N32" s="58"/>
      <c r="O32" s="14"/>
      <c r="P32" s="31"/>
      <c r="Q32" s="31"/>
      <c r="R32" s="31"/>
    </row>
    <row r="33" spans="1:18" x14ac:dyDescent="0.25">
      <c r="A33" s="13"/>
      <c r="B33" s="21"/>
      <c r="C33" s="21"/>
      <c r="D33" s="58"/>
      <c r="E33" s="21"/>
      <c r="F33" s="33"/>
      <c r="G33" s="34"/>
      <c r="H33" s="34"/>
      <c r="I33" s="34"/>
      <c r="J33" s="21"/>
      <c r="K33" s="14"/>
      <c r="L33" s="58"/>
      <c r="M33" s="58"/>
      <c r="N33" s="58"/>
      <c r="O33" s="14"/>
      <c r="P33" s="31"/>
      <c r="Q33" s="31"/>
      <c r="R33" s="31"/>
    </row>
    <row r="36" spans="1:18" x14ac:dyDescent="0.25">
      <c r="A36" s="1"/>
      <c r="B36" s="1"/>
    </row>
    <row r="42" spans="1:18" x14ac:dyDescent="0.25">
      <c r="F42" s="56"/>
      <c r="G42" s="56"/>
    </row>
    <row r="43" spans="1:18" x14ac:dyDescent="0.25">
      <c r="F43" s="56"/>
      <c r="G43" s="56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40"/>
  <sheetViews>
    <sheetView zoomScale="110" zoomScaleNormal="110" workbookViewId="0">
      <selection activeCell="C4" sqref="C4"/>
    </sheetView>
  </sheetViews>
  <sheetFormatPr defaultRowHeight="15" x14ac:dyDescent="0.25"/>
  <cols>
    <col min="3" max="4" width="9.85546875" bestFit="1" customWidth="1"/>
    <col min="5" max="5" width="9.28515625" bestFit="1" customWidth="1"/>
    <col min="6" max="6" width="8.85546875" bestFit="1" customWidth="1"/>
    <col min="7" max="8" width="9.42578125" bestFit="1" customWidth="1"/>
    <col min="9" max="9" width="9.28515625" bestFit="1" customWidth="1"/>
    <col min="10" max="11" width="9.5703125" bestFit="1" customWidth="1"/>
    <col min="12" max="12" width="9.28515625" bestFit="1" customWidth="1"/>
    <col min="13" max="13" width="9.42578125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RTD("tickerplantrtdserver",,"FWRC1#EURINR#Month End Rates#0#S#Desc.2")</f>
        <v>CASH/SPOT</v>
      </c>
      <c r="D1" s="76" t="str">
        <f t="array" ref="D1">RTD("tickerplantrtdserver",,"FWRC1#EURINR#Month End Rates#0#S#Desc.4")</f>
        <v>MAY-2023</v>
      </c>
      <c r="E1" s="76" t="str">
        <f t="array" ref="E1">RTD("tickerplantrtdserver",,"FWRC1#EURINR#Month End Rates#0#S#Desc.5")</f>
        <v>JUN-2023</v>
      </c>
      <c r="F1" s="76" t="str">
        <f t="array" ref="F1">RTD("tickerplantrtdserver",,"FWRC1#EURINR#Month End Rates#0#S#Desc.6")</f>
        <v>JUL-2023</v>
      </c>
      <c r="G1" s="76" t="str">
        <f t="array" ref="G1">RTD("tickerplantrtdserver",,"FWRC1#EURINR#Month End Rates#0#S#Desc.7")</f>
        <v>AUG-2023</v>
      </c>
      <c r="H1" s="76" t="str">
        <f t="array" ref="H1">RTD("tickerplantrtdserver",,"FWRC1#EURINR#Month End Rates#0#S#Desc.8")</f>
        <v>SEP-2023</v>
      </c>
      <c r="I1" s="76" t="str">
        <f t="array" ref="I1">RTD("tickerplantrtdserver",,"FWRC1#EURINR#Month End Rates#0#S#Desc.9")</f>
        <v>OCT-2023</v>
      </c>
      <c r="J1" s="76" t="str">
        <f t="array" ref="J1">RTD("tickerplantrtdserver",,"FWRC1#EURINR#Month End Rates#0#S#Desc.10")</f>
        <v>NOV-2023</v>
      </c>
      <c r="K1" s="76" t="str">
        <f t="array" ref="K1">RTD("tickerplantrtdserver",,"FWRC1#EURINR#Month End Rates#0#S#Desc.11")</f>
        <v>DEC-2023</v>
      </c>
      <c r="L1" s="76" t="str">
        <f t="array" ref="L1">RTD("tickerplantrtdserver",,"FWRC1#EURINR#Month End Rates#0#S#Desc.12")</f>
        <v>JAN-2024</v>
      </c>
      <c r="M1" s="76" t="str">
        <f t="array" ref="M1">RTD("tickerplantrtdserver",,"FWRC1#EURINR#Month End Rates#0#S#Desc.13")</f>
        <v>FEB-2024</v>
      </c>
      <c r="N1" s="76" t="str">
        <f t="array" ref="N1">RTD("tickerplantrtdserver",,"FWRC1#EURINR#Month End Rates#0#S#Desc.14")</f>
        <v>MAR-2024</v>
      </c>
      <c r="O1" s="77" t="str">
        <f t="array" ref="O1">RTD("tickerplantrtdserver",,"FWRC1#EURINR#Month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RTD("tickerplantrtdserver",,"FWRC1#EURINR#Month End Rates#0#S#MonthEndDate2")</f>
        <v>10-May-2023</v>
      </c>
      <c r="D2" s="71" t="str">
        <f t="array" ref="D2">RTD("tickerplantrtdserver",,"FWRC1#EURINR#Month End Rates#0#S#MonthEndDate4")</f>
        <v>31-May-2023</v>
      </c>
      <c r="E2" s="71" t="str">
        <f t="array" ref="E2">RTD("tickerplantrtdserver",,"FWRC1#EURINR#Month End Rates#0#S#MonthEndDate5")</f>
        <v>30-Jun-2023</v>
      </c>
      <c r="F2" s="71" t="str">
        <f t="array" ref="F2">RTD("tickerplantrtdserver",,"FWRC1#EURINR#Month End Rates#0#S#MonthEndDate6")</f>
        <v>31-Jul-2023</v>
      </c>
      <c r="G2" s="71" t="str">
        <f t="array" ref="G2">RTD("tickerplantrtdserver",,"FWRC1#EURINR#Month End Rates#0#S#MonthEndDate7")</f>
        <v>31-Aug-2023</v>
      </c>
      <c r="H2" s="71" t="str">
        <f t="array" ref="H2">RTD("tickerplantrtdserver",,"FWRC1#EURINR#Month End Rates#0#S#MonthEndDate8")</f>
        <v>29-Sep-2023</v>
      </c>
      <c r="I2" s="71" t="str">
        <f t="array" ref="I2">RTD("tickerplantrtdserver",,"FWRC1#EURINR#Month End Rates#0#S#MonthEndDate9")</f>
        <v>31-Oct-2023</v>
      </c>
      <c r="J2" s="71" t="str">
        <f t="array" ref="J2">RTD("tickerplantrtdserver",,"FWRC1#EURINR#Month End Rates#0#S#MonthEndDate10")</f>
        <v>30-Nov-2023</v>
      </c>
      <c r="K2" s="71" t="str">
        <f t="array" ref="K2">RTD("tickerplantrtdserver",,"FWRC1#EURINR#Month End Rates#0#S#MonthEndDate11")</f>
        <v>29-Dec-2023</v>
      </c>
      <c r="L2" s="71" t="str">
        <f t="array" ref="L2">RTD("tickerplantrtdserver",,"FWRC1#EURINR#Month End Rates#0#S#MonthEndDate12")</f>
        <v>31-Jan-2024</v>
      </c>
      <c r="M2" s="71" t="str">
        <f t="array" ref="M2">RTD("tickerplantrtdserver",,"FWRC1#EURINR#Month End Rates#0#S#MonthEndDate13")</f>
        <v>29-Feb-2024</v>
      </c>
      <c r="N2" s="71" t="str">
        <f t="array" ref="N2">RTD("tickerplantrtdserver",,"FWRC1#EURINR#Month End Rates#0#S#MonthEndDate14")</f>
        <v>28-Mar-2024</v>
      </c>
      <c r="O2" s="75" t="str">
        <f t="array" ref="O2">RTD("tickerplantrtdserver",,"FWRC1#EURINR#Month End Rates#0#S#MonthEndDate15")</f>
        <v>30-Apr-2024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RTD("tickerplantrtdserver",,"FWRC1#EURINR#Month End Rates#0#BidPrice2")</f>
        <v>1.5451999999999999</v>
      </c>
      <c r="D4" s="65">
        <f t="array" ref="D4">RTD("tickerplantrtdserver",,"FWRC1#EURINR#Month End Rates#0#BidPrice4")</f>
        <v>18.420000000000002</v>
      </c>
      <c r="E4" s="65">
        <f>RTD("tickerplantrtdserver",,"FWRC1#EURINR#Month End Rates#0#BidPrice5")</f>
        <v>46.37</v>
      </c>
      <c r="F4" s="65">
        <f t="array" ref="F4">RTD("tickerplantrtdserver",,"FWRC1#EURINR#Month End Rates#0#BidPrice6")</f>
        <v>74.852500000000006</v>
      </c>
      <c r="G4" s="65">
        <f t="array" ref="G4">RTD("tickerplantrtdserver",,"FWRC1#EURINR#Month End Rates#0#BidPrice7")</f>
        <v>102.63249999999999</v>
      </c>
      <c r="H4" s="65">
        <f t="array" ref="H4">RTD("tickerplantrtdserver",,"FWRC1#EURINR#Month End Rates#0#BidPrice8")</f>
        <v>128.94999999999999</v>
      </c>
      <c r="I4" s="65">
        <f t="array" ref="I4">RTD("tickerplantrtdserver",,"FWRC1#EURINR#Month End Rates#0#BidPrice9")</f>
        <v>156.07249999999999</v>
      </c>
      <c r="J4" s="65">
        <f t="array" ref="J4">RTD("tickerplantrtdserver",,"FWRC1#EURINR#Month End Rates#0#BidPrice10")</f>
        <v>181.5675</v>
      </c>
      <c r="K4" s="65">
        <f t="array" ref="K4">RTD("tickerplantrtdserver",,"FWRC1#EURINR#Month End Rates#0#BidPrice11")</f>
        <v>212.97499999999999</v>
      </c>
      <c r="L4" s="65">
        <f t="array" ref="L4">RTD("tickerplantrtdserver",,"FWRC1#EURINR#Month End Rates#0#BidPrice12")</f>
        <v>241.13249999999999</v>
      </c>
      <c r="M4" s="65">
        <f t="array" ref="M4">RTD("tickerplantrtdserver",,"FWRC1#EURINR#Month End Rates#0#BidPrice13")</f>
        <v>265.11250000000001</v>
      </c>
      <c r="N4" s="65">
        <f t="array" ref="N4">RTD("tickerplantrtdserver",,"FWRC1#EURINR#Month End Rates#0#BidPrice14")</f>
        <v>293.10250000000002</v>
      </c>
      <c r="O4" s="67">
        <f t="array" ref="O4">RTD("tickerplantrtdserver",,"FWRC1#EURINR#Month End Rates#0#BidPrice15")</f>
        <v>327.72500000000002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RTD("tickerplantrtdserver",,"FWRC1#EURINR#Month End Rates#0#AskPrice2")</f>
        <v>3.3340000000000001</v>
      </c>
      <c r="D5" s="65">
        <f t="array" ref="D5">RTD("tickerplantrtdserver",,"FWRC1#EURINR#Month End Rates#0#AskPrice4")</f>
        <v>19.932500000000001</v>
      </c>
      <c r="E5" s="65">
        <f t="array" ref="E5">RTD("tickerplantrtdserver",,"FWRC1#EURINR#Month End Rates#0#AskPrice5")</f>
        <v>48.587499999999999</v>
      </c>
      <c r="F5" s="65">
        <f t="array" ref="F5">RTD("tickerplantrtdserver",,"FWRC1#EURINR#Month End Rates#0#AskPrice6")</f>
        <v>77.412499999999994</v>
      </c>
      <c r="G5" s="65">
        <f t="array" ref="G5">RTD("tickerplantrtdserver",,"FWRC1#EURINR#Month End Rates#0#AskPrice7")</f>
        <v>105.39749999999999</v>
      </c>
      <c r="H5" s="65">
        <f t="array" ref="H5">RTD("tickerplantrtdserver",,"FWRC1#EURINR#Month End Rates#0#AskPrice8")</f>
        <v>131.94749999999999</v>
      </c>
      <c r="I5" s="65">
        <f t="array" ref="I5">RTD("tickerplantrtdserver",,"FWRC1#EURINR#Month End Rates#0#AskPrice9")</f>
        <v>158.76750000000001</v>
      </c>
      <c r="J5" s="65">
        <f t="array" ref="J5">RTD("tickerplantrtdserver",,"FWRC1#EURINR#Month End Rates#0#AskPrice10")</f>
        <v>186.4375</v>
      </c>
      <c r="K5" s="65">
        <f t="array" ref="K5">RTD("tickerplantrtdserver",,"FWRC1#EURINR#Month End Rates#0#AskPrice11")</f>
        <v>216.8425</v>
      </c>
      <c r="L5" s="65">
        <f t="array" ref="L5">RTD("tickerplantrtdserver",,"FWRC1#EURINR#Month End Rates#0#AskPrice12")</f>
        <v>245.26750000000001</v>
      </c>
      <c r="M5" s="65">
        <f t="array" ref="M5">RTD("tickerplantrtdserver",,"FWRC1#EURINR#Month End Rates#0#AskPrice13")</f>
        <v>271.29000000000002</v>
      </c>
      <c r="N5" s="65">
        <f t="array" ref="N5">RTD("tickerplantrtdserver",,"FWRC1#EURINR#Month End Rates#0#AskPrice14")</f>
        <v>299.69499999999999</v>
      </c>
      <c r="O5" s="67">
        <f t="array" ref="O5">RTD("tickerplantrtdserver",,"FWRC1#EURINR#Month End Rates#0#AskPrice15")</f>
        <v>332.76499999999999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>RTD("tickerplantrtdserver",,"FWRC1#EURINR#Month End Rates#0#FwdOutrightBid2")</f>
        <v>90.237499999999997</v>
      </c>
      <c r="D7" s="64">
        <f>RTD("tickerplantrtdserver",,"FWRC1#EURINR#Month End Rates#0#FwdOutrightBid4")</f>
        <v>90.421700000000001</v>
      </c>
      <c r="E7" s="64">
        <f t="array" ref="E7">RTD("tickerplantrtdserver",,"FWRC1#EURINR#Month End Rates#0#FwdOutrightBid5")</f>
        <v>90.7012</v>
      </c>
      <c r="F7" s="64">
        <f>RTD("tickerplantrtdserver",,"FWRC1#EURINR#Month End Rates#0#FwdOutrightBid6")</f>
        <v>90.986000000000004</v>
      </c>
      <c r="G7" s="64">
        <f t="array" ref="G7">RTD("tickerplantrtdserver",,"FWRC1#EURINR#Month End Rates#0#FwdOutrightBid7")</f>
        <v>91.263800000000003</v>
      </c>
      <c r="H7" s="64">
        <f t="array" ref="H7">RTD("tickerplantrtdserver",,"FWRC1#EURINR#Month End Rates#0#FwdOutrightBid8")</f>
        <v>91.527000000000001</v>
      </c>
      <c r="I7" s="64">
        <f t="array" ref="I7">RTD("tickerplantrtdserver",,"FWRC1#EURINR#Month End Rates#0#FwdOutrightBid9")</f>
        <v>91.798199999999994</v>
      </c>
      <c r="J7" s="64">
        <f t="array" ref="J7">RTD("tickerplantrtdserver",,"FWRC1#EURINR#Month End Rates#0#FwdOutrightBid10")</f>
        <v>92.053200000000004</v>
      </c>
      <c r="K7" s="64">
        <f t="array" ref="K7">RTD("tickerplantrtdserver",,"FWRC1#EURINR#Month End Rates#0#FwdOutrightBid11")</f>
        <v>92.3673</v>
      </c>
      <c r="L7" s="64">
        <f t="array" ref="L7">RTD("tickerplantrtdserver",,"FWRC1#EURINR#Month End Rates#0#FwdOutrightBid12")</f>
        <v>92.648799999999994</v>
      </c>
      <c r="M7" s="64">
        <f t="array" ref="M7">RTD("tickerplantrtdserver",,"FWRC1#EURINR#Month End Rates#0#FwdOutrightBid13")</f>
        <v>92.888599999999997</v>
      </c>
      <c r="N7" s="64">
        <f t="array" ref="N7">RTD("tickerplantrtdserver",,"FWRC1#EURINR#Month End Rates#0#FwdOutrightBid14")</f>
        <v>93.168499999999995</v>
      </c>
      <c r="O7" s="68">
        <f t="array" ref="O7">RTD("tickerplantrtdserver",,"FWRC1#EURINR#Month End Rates#0#FwdOutrightBid15")</f>
        <v>93.514799999999994</v>
      </c>
      <c r="P7" s="20"/>
    </row>
    <row r="8" spans="1:18" s="14" customFormat="1" x14ac:dyDescent="0.25">
      <c r="A8" s="160" t="s">
        <v>48</v>
      </c>
      <c r="B8" s="161"/>
      <c r="C8" s="64">
        <f>RTD("tickerplantrtdserver",,"FWRC1#EURINR#Month End Rates#0#FwdOutrightAsk2")</f>
        <v>90.25</v>
      </c>
      <c r="D8" s="64">
        <f t="array" ref="D8">RTD("tickerplantrtdserver",,"FWRC1#EURINR#Month End Rates#0#FwdOutrightAsk4")</f>
        <v>90.449299999999994</v>
      </c>
      <c r="E8" s="64">
        <f t="array" ref="E8">RTD("tickerplantrtdserver",,"FWRC1#EURINR#Month End Rates#0#FwdOutrightAsk5")</f>
        <v>90.735900000000001</v>
      </c>
      <c r="F8" s="64">
        <f t="array" ref="F8">RTD("tickerplantrtdserver",,"FWRC1#EURINR#Month End Rates#0#FwdOutrightAsk6")</f>
        <v>91.024100000000004</v>
      </c>
      <c r="G8" s="64">
        <f t="array" ref="G8">RTD("tickerplantrtdserver",,"FWRC1#EURINR#Month End Rates#0#FwdOutrightAsk7")</f>
        <v>91.304000000000002</v>
      </c>
      <c r="H8" s="64">
        <f t="array" ref="H8">RTD("tickerplantrtdserver",,"FWRC1#EURINR#Month End Rates#0#FwdOutrightAsk8")</f>
        <v>91.569500000000005</v>
      </c>
      <c r="I8" s="64">
        <f t="array" ref="I8">RTD("tickerplantrtdserver",,"FWRC1#EURINR#Month End Rates#0#FwdOutrightAsk9")</f>
        <v>91.837699999999998</v>
      </c>
      <c r="J8" s="64">
        <f t="array" ref="J8">RTD("tickerplantrtdserver",,"FWRC1#EURINR#Month End Rates#0#FwdOutrightAsk10")</f>
        <v>92.114400000000003</v>
      </c>
      <c r="K8" s="64">
        <f t="array" ref="K8">RTD("tickerplantrtdserver",,"FWRC1#EURINR#Month End Rates#0#FwdOutrightAsk11")</f>
        <v>92.418400000000005</v>
      </c>
      <c r="L8" s="64">
        <f t="array" ref="L8">RTD("tickerplantrtdserver",,"FWRC1#EURINR#Month End Rates#0#FwdOutrightAsk12")</f>
        <v>92.702699999999993</v>
      </c>
      <c r="M8" s="64">
        <f t="array" ref="M8">RTD("tickerplantrtdserver",,"FWRC1#EURINR#Month End Rates#0#FwdOutrightAsk13")</f>
        <v>92.962900000000005</v>
      </c>
      <c r="N8" s="64">
        <f t="array" ref="N8">RTD("tickerplantrtdserver",,"FWRC1#EURINR#Month End Rates#0#FwdOutrightAsk14")</f>
        <v>93.247</v>
      </c>
      <c r="O8" s="68">
        <f t="array" ref="O8">RTD("tickerplantrtdserver",,"FWRC1#EURINR#Month End Rates#0#FwdOutrightAsk15")</f>
        <v>93.577699999999993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RTD("tickerplantrtdserver",,"FWRC1#EURINR#Month End Rates#0#Bid%2")</f>
        <v>3.1246</v>
      </c>
      <c r="D10" s="65">
        <f t="array" ref="D10">RTD("tickerplantrtdserver",,"FWRC1#EURINR#Month End Rates#0#Bid%4")</f>
        <v>3.5474000000000001</v>
      </c>
      <c r="E10" s="65">
        <f t="array" ref="E10">RTD("tickerplantrtdserver",,"FWRC1#EURINR#Month End Rates#0#Bid%5")</f>
        <v>3.6772</v>
      </c>
      <c r="F10" s="65">
        <f t="array" ref="F10">RTD("tickerplantrtdserver",,"FWRC1#EURINR#Month End Rates#0#Bid%6")</f>
        <v>3.6918000000000002</v>
      </c>
      <c r="G10" s="65">
        <f t="array" ref="G10">RTD("tickerplantrtdserver",,"FWRC1#EURINR#Month End Rates#0#Bid%7")</f>
        <v>3.6732999999999998</v>
      </c>
      <c r="H10" s="65">
        <f t="array" ref="H10">RTD("tickerplantrtdserver",,"FWRC1#EURINR#Month End Rates#0#Bid%8")</f>
        <v>3.6726000000000001</v>
      </c>
      <c r="I10" s="65">
        <f t="array" ref="I10">RTD("tickerplantrtdserver",,"FWRC1#EURINR#Month End Rates#0#Bid%9")</f>
        <v>3.6276000000000002</v>
      </c>
      <c r="J10" s="65">
        <f t="array" ref="J10">RTD("tickerplantrtdserver",,"FWRC1#EURINR#Month End Rates#0#Bid%10")</f>
        <v>3.5996000000000001</v>
      </c>
      <c r="K10" s="65">
        <f t="array" ref="K10">RTD("tickerplantrtdserver",,"FWRC1#EURINR#Month End Rates#0#Bid%11")</f>
        <v>3.6966999999999999</v>
      </c>
      <c r="L10" s="65">
        <f t="array" ref="L10">RTD("tickerplantrtdserver",,"FWRC1#EURINR#Month End Rates#0#Bid%12")</f>
        <v>3.6661999999999999</v>
      </c>
      <c r="M10" s="65">
        <f t="array" ref="M10">RTD("tickerplantrtdserver",,"FWRC1#EURINR#Month End Rates#0#Bid%13")</f>
        <v>3.6345999999999998</v>
      </c>
      <c r="N10" s="65">
        <f t="array" ref="N10">RTD("tickerplantrtdserver",,"FWRC1#EURINR#Month End Rates#0#Bid%14")</f>
        <v>3.67</v>
      </c>
      <c r="O10" s="67">
        <f t="array" ref="O10">RTD("tickerplantrtdserver",,"FWRC1#EURINR#Month End Rates#0#Bid%15")</f>
        <v>3.7231000000000001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RTD("tickerplantrtdserver",,"FWRC1#EURINR#Month End Rates#0#Ask%2")</f>
        <v>6.7427999999999999</v>
      </c>
      <c r="D11" s="69">
        <f t="array" ref="D11">RTD("tickerplantrtdserver",,"FWRC1#EURINR#Month End Rates#0#Ask%4")</f>
        <v>3.8393000000000002</v>
      </c>
      <c r="E11" s="69">
        <f t="array" ref="E11">RTD("tickerplantrtdserver",,"FWRC1#EURINR#Month End Rates#0#Ask%5")</f>
        <v>3.8534999999999999</v>
      </c>
      <c r="F11" s="69">
        <f t="array" ref="F11">RTD("tickerplantrtdserver",,"FWRC1#EURINR#Month End Rates#0#Ask%6")</f>
        <v>3.8186</v>
      </c>
      <c r="G11" s="69">
        <f t="array" ref="G11">RTD("tickerplantrtdserver",,"FWRC1#EURINR#Month End Rates#0#Ask%7")</f>
        <v>3.7726999999999999</v>
      </c>
      <c r="H11" s="69">
        <f t="array" ref="H11">RTD("tickerplantrtdserver",,"FWRC1#EURINR#Month End Rates#0#Ask%8")</f>
        <v>3.7585000000000002</v>
      </c>
      <c r="I11" s="69">
        <f t="array" ref="I11">RTD("tickerplantrtdserver",,"FWRC1#EURINR#Month End Rates#0#Ask%9")</f>
        <v>3.6907999999999999</v>
      </c>
      <c r="J11" s="69">
        <f t="array" ref="J11">RTD("tickerplantrtdserver",,"FWRC1#EURINR#Month End Rates#0#Ask%10")</f>
        <v>3.6966999999999999</v>
      </c>
      <c r="K11" s="69">
        <f t="array" ref="K11">RTD("tickerplantrtdserver",,"FWRC1#EURINR#Month End Rates#0#Ask%11")</f>
        <v>3.7644000000000002</v>
      </c>
      <c r="L11" s="69">
        <f t="array" ref="L11">RTD("tickerplantrtdserver",,"FWRC1#EURINR#Month End Rates#0#Ask%12")</f>
        <v>3.7296</v>
      </c>
      <c r="M11" s="69">
        <f t="array" ref="M11">RTD("tickerplantrtdserver",,"FWRC1#EURINR#Month End Rates#0#Ask%13")</f>
        <v>3.7198000000000002</v>
      </c>
      <c r="N11" s="69">
        <f t="array" ref="N11">RTD("tickerplantrtdserver",,"FWRC1#EURINR#Month End Rates#0#Ask%14")</f>
        <v>3.7530000000000001</v>
      </c>
      <c r="O11" s="70">
        <f t="array" ref="O11">RTD("tickerplantrtdserver",,"FWRC1#EURINR#Month End Rates#0#Ask%15")</f>
        <v>3.7808999999999999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P15" s="15"/>
      <c r="Q15" s="15"/>
      <c r="R15" s="15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P16" s="13"/>
    </row>
    <row r="17" spans="1:16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P17" s="13"/>
    </row>
    <row r="18" spans="1:16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P18" s="13"/>
    </row>
    <row r="19" spans="1:16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P19" s="15"/>
    </row>
    <row r="20" spans="1:16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</row>
    <row r="21" spans="1:16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</row>
    <row r="22" spans="1:16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</row>
    <row r="23" spans="1:16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</row>
    <row r="24" spans="1:16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</row>
    <row r="25" spans="1:16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</row>
    <row r="26" spans="1:16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</row>
    <row r="27" spans="1:16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</row>
    <row r="28" spans="1:16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</row>
    <row r="29" spans="1:16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</row>
    <row r="30" spans="1:16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</row>
    <row r="31" spans="1:16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</row>
    <row r="36" spans="1:5" x14ac:dyDescent="0.25">
      <c r="A36" s="1"/>
      <c r="B36" s="1"/>
    </row>
    <row r="40" spans="1:5" x14ac:dyDescent="0.25">
      <c r="E40" s="55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39"/>
  <sheetViews>
    <sheetView workbookViewId="0">
      <selection activeCell="I7" sqref="I7"/>
    </sheetView>
  </sheetViews>
  <sheetFormatPr defaultColWidth="8.85546875" defaultRowHeight="15" x14ac:dyDescent="0.25"/>
  <cols>
    <col min="3" max="4" width="9.42578125" bestFit="1" customWidth="1"/>
    <col min="5" max="5" width="9.28515625" bestFit="1" customWidth="1"/>
    <col min="6" max="6" width="9" bestFit="1" customWidth="1"/>
    <col min="7" max="7" width="9.42578125" bestFit="1" customWidth="1"/>
    <col min="8" max="8" width="9" bestFit="1" customWidth="1"/>
    <col min="9" max="9" width="9.28515625" bestFit="1" customWidth="1"/>
    <col min="10" max="10" width="9.42578125" bestFit="1" customWidth="1"/>
    <col min="11" max="11" width="9.28515625" bestFit="1" customWidth="1"/>
    <col min="12" max="12" width="9.140625" bestFit="1" customWidth="1"/>
    <col min="13" max="13" width="9" bestFit="1" customWidth="1"/>
    <col min="14" max="14" width="9.7109375" bestFit="1" customWidth="1"/>
    <col min="15" max="15" width="9.285156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RTD("tickerplantrtdserver",,"FWRC1#GBPINR#Month End Rates#0#S#Desc.2")</f>
        <v>CASH/SPOT</v>
      </c>
      <c r="D1" s="76" t="str">
        <f t="array" ref="D1">RTD("tickerplantrtdserver",,"FWRC1#GBPINR#Month End Rates#0#S#Desc.4")</f>
        <v>MAY-2023</v>
      </c>
      <c r="E1" s="76" t="str">
        <f t="array" ref="E1">RTD("tickerplantrtdserver",,"FWRC1#GBPINR#Month End Rates#0#S#Desc.5")</f>
        <v>JUN-2023</v>
      </c>
      <c r="F1" s="76" t="str">
        <f t="array" ref="F1">RTD("tickerplantrtdserver",,"FWRC1#GBPINR#Month End Rates#0#S#Desc.6")</f>
        <v>JUL-2023</v>
      </c>
      <c r="G1" s="76" t="str">
        <f t="array" ref="G1">RTD("tickerplantrtdserver",,"FWRC1#GBPINR#Month End Rates#0#S#Desc.7")</f>
        <v>AUG-2023</v>
      </c>
      <c r="H1" s="76" t="str">
        <f t="array" ref="H1">RTD("tickerplantrtdserver",,"FWRC1#GBPINR#Month End Rates#0#S#Desc.8")</f>
        <v>SEP-2023</v>
      </c>
      <c r="I1" s="76" t="str">
        <f t="array" ref="I1">RTD("tickerplantrtdserver",,"FWRC1#GBPINR#Month End Rates#0#S#Desc.9")</f>
        <v>OCT-2023</v>
      </c>
      <c r="J1" s="76" t="str">
        <f t="array" ref="J1">RTD("tickerplantrtdserver",,"FWRC1#GBPINR#Month End Rates#0#S#Desc.10")</f>
        <v>NOV-2023</v>
      </c>
      <c r="K1" s="76" t="str">
        <f t="array" ref="K1">RTD("tickerplantrtdserver",,"FWRC1#GBPINR#Month End Rates#0#S#Desc.11")</f>
        <v>DEC-2023</v>
      </c>
      <c r="L1" s="76" t="str">
        <f t="array" ref="L1">RTD("tickerplantrtdserver",,"FWRC1#GBPINR#Month End Rates#0#S#Desc.12")</f>
        <v>JAN-2024</v>
      </c>
      <c r="M1" s="76" t="str">
        <f t="array" ref="M1">RTD("tickerplantrtdserver",,"FWRC1#GBPINR#Month End Rates#0#S#Desc.13")</f>
        <v>FEB-2024</v>
      </c>
      <c r="N1" s="76" t="str">
        <f t="array" ref="N1">RTD("tickerplantrtdserver",,"FWRC1#GBPINR#Month End Rates#0#S#Desc.14")</f>
        <v>MAR-2024</v>
      </c>
      <c r="O1" s="77" t="str">
        <f t="array" ref="O1">RTD("tickerplantrtdserver",,"FWRC1#GBPINR#Month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RTD("tickerplantrtdserver",,"FWRC1#GBPINR#Month End Rates#0#S#PillarDate2")</f>
        <v>10-May-2023</v>
      </c>
      <c r="D2" s="71" t="str">
        <f t="array" ref="D2">RTD("tickerplantrtdserver",,"FWRC1#GBPINR#Month End Rates#0#S#PillarDate4")</f>
        <v>31-May-2023</v>
      </c>
      <c r="E2" s="71" t="str">
        <f t="array" ref="E2">RTD("tickerplantrtdserver",,"FWRC1#GBPINR#Month End Rates#0#S#PillarDate5")</f>
        <v>30-Jun-2023</v>
      </c>
      <c r="F2" s="71" t="str">
        <f t="array" ref="F2">RTD("tickerplantrtdserver",,"FWRC1#GBPINR#Month End Rates#0#S#PillarDate6")</f>
        <v>31-Jul-2023</v>
      </c>
      <c r="G2" s="71" t="str">
        <f t="array" ref="G2">RTD("tickerplantrtdserver",,"FWRC1#GBPINR#Month End Rates#0#S#PillarDate7")</f>
        <v>31-Aug-2023</v>
      </c>
      <c r="H2" s="71" t="str">
        <f t="array" ref="H2">RTD("tickerplantrtdserver",,"FWRC1#GBPINR#Month End Rates#0#S#PillarDate8")</f>
        <v>29-Sep-2023</v>
      </c>
      <c r="I2" s="71" t="str">
        <f t="array" ref="I2">RTD("tickerplantrtdserver",,"FWRC1#GBPINR#Month End Rates#0#S#PillarDate9")</f>
        <v>31-Oct-2023</v>
      </c>
      <c r="J2" s="71" t="str">
        <f t="array" ref="J2">RTD("tickerplantrtdserver",,"FWRC1#GBPINR#Month End Rates#0#S#PillarDate10")</f>
        <v>29-Nov-2023</v>
      </c>
      <c r="K2" s="71" t="str">
        <f t="array" ref="K2">RTD("tickerplantrtdserver",,"FWRC1#GBPINR#Month End Rates#0#S#PillarDate11")</f>
        <v>29-Dec-2023</v>
      </c>
      <c r="L2" s="71" t="str">
        <f t="array" ref="L2">RTD("tickerplantrtdserver",,"FWRC1#GBPINR#Month End Rates#0#S#PillarDate12")</f>
        <v>31-Jan-2024</v>
      </c>
      <c r="M2" s="71" t="str">
        <f t="array" ref="M2">RTD("tickerplantrtdserver",,"FWRC1#GBPINR#Month End Rates#0#S#PillarDate13")</f>
        <v>29-Feb-2024</v>
      </c>
      <c r="N2" s="71" t="str">
        <f t="array" ref="N2">RTD("tickerplantrtdserver",,"FWRC1#GBPINR#Month End Rates#0#S#PillarDate14")</f>
        <v>28-Mar-2024</v>
      </c>
      <c r="O2" s="75" t="str">
        <f t="array" ref="O2">RTD("tickerplantrtdserver",,"FWRC1#GBPINR#Month End Rates#0#S#PillarDate15")</f>
        <v>30-Apr-2024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RTD("tickerplantrtdserver",,"FWRC1#GBPINR#Month End Rates#0#BidPrice2")/100</f>
        <v>1.6617980000000001</v>
      </c>
      <c r="D4" s="65">
        <f>RTD("tickerplantrtdserver",,"FWRC1#GBPINR#Month End Rates#0#BidPrice4")/100</f>
        <v>13.697449999999998</v>
      </c>
      <c r="E4" s="65">
        <f>RTD("tickerplantrtdserver",,"FWRC1#GBPINR#Month End Rates#0#BidPrice5")/100</f>
        <v>34.163325</v>
      </c>
      <c r="F4" s="65">
        <f>RTD("tickerplantrtdserver",,"FWRC1#GBPINR#Month End Rates#0#BidPrice6")/100</f>
        <v>55.536300000000004</v>
      </c>
      <c r="G4" s="65">
        <f>RTD("tickerplantrtdserver",,"FWRC1#GBPINR#Month End Rates#0#BidPrice7")/100</f>
        <v>75.314774999999997</v>
      </c>
      <c r="H4" s="65">
        <f>RTD("tickerplantrtdserver",,"FWRC1#GBPINR#Month End Rates#0#BidPrice8")/100</f>
        <v>93.39370000000001</v>
      </c>
      <c r="I4" s="65">
        <f>RTD("tickerplantrtdserver",,"FWRC1#GBPINR#Month End Rates#0#BidPrice9")/100</f>
        <v>112.569025</v>
      </c>
      <c r="J4" s="65">
        <f>RTD("tickerplantrtdserver",,"FWRC1#GBPINR#Month End Rates#0#BidPrice10")/100</f>
        <v>129.43597499999998</v>
      </c>
      <c r="K4" s="65">
        <f>RTD("tickerplantrtdserver",,"FWRC1#GBPINR#Month End Rates#0#BidPrice11")/100</f>
        <v>150.56270000000001</v>
      </c>
      <c r="L4" s="65">
        <f>RTD("tickerplantrtdserver",,"FWRC1#GBPINR#Month End Rates#0#BidPrice12")/100</f>
        <v>168.758375</v>
      </c>
      <c r="M4" s="65">
        <f>RTD("tickerplantrtdserver",,"FWRC1#GBPINR#Month End Rates#0#BidPrice13")/100</f>
        <v>186.391525</v>
      </c>
      <c r="N4" s="65">
        <f>RTD("tickerplantrtdserver",,"FWRC1#GBPINR#Month End Rates#0#BidPrice14")/100</f>
        <v>205.181625</v>
      </c>
      <c r="O4" s="67">
        <f>RTD("tickerplantrtdserver",,"FWRC1#GBPINR#Month End Rates#0#BidPrice15")/100</f>
        <v>230.70325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RTD("tickerplantrtdserver",,"FWRC1#GBPINR#Month End Rates#0#AskPrice2")/100</f>
        <v>4.1848530000000004</v>
      </c>
      <c r="D5" s="65">
        <f>RTD("tickerplantrtdserver",,"FWRC1#GBPINR#Month End Rates#0#AskPrice4")/100</f>
        <v>15.659600000000001</v>
      </c>
      <c r="E5" s="65">
        <f>RTD("tickerplantrtdserver",,"FWRC1#GBPINR#Month End Rates#0#AskPrice5")/100</f>
        <v>36.969099999999997</v>
      </c>
      <c r="F5" s="65">
        <f>RTD("tickerplantrtdserver",,"FWRC1#GBPINR#Month End Rates#0#AskPrice6")/100</f>
        <v>58.116599999999998</v>
      </c>
      <c r="G5" s="65">
        <f>RTD("tickerplantrtdserver",,"FWRC1#GBPINR#Month End Rates#0#AskPrice7")/100</f>
        <v>78.252875000000003</v>
      </c>
      <c r="H5" s="65">
        <f>RTD("tickerplantrtdserver",,"FWRC1#GBPINR#Month End Rates#0#AskPrice8")/100</f>
        <v>96.664000000000001</v>
      </c>
      <c r="I5" s="65">
        <f>RTD("tickerplantrtdserver",,"FWRC1#GBPINR#Month End Rates#0#AskPrice9")/100</f>
        <v>116.0997</v>
      </c>
      <c r="J5" s="65">
        <f>RTD("tickerplantrtdserver",,"FWRC1#GBPINR#Month End Rates#0#AskPrice10")/100</f>
        <v>134.263925</v>
      </c>
      <c r="K5" s="65">
        <f>RTD("tickerplantrtdserver",,"FWRC1#GBPINR#Month End Rates#0#AskPrice11")/100</f>
        <v>154.52202499999999</v>
      </c>
      <c r="L5" s="65">
        <f>RTD("tickerplantrtdserver",,"FWRC1#GBPINR#Month End Rates#0#AskPrice12")/100</f>
        <v>172.90912499999999</v>
      </c>
      <c r="M5" s="65">
        <f>RTD("tickerplantrtdserver",,"FWRC1#GBPINR#Month End Rates#0#AskPrice13")/100</f>
        <v>190.40687500000001</v>
      </c>
      <c r="N5" s="65">
        <f>RTD("tickerplantrtdserver",,"FWRC1#GBPINR#Month End Rates#0#AskPrice14")/100</f>
        <v>209.36799999999999</v>
      </c>
      <c r="O5" s="67">
        <f>RTD("tickerplantrtdserver",,"FWRC1#GBPINR#Month End Rates#0#AskPrice15")/100</f>
        <v>234.81755000000001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72">
        <f>RTD("tickerplantrtdserver",,"FWRC1#GBPINR#Month End Rates#0#FwdOutrightBid2")</f>
        <v>103.36750000000001</v>
      </c>
      <c r="D7" s="64">
        <f t="array" ref="D7">RTD("tickerplantrtdserver",,"FWRC1#GBPINR#Month End Rates#0#FwdOutrightBid4")</f>
        <v>103.50449999999999</v>
      </c>
      <c r="E7" s="64">
        <f t="array" ref="E7">RTD("tickerplantrtdserver",,"FWRC1#GBPINR#Month End Rates#0#FwdOutrightBid5")</f>
        <v>103.70910000000001</v>
      </c>
      <c r="F7" s="64">
        <f t="array" ref="F7">RTD("tickerplantrtdserver",,"FWRC1#GBPINR#Month End Rates#0#FwdOutrightBid6")</f>
        <v>103.9229</v>
      </c>
      <c r="G7" s="64">
        <f t="array" ref="G7">RTD("tickerplantrtdserver",,"FWRC1#GBPINR#Month End Rates#0#FwdOutrightBid7")</f>
        <v>104.1206</v>
      </c>
      <c r="H7" s="64">
        <f t="array" ref="H7">RTD("tickerplantrtdserver",,"FWRC1#GBPINR#Month End Rates#0#FwdOutrightBid8")</f>
        <v>104.3014</v>
      </c>
      <c r="I7" s="64">
        <f>RTD("tickerplantrtdserver",,"FWRC1#GBPINR#Month End Rates#0#FwdOutrightBid9")</f>
        <v>104.4932</v>
      </c>
      <c r="J7" s="64">
        <f t="array" ref="J7">RTD("tickerplantrtdserver",,"FWRC1#GBPINR#Month End Rates#0#FwdOutrightBid10")</f>
        <v>104.6619</v>
      </c>
      <c r="K7" s="64">
        <f t="array" ref="K7">RTD("tickerplantrtdserver",,"FWRC1#GBPINR#Month End Rates#0#FwdOutrightBid11")</f>
        <v>104.87309999999999</v>
      </c>
      <c r="L7" s="64">
        <f t="array" ref="L7">RTD("tickerplantrtdserver",,"FWRC1#GBPINR#Month End Rates#0#FwdOutrightBid12")</f>
        <v>105.0551</v>
      </c>
      <c r="M7" s="64">
        <f t="array" ref="M7">RTD("tickerplantrtdserver",,"FWRC1#GBPINR#Month End Rates#0#FwdOutrightBid13")</f>
        <v>105.23139999999999</v>
      </c>
      <c r="N7" s="64">
        <f t="array" ref="N7">RTD("tickerplantrtdserver",,"FWRC1#GBPINR#Month End Rates#0#FwdOutrightBid14")</f>
        <v>105.41930000000001</v>
      </c>
      <c r="O7" s="68">
        <f t="array" ref="O7">RTD("tickerplantrtdserver",,"FWRC1#GBPINR#Month End Rates#0#FwdOutrightBid15")</f>
        <v>105.67449999999999</v>
      </c>
      <c r="P7" s="20"/>
    </row>
    <row r="8" spans="1:18" s="14" customFormat="1" x14ac:dyDescent="0.25">
      <c r="A8" s="160" t="s">
        <v>48</v>
      </c>
      <c r="B8" s="161"/>
      <c r="C8" s="72">
        <f>RTD("tickerplantrtdserver",,"FWRC1#GBPINR#Month End Rates#0#FwdOutrightAsk2")</f>
        <v>103.3875</v>
      </c>
      <c r="D8" s="64">
        <f t="array" ref="D8">RTD("tickerplantrtdserver",,"FWRC1#GBPINR#Month End Rates#0#FwdOutrightAsk4")</f>
        <v>103.5441</v>
      </c>
      <c r="E8" s="64">
        <f t="array" ref="E8">RTD("tickerplantrtdserver",,"FWRC1#GBPINR#Month End Rates#0#FwdOutrightAsk5")</f>
        <v>103.7572</v>
      </c>
      <c r="F8" s="64">
        <f t="array" ref="F8">RTD("tickerplantrtdserver",,"FWRC1#GBPINR#Month End Rates#0#FwdOutrightAsk6")</f>
        <v>103.9687</v>
      </c>
      <c r="G8" s="64">
        <f t="array" ref="G8">RTD("tickerplantrtdserver",,"FWRC1#GBPINR#Month End Rates#0#FwdOutrightAsk7")</f>
        <v>104.17</v>
      </c>
      <c r="H8" s="64">
        <f t="array" ref="H8">RTD("tickerplantrtdserver",,"FWRC1#GBPINR#Month End Rates#0#FwdOutrightAsk8")</f>
        <v>104.3541</v>
      </c>
      <c r="I8" s="64">
        <f t="array" ref="I8">RTD("tickerplantrtdserver",,"FWRC1#GBPINR#Month End Rates#0#FwdOutrightAsk9")</f>
        <v>104.5485</v>
      </c>
      <c r="J8" s="64">
        <f t="array" ref="J8">RTD("tickerplantrtdserver",,"FWRC1#GBPINR#Month End Rates#0#FwdOutrightAsk10")</f>
        <v>104.73009999999999</v>
      </c>
      <c r="K8" s="64">
        <f t="array" ref="K8">RTD("tickerplantrtdserver",,"FWRC1#GBPINR#Month End Rates#0#FwdOutrightAsk11")</f>
        <v>104.9327</v>
      </c>
      <c r="L8" s="64">
        <f t="array" ref="L8">RTD("tickerplantrtdserver",,"FWRC1#GBPINR#Month End Rates#0#FwdOutrightAsk12")</f>
        <v>105.11660000000001</v>
      </c>
      <c r="M8" s="64">
        <f t="array" ref="M8">RTD("tickerplantrtdserver",,"FWRC1#GBPINR#Month End Rates#0#FwdOutrightAsk13")</f>
        <v>105.2916</v>
      </c>
      <c r="N8" s="64">
        <f t="array" ref="N8">RTD("tickerplantrtdserver",,"FWRC1#GBPINR#Month End Rates#0#FwdOutrightAsk14")</f>
        <v>105.4812</v>
      </c>
      <c r="O8" s="68">
        <f t="array" ref="O8">RTD("tickerplantrtdserver",,"FWRC1#GBPINR#Month End Rates#0#FwdOutrightAsk15")</f>
        <v>105.73569999999999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RTD("tickerplantrtdserver",,"FWRC1#GBPINR#Month End Rates#0#Bid%2")</f>
        <v>2.9333999999999998</v>
      </c>
      <c r="D10" s="65">
        <f t="array" ref="D10">RTD("tickerplantrtdserver",,"FWRC1#GBPINR#Month End Rates#0#Bid%4")</f>
        <v>2.3027000000000002</v>
      </c>
      <c r="E10" s="65">
        <f t="array" ref="E10">RTD("tickerplantrtdserver",,"FWRC1#GBPINR#Month End Rates#0#Bid%5")</f>
        <v>2.3649</v>
      </c>
      <c r="F10" s="65">
        <f t="array" ref="F10">RTD("tickerplantrtdserver",,"FWRC1#GBPINR#Month End Rates#0#Bid%6")</f>
        <v>2.391</v>
      </c>
      <c r="G10" s="65">
        <f t="array" ref="G10">RTD("tickerplantrtdserver",,"FWRC1#GBPINR#Month End Rates#0#Bid%7")</f>
        <v>2.3530000000000002</v>
      </c>
      <c r="H10" s="65">
        <f t="array" ref="H10">RTD("tickerplantrtdserver",,"FWRC1#GBPINR#Month End Rates#0#Bid%8")</f>
        <v>2.3220000000000001</v>
      </c>
      <c r="I10" s="65">
        <f t="array" ref="I10">RTD("tickerplantrtdserver",,"FWRC1#GBPINR#Month End Rates#0#Bid%9")</f>
        <v>2.2839999999999998</v>
      </c>
      <c r="J10" s="65">
        <f t="array" ref="J10">RTD("tickerplantrtdserver",,"FWRC1#GBPINR#Month End Rates#0#Bid%10")</f>
        <v>2.2509999999999999</v>
      </c>
      <c r="K10" s="65">
        <f t="array" ref="K10">RTD("tickerplantrtdserver",,"FWRC1#GBPINR#Month End Rates#0#Bid%11")</f>
        <v>2.2812999999999999</v>
      </c>
      <c r="L10" s="65">
        <f t="array" ref="L10">RTD("tickerplantrtdserver",,"FWRC1#GBPINR#Month End Rates#0#Bid%12")</f>
        <v>2.2397999999999998</v>
      </c>
      <c r="M10" s="65">
        <f t="array" ref="M10">RTD("tickerplantrtdserver",,"FWRC1#GBPINR#Month End Rates#0#Bid%13")</f>
        <v>2.2305999999999999</v>
      </c>
      <c r="N10" s="65">
        <f t="array" ref="N10">RTD("tickerplantrtdserver",,"FWRC1#GBPINR#Month End Rates#0#Bid%14")</f>
        <v>2.2425999999999999</v>
      </c>
      <c r="O10" s="67">
        <f t="array" ref="O10">RTD("tickerplantrtdserver",,"FWRC1#GBPINR#Month End Rates#0#Bid%15")</f>
        <v>2.2879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RTD("tickerplantrtdserver",,"FWRC1#GBPINR#Month End Rates#0#Ask%2")</f>
        <v>7.3884999999999996</v>
      </c>
      <c r="D11" s="69">
        <f t="array" ref="D11">RTD("tickerplantrtdserver",,"FWRC1#GBPINR#Month End Rates#0#Ask%4")</f>
        <v>2.6331000000000002</v>
      </c>
      <c r="E11" s="69">
        <f t="array" ref="E11">RTD("tickerplantrtdserver",,"FWRC1#GBPINR#Month End Rates#0#Ask%5")</f>
        <v>2.5596000000000001</v>
      </c>
      <c r="F11" s="69">
        <f t="array" ref="F11">RTD("tickerplantrtdserver",,"FWRC1#GBPINR#Month End Rates#0#Ask%6")</f>
        <v>2.5026000000000002</v>
      </c>
      <c r="G11" s="69">
        <f t="array" ref="G11">RTD("tickerplantrtdserver",,"FWRC1#GBPINR#Month End Rates#0#Ask%7")</f>
        <v>2.4453</v>
      </c>
      <c r="H11" s="69">
        <f t="array" ref="H11">RTD("tickerplantrtdserver",,"FWRC1#GBPINR#Month End Rates#0#Ask%8")</f>
        <v>2.4037000000000002</v>
      </c>
      <c r="I11" s="69">
        <f t="array" ref="I11">RTD("tickerplantrtdserver",,"FWRC1#GBPINR#Month End Rates#0#Ask%9")</f>
        <v>2.3561000000000001</v>
      </c>
      <c r="J11" s="69">
        <f t="array" ref="J11">RTD("tickerplantrtdserver",,"FWRC1#GBPINR#Month End Rates#0#Ask%10")</f>
        <v>2.3355000000000001</v>
      </c>
      <c r="K11" s="69">
        <f t="array" ref="K11">RTD("tickerplantrtdserver",,"FWRC1#GBPINR#Month End Rates#0#Ask%11")</f>
        <v>2.3418000000000001</v>
      </c>
      <c r="L11" s="69">
        <f t="array" ref="L11">RTD("tickerplantrtdserver",,"FWRC1#GBPINR#Month End Rates#0#Ask%12")</f>
        <v>2.2953000000000001</v>
      </c>
      <c r="M11" s="69">
        <f t="array" ref="M11">RTD("tickerplantrtdserver",,"FWRC1#GBPINR#Month End Rates#0#Ask%13")</f>
        <v>2.2791000000000001</v>
      </c>
      <c r="N11" s="69">
        <f t="array" ref="N11">RTD("tickerplantrtdserver",,"FWRC1#GBPINR#Month End Rates#0#Ask%14")</f>
        <v>2.2888000000000002</v>
      </c>
      <c r="O11" s="70">
        <f t="array" ref="O11">RTD("tickerplantrtdserver",,"FWRC1#GBPINR#Month End Rates#0#Ask%15")</f>
        <v>2.3290999999999999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21"/>
      <c r="G14" s="21"/>
      <c r="H14" s="32"/>
      <c r="I14" s="32"/>
      <c r="J14" s="32"/>
      <c r="L14" s="31"/>
      <c r="M14" s="31"/>
      <c r="N14" s="31"/>
      <c r="Q14" s="23"/>
      <c r="R14" s="23"/>
    </row>
    <row r="15" spans="1:18" s="14" customFormat="1" x14ac:dyDescent="0.25">
      <c r="A15" s="13"/>
      <c r="B15" s="21"/>
      <c r="C15" s="21"/>
      <c r="D15" s="58"/>
      <c r="E15" s="21"/>
      <c r="F15" s="21"/>
      <c r="G15" s="21"/>
      <c r="H15" s="32"/>
      <c r="I15" s="32"/>
      <c r="J15" s="32"/>
      <c r="L15" s="31"/>
      <c r="M15" s="31"/>
      <c r="N15" s="31"/>
      <c r="Q15" s="23"/>
      <c r="R15" s="23"/>
    </row>
    <row r="16" spans="1:18" s="14" customFormat="1" x14ac:dyDescent="0.25">
      <c r="A16" s="13"/>
      <c r="B16" s="21"/>
      <c r="C16" s="21"/>
      <c r="D16" s="58"/>
      <c r="E16" s="21"/>
      <c r="F16" s="21"/>
      <c r="G16" s="21"/>
      <c r="H16" s="32"/>
      <c r="I16" s="32"/>
      <c r="J16" s="32"/>
      <c r="L16" s="31"/>
      <c r="M16" s="31"/>
      <c r="N16" s="31"/>
      <c r="Q16" s="23"/>
      <c r="R16" s="23"/>
    </row>
    <row r="17" spans="1:19" s="14" customFormat="1" x14ac:dyDescent="0.25">
      <c r="A17" s="13"/>
      <c r="B17" s="21"/>
      <c r="C17" s="21"/>
      <c r="D17" s="58"/>
      <c r="E17" s="21"/>
      <c r="F17" s="21"/>
      <c r="G17" s="21"/>
      <c r="H17" s="32"/>
      <c r="I17" s="32"/>
      <c r="J17" s="32"/>
      <c r="L17" s="31"/>
      <c r="M17" s="31"/>
      <c r="N17" s="31"/>
      <c r="Q17" s="23"/>
      <c r="R17" s="23"/>
    </row>
    <row r="18" spans="1:19" s="14" customFormat="1" x14ac:dyDescent="0.25">
      <c r="A18" s="13"/>
      <c r="B18" s="21"/>
      <c r="C18" s="21"/>
      <c r="D18" s="58"/>
      <c r="E18" s="21"/>
      <c r="F18" s="21"/>
      <c r="G18" s="21"/>
      <c r="H18" s="32"/>
      <c r="I18" s="32"/>
      <c r="J18" s="32"/>
      <c r="L18" s="31"/>
      <c r="M18" s="31"/>
      <c r="N18" s="31"/>
      <c r="Q18" s="23"/>
      <c r="R18" s="23"/>
    </row>
    <row r="19" spans="1:19" s="14" customFormat="1" x14ac:dyDescent="0.25">
      <c r="A19" s="13"/>
      <c r="B19" s="21"/>
      <c r="C19" s="21"/>
      <c r="D19" s="58"/>
      <c r="E19" s="21"/>
      <c r="F19" s="21"/>
      <c r="G19" s="21"/>
      <c r="H19" s="32"/>
      <c r="I19" s="32"/>
      <c r="J19" s="32"/>
      <c r="L19" s="31"/>
      <c r="M19" s="31"/>
      <c r="N19" s="31"/>
      <c r="Q19" s="23"/>
      <c r="R19" s="23"/>
    </row>
    <row r="20" spans="1:19" s="14" customFormat="1" x14ac:dyDescent="0.25">
      <c r="A20" s="13"/>
      <c r="B20" s="21"/>
      <c r="C20" s="21"/>
      <c r="D20" s="58"/>
      <c r="E20" s="21"/>
      <c r="F20" s="21"/>
      <c r="G20" s="21"/>
      <c r="H20" s="32"/>
      <c r="I20" s="32"/>
      <c r="J20" s="32"/>
      <c r="L20" s="31"/>
      <c r="M20" s="31"/>
      <c r="N20" s="31"/>
      <c r="Q20" s="23"/>
      <c r="R20" s="23"/>
    </row>
    <row r="21" spans="1:19" x14ac:dyDescent="0.25">
      <c r="A21" s="13"/>
      <c r="B21" s="21"/>
      <c r="C21" s="21"/>
      <c r="D21" s="58"/>
      <c r="E21" s="21"/>
      <c r="F21" s="21"/>
      <c r="G21" s="21"/>
      <c r="H21" s="32"/>
      <c r="I21" s="32"/>
      <c r="J21" s="32"/>
      <c r="K21" s="14"/>
      <c r="L21" s="31"/>
      <c r="M21" s="31"/>
      <c r="N21" s="31"/>
      <c r="O21" s="14"/>
      <c r="P21" s="14"/>
      <c r="Q21" s="23"/>
      <c r="R21" s="23"/>
      <c r="S21" s="14"/>
    </row>
    <row r="22" spans="1:19" x14ac:dyDescent="0.25">
      <c r="A22" s="13"/>
      <c r="B22" s="21"/>
      <c r="C22" s="21"/>
      <c r="D22" s="58"/>
      <c r="E22" s="21"/>
      <c r="F22" s="21"/>
      <c r="G22" s="21"/>
      <c r="H22" s="32"/>
      <c r="I22" s="32"/>
      <c r="J22" s="32"/>
      <c r="K22" s="14"/>
      <c r="L22" s="31"/>
      <c r="M22" s="31"/>
      <c r="N22" s="31"/>
      <c r="O22" s="14"/>
      <c r="P22" s="14"/>
      <c r="Q22" s="23"/>
      <c r="R22" s="23"/>
      <c r="S22" s="14"/>
    </row>
    <row r="23" spans="1:19" x14ac:dyDescent="0.25">
      <c r="A23" s="13"/>
      <c r="B23" s="21"/>
      <c r="C23" s="21"/>
      <c r="D23" s="58"/>
      <c r="E23" s="21"/>
      <c r="F23" s="21"/>
      <c r="G23" s="21"/>
      <c r="H23" s="32"/>
      <c r="I23" s="32"/>
      <c r="J23" s="32"/>
      <c r="K23" s="14"/>
      <c r="L23" s="31"/>
      <c r="M23" s="31"/>
      <c r="N23" s="31"/>
      <c r="O23" s="14"/>
      <c r="P23" s="14"/>
      <c r="Q23" s="23"/>
      <c r="R23" s="23"/>
      <c r="S23" s="14"/>
    </row>
    <row r="24" spans="1:19" s="2" customFormat="1" x14ac:dyDescent="0.25">
      <c r="A24" s="13"/>
      <c r="B24" s="21"/>
      <c r="C24" s="21"/>
      <c r="D24" s="58"/>
      <c r="E24" s="21"/>
      <c r="F24" s="21"/>
      <c r="G24" s="21"/>
      <c r="H24" s="32"/>
      <c r="I24" s="32"/>
      <c r="J24" s="32"/>
      <c r="K24" s="14"/>
      <c r="L24" s="31"/>
      <c r="M24" s="31"/>
      <c r="N24" s="31"/>
      <c r="O24" s="14"/>
      <c r="P24" s="14"/>
      <c r="Q24" s="23"/>
      <c r="R24" s="23"/>
      <c r="S24" s="14"/>
    </row>
    <row r="25" spans="1:19" x14ac:dyDescent="0.25">
      <c r="A25" s="13"/>
      <c r="B25" s="21"/>
      <c r="C25" s="21"/>
      <c r="D25" s="58"/>
      <c r="E25" s="21"/>
      <c r="F25" s="21"/>
      <c r="G25" s="21"/>
      <c r="H25" s="32"/>
      <c r="I25" s="32"/>
      <c r="J25" s="32"/>
      <c r="K25" s="14"/>
      <c r="L25" s="31"/>
      <c r="M25" s="31"/>
      <c r="N25" s="31"/>
      <c r="O25" s="14"/>
      <c r="P25" s="14"/>
      <c r="Q25" s="23"/>
      <c r="R25" s="23"/>
      <c r="S25" s="14"/>
    </row>
    <row r="26" spans="1:19" x14ac:dyDescent="0.25">
      <c r="A26" s="13"/>
      <c r="B26" s="21"/>
      <c r="C26" s="21"/>
      <c r="D26" s="58"/>
      <c r="E26" s="21"/>
      <c r="F26" s="21"/>
      <c r="G26" s="21"/>
      <c r="H26" s="32"/>
      <c r="I26" s="32"/>
      <c r="J26" s="32"/>
      <c r="K26" s="14"/>
      <c r="L26" s="31"/>
      <c r="M26" s="31"/>
      <c r="N26" s="31"/>
      <c r="O26" s="14"/>
      <c r="P26" s="14"/>
      <c r="Q26" s="23"/>
      <c r="R26" s="23"/>
      <c r="S26" s="14"/>
    </row>
    <row r="27" spans="1:19" x14ac:dyDescent="0.25">
      <c r="A27" s="13"/>
      <c r="B27" s="21"/>
      <c r="C27" s="21"/>
      <c r="D27" s="58"/>
      <c r="E27" s="21"/>
      <c r="F27" s="21"/>
      <c r="G27" s="21"/>
      <c r="H27" s="32"/>
      <c r="I27" s="32"/>
      <c r="J27" s="32"/>
      <c r="K27" s="14"/>
      <c r="L27" s="31"/>
      <c r="M27" s="31"/>
      <c r="N27" s="31"/>
      <c r="O27" s="14"/>
      <c r="P27" s="14"/>
      <c r="Q27" s="23"/>
      <c r="R27" s="23"/>
      <c r="S27" s="14"/>
    </row>
    <row r="28" spans="1:19" x14ac:dyDescent="0.25">
      <c r="A28" s="13"/>
      <c r="B28" s="21"/>
      <c r="C28" s="21"/>
      <c r="D28" s="58"/>
      <c r="E28" s="21"/>
      <c r="F28" s="21"/>
      <c r="G28" s="21"/>
      <c r="H28" s="32"/>
      <c r="I28" s="32"/>
      <c r="J28" s="32"/>
      <c r="K28" s="14"/>
      <c r="L28" s="31"/>
      <c r="M28" s="31"/>
      <c r="N28" s="31"/>
      <c r="O28" s="14"/>
      <c r="P28" s="14"/>
      <c r="Q28" s="23"/>
      <c r="R28" s="23"/>
      <c r="S28" s="14"/>
    </row>
    <row r="29" spans="1:19" x14ac:dyDescent="0.25">
      <c r="A29" s="13"/>
      <c r="B29" s="21"/>
      <c r="C29" s="21"/>
      <c r="D29" s="58"/>
      <c r="E29" s="21"/>
      <c r="F29" s="21"/>
      <c r="G29" s="21"/>
      <c r="H29" s="32"/>
      <c r="I29" s="32"/>
      <c r="J29" s="32"/>
      <c r="K29" s="14"/>
      <c r="L29" s="31"/>
      <c r="M29" s="31"/>
      <c r="N29" s="31"/>
      <c r="O29" s="14"/>
      <c r="P29" s="14"/>
      <c r="Q29" s="23"/>
      <c r="R29" s="23"/>
      <c r="S29" s="14"/>
    </row>
    <row r="30" spans="1:19" x14ac:dyDescent="0.25">
      <c r="A30" s="13"/>
      <c r="B30" s="21"/>
      <c r="C30" s="21"/>
      <c r="D30" s="58"/>
      <c r="E30" s="21"/>
      <c r="F30" s="21"/>
      <c r="G30" s="21"/>
      <c r="H30" s="32"/>
      <c r="I30" s="32"/>
      <c r="J30" s="32"/>
      <c r="K30" s="14"/>
      <c r="L30" s="31"/>
      <c r="M30" s="31"/>
      <c r="N30" s="31"/>
      <c r="O30" s="14"/>
      <c r="P30" s="14"/>
      <c r="Q30" s="23"/>
      <c r="R30" s="23"/>
      <c r="S30" s="14"/>
    </row>
    <row r="31" spans="1:19" x14ac:dyDescent="0.25">
      <c r="A31" s="13"/>
      <c r="B31" s="21"/>
      <c r="C31" s="21"/>
      <c r="D31" s="58"/>
      <c r="E31" s="21"/>
      <c r="F31" s="21"/>
      <c r="G31" s="21"/>
      <c r="H31" s="32"/>
      <c r="I31" s="32"/>
      <c r="J31" s="32"/>
      <c r="K31" s="14"/>
      <c r="L31" s="31"/>
      <c r="M31" s="31"/>
      <c r="N31" s="31"/>
      <c r="O31" s="14"/>
      <c r="P31" s="14"/>
      <c r="Q31" s="23"/>
      <c r="R31" s="23"/>
      <c r="S31" s="14"/>
    </row>
    <row r="32" spans="1:19" x14ac:dyDescent="0.25">
      <c r="A32" s="13"/>
      <c r="B32" s="21"/>
      <c r="C32" s="21"/>
      <c r="D32" s="58"/>
      <c r="E32" s="21"/>
      <c r="F32" s="21"/>
      <c r="G32" s="21"/>
      <c r="H32" s="32"/>
      <c r="I32" s="32"/>
      <c r="J32" s="32"/>
      <c r="K32" s="14"/>
      <c r="L32" s="31"/>
      <c r="M32" s="31"/>
      <c r="N32" s="31"/>
      <c r="O32" s="14"/>
      <c r="P32" s="14"/>
      <c r="Q32" s="23"/>
      <c r="R32" s="23"/>
      <c r="S32" s="14"/>
    </row>
    <row r="33" spans="1:19" x14ac:dyDescent="0.25">
      <c r="A33" s="13"/>
      <c r="B33" s="21"/>
      <c r="C33" s="21"/>
      <c r="D33" s="58"/>
      <c r="E33" s="21"/>
      <c r="F33" s="21"/>
      <c r="G33" s="21"/>
      <c r="H33" s="32"/>
      <c r="I33" s="32"/>
      <c r="J33" s="32"/>
      <c r="K33" s="14"/>
      <c r="L33" s="31"/>
      <c r="M33" s="31"/>
      <c r="N33" s="31"/>
      <c r="O33" s="14"/>
      <c r="P33" s="14"/>
      <c r="Q33" s="23"/>
      <c r="R33" s="23"/>
      <c r="S33" s="14"/>
    </row>
    <row r="34" spans="1:19" x14ac:dyDescent="0.25">
      <c r="A34" s="13"/>
      <c r="B34" s="21"/>
      <c r="C34" s="21"/>
      <c r="D34" s="58"/>
      <c r="E34" s="21"/>
      <c r="F34" s="21"/>
      <c r="G34" s="21"/>
      <c r="H34" s="32"/>
      <c r="I34" s="32"/>
      <c r="J34" s="32"/>
      <c r="K34" s="14"/>
      <c r="L34" s="31"/>
      <c r="M34" s="31"/>
      <c r="N34" s="31"/>
      <c r="O34" s="14"/>
      <c r="P34" s="14"/>
      <c r="Q34" s="23"/>
      <c r="R34" s="23"/>
      <c r="S34" s="14"/>
    </row>
    <row r="35" spans="1:19" x14ac:dyDescent="0.25">
      <c r="A35" s="13"/>
      <c r="B35" s="21"/>
      <c r="C35" s="21"/>
      <c r="D35" s="58"/>
      <c r="E35" s="21"/>
      <c r="F35" s="21"/>
      <c r="G35" s="21"/>
      <c r="H35" s="32"/>
      <c r="I35" s="32"/>
      <c r="J35" s="32"/>
      <c r="K35" s="14"/>
      <c r="L35" s="31"/>
      <c r="M35" s="31"/>
      <c r="N35" s="31"/>
      <c r="O35" s="14"/>
      <c r="P35" s="14"/>
      <c r="Q35" s="23"/>
      <c r="R35" s="23"/>
      <c r="S35" s="14"/>
    </row>
    <row r="36" spans="1:19" x14ac:dyDescent="0.25">
      <c r="A36" s="13"/>
      <c r="B36" s="21"/>
      <c r="C36" s="21"/>
      <c r="D36" s="58"/>
      <c r="E36" s="21"/>
      <c r="F36" s="21"/>
      <c r="G36" s="21"/>
      <c r="H36" s="32"/>
      <c r="I36" s="32"/>
      <c r="J36" s="32"/>
      <c r="K36" s="14"/>
      <c r="L36" s="31"/>
      <c r="M36" s="31"/>
      <c r="N36" s="31"/>
      <c r="O36" s="14"/>
      <c r="P36" s="14"/>
      <c r="Q36" s="23"/>
      <c r="R36" s="23"/>
      <c r="S36" s="14"/>
    </row>
    <row r="37" spans="1:19" x14ac:dyDescent="0.25">
      <c r="A37" s="13"/>
      <c r="B37" s="21"/>
      <c r="C37" s="21"/>
      <c r="D37" s="58"/>
      <c r="E37" s="21"/>
      <c r="F37" s="21"/>
      <c r="G37" s="21"/>
      <c r="H37" s="32"/>
      <c r="I37" s="32"/>
      <c r="J37" s="32"/>
      <c r="K37" s="14"/>
      <c r="L37" s="31"/>
      <c r="M37" s="31"/>
      <c r="N37" s="31"/>
      <c r="O37" s="14"/>
      <c r="P37" s="14"/>
      <c r="Q37" s="23"/>
      <c r="R37" s="23"/>
      <c r="S37" s="14"/>
    </row>
    <row r="38" spans="1:19" x14ac:dyDescent="0.25">
      <c r="A38" s="13"/>
      <c r="B38" s="21"/>
      <c r="C38" s="21"/>
      <c r="D38" s="58"/>
      <c r="E38" s="21"/>
      <c r="F38" s="21"/>
      <c r="G38" s="21"/>
      <c r="H38" s="32"/>
      <c r="I38" s="32"/>
      <c r="J38" s="32"/>
      <c r="K38" s="14"/>
      <c r="L38" s="31"/>
      <c r="M38" s="31"/>
      <c r="N38" s="31"/>
      <c r="O38" s="14"/>
      <c r="P38" s="14"/>
      <c r="Q38" s="23"/>
      <c r="R38" s="23"/>
      <c r="S38" s="14"/>
    </row>
    <row r="39" spans="1:19" x14ac:dyDescent="0.25">
      <c r="A39" s="13"/>
      <c r="B39" s="21"/>
      <c r="C39" s="21"/>
      <c r="D39" s="58"/>
      <c r="E39" s="21"/>
      <c r="F39" s="21"/>
      <c r="G39" s="21"/>
      <c r="H39" s="32"/>
      <c r="I39" s="32"/>
      <c r="J39" s="32"/>
      <c r="K39" s="14"/>
      <c r="L39" s="31"/>
      <c r="M39" s="31"/>
      <c r="N39" s="31"/>
      <c r="O39" s="14"/>
      <c r="P39" s="14"/>
      <c r="Q39" s="23"/>
      <c r="R39" s="23"/>
      <c r="S39" s="14"/>
    </row>
  </sheetData>
  <mergeCells count="14">
    <mergeCell ref="A9:B9"/>
    <mergeCell ref="C9:O9"/>
    <mergeCell ref="A10:B10"/>
    <mergeCell ref="A11:B11"/>
    <mergeCell ref="A5:B5"/>
    <mergeCell ref="A6:B6"/>
    <mergeCell ref="C6:O6"/>
    <mergeCell ref="A7:B7"/>
    <mergeCell ref="A8:B8"/>
    <mergeCell ref="A1:B1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6"/>
  <sheetViews>
    <sheetView workbookViewId="0">
      <selection activeCell="C4" sqref="C4"/>
    </sheetView>
  </sheetViews>
  <sheetFormatPr defaultColWidth="8.85546875"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RTD("tickerplantrtdserver",,"FWRC1#JPYINR#Month End Rates#0#S#Desc.2")</f>
        <v>CASH/SPOT</v>
      </c>
      <c r="D1" s="76" t="str">
        <f t="array" ref="D1">RTD("tickerplantrtdserver",,"FWRC1#JPYINR#Month End Rates#0#S#Desc.4")</f>
        <v>MAY-2023</v>
      </c>
      <c r="E1" s="76" t="str">
        <f t="array" ref="E1">RTD("tickerplantrtdserver",,"FWRC1#JPYINR#Month End Rates#0#S#Desc.5")</f>
        <v>JUN-2023</v>
      </c>
      <c r="F1" s="76" t="str">
        <f t="array" ref="F1">RTD("tickerplantrtdserver",,"FWRC1#JPYINR#Month End Rates#0#S#Desc.6")</f>
        <v>JUL-2023</v>
      </c>
      <c r="G1" s="76" t="str">
        <f t="array" ref="G1">RTD("tickerplantrtdserver",,"FWRC1#JPYINR#Month End Rates#0#S#Desc.7")</f>
        <v>AUG-2023</v>
      </c>
      <c r="H1" s="76" t="str">
        <f t="array" ref="H1">RTD("tickerplantrtdserver",,"FWRC1#JPYINR#Month End Rates#0#S#Desc.8")</f>
        <v>SEP-2023</v>
      </c>
      <c r="I1" s="76" t="str">
        <f t="array" ref="I1">RTD("tickerplantrtdserver",,"FWRC1#JPYINR#Month End Rates#0#S#Desc.9")</f>
        <v>OCT-2023</v>
      </c>
      <c r="J1" s="76" t="str">
        <f t="array" ref="J1">RTD("tickerplantrtdserver",,"FWRC1#JPYINR#Month End Rates#0#S#Desc.10")</f>
        <v>NOV-2023</v>
      </c>
      <c r="K1" s="76" t="str">
        <f t="array" ref="K1">RTD("tickerplantrtdserver",,"FWRC1#JPYINR#Month End Rates#0#S#Desc.11")</f>
        <v>DEC-2023</v>
      </c>
      <c r="L1" s="76" t="str">
        <f t="array" ref="L1">RTD("tickerplantrtdserver",,"FWRC1#JPYINR#Month End Rates#0#S#Desc.12")</f>
        <v>JAN-2024</v>
      </c>
      <c r="M1" s="76" t="str">
        <f t="array" ref="M1">RTD("tickerplantrtdserver",,"FWRC1#JPYINR#Month End Rates#0#S#Desc.13")</f>
        <v>FEB-2024</v>
      </c>
      <c r="N1" s="76" t="str">
        <f t="array" ref="N1">RTD("tickerplantrtdserver",,"FWRC1#JPYINR#Month End Rates#0#S#Desc.14")</f>
        <v>MAR-2024</v>
      </c>
      <c r="O1" s="77" t="str">
        <f t="array" ref="O1">RTD("tickerplantrtdserver",,"FWRC1#JPYINR#Month End Rates#0#S#Desc.15")</f>
        <v>APR-2024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RTD("tickerplantrtdserver",,"FWRC1#JPYINR#Month End Rates#0#S#PillarDate2")</f>
        <v>10-May-2023</v>
      </c>
      <c r="D2" s="71" t="str">
        <f t="array" ref="D2">RTD("tickerplantrtdserver",,"FWRC1#JPYINR#Month End Rates#0#S#PillarDate4")</f>
        <v>31-May-2023</v>
      </c>
      <c r="E2" s="71" t="str">
        <f t="array" ref="E2">RTD("tickerplantrtdserver",,"FWRC1#JPYINR#Month End Rates#0#S#PillarDate5")</f>
        <v>30-Jun-2023</v>
      </c>
      <c r="F2" s="71" t="str">
        <f t="array" ref="F2">RTD("tickerplantrtdserver",,"FWRC1#JPYINR#Month End Rates#0#S#PillarDate6")</f>
        <v>31-Jul-2023</v>
      </c>
      <c r="G2" s="71" t="str">
        <f t="array" ref="G2">RTD("tickerplantrtdserver",,"FWRC1#JPYINR#Month End Rates#0#S#PillarDate7")</f>
        <v>31-Aug-2023</v>
      </c>
      <c r="H2" s="71" t="str">
        <f t="array" ref="H2">RTD("tickerplantrtdserver",,"FWRC1#JPYINR#Month End Rates#0#S#PillarDate8")</f>
        <v>29-Sep-2023</v>
      </c>
      <c r="I2" s="71" t="str">
        <f t="array" ref="I2">RTD("tickerplantrtdserver",,"FWRC1#JPYINR#Month End Rates#0#S#PillarDate9")</f>
        <v>31-Oct-2023</v>
      </c>
      <c r="J2" s="71" t="str">
        <f t="array" ref="J2">RTD("tickerplantrtdserver",,"FWRC1#JPYINR#Month End Rates#0#S#PillarDate10")</f>
        <v>30-Nov-2023</v>
      </c>
      <c r="K2" s="71" t="str">
        <f t="array" ref="K2">RTD("tickerplantrtdserver",,"FWRC1#JPYINR#Month End Rates#0#S#PillarDate11")</f>
        <v>29-Dec-2023</v>
      </c>
      <c r="L2" s="71" t="str">
        <f t="array" ref="L2">RTD("tickerplantrtdserver",,"FWRC1#JPYINR#Month End Rates#0#S#PillarDate12")</f>
        <v>31-Jan-2024</v>
      </c>
      <c r="M2" s="71" t="str">
        <f t="array" ref="M2">RTD("tickerplantrtdserver",,"FWRC1#JPYINR#Month End Rates#0#S#PillarDate13")</f>
        <v>29-Feb-2024</v>
      </c>
      <c r="N2" s="71" t="str">
        <f t="array" ref="N2">RTD("tickerplantrtdserver",,"FWRC1#JPYINR#Month End Rates#0#S#PillarDate14")</f>
        <v>28-Mar-2024</v>
      </c>
      <c r="O2" s="75" t="str">
        <f t="array" ref="O2">RTD("tickerplantrtdserver",,"FWRC1#JPYINR#Month End Rates#0#S#PillarDate15")</f>
        <v>30-Apr-2024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>RTD("tickerplantrtdserver",,"FWRC1#JPYINR#Month End Rates#0#BidPrice2")/100</f>
        <v>2.1053310000000001</v>
      </c>
      <c r="D4" s="65">
        <f>RTD("tickerplantrtdserver",,"FWRC1#JPYINR#Month End Rates#0#BidPrice4")/100</f>
        <v>24.267925000000002</v>
      </c>
      <c r="E4" s="65">
        <f>RTD("tickerplantrtdserver",,"FWRC1#JPYINR#Month End Rates#0#BidPrice5")/100</f>
        <v>60.798524999999998</v>
      </c>
      <c r="F4" s="65">
        <f>RTD("tickerplantrtdserver",,"FWRC1#JPYINR#Month End Rates#0#BidPrice6")/100</f>
        <v>99.093775000000008</v>
      </c>
      <c r="G4" s="65">
        <f>RTD("tickerplantrtdserver",,"FWRC1#JPYINR#Month End Rates#0#BidPrice7")/100</f>
        <v>137.19132500000001</v>
      </c>
      <c r="H4" s="65">
        <f>RTD("tickerplantrtdserver",,"FWRC1#JPYINR#Month End Rates#0#BidPrice8")/100</f>
        <v>173.89432499999998</v>
      </c>
      <c r="I4" s="65">
        <f>RTD("tickerplantrtdserver",,"FWRC1#JPYINR#Month End Rates#0#BidPrice9")/100</f>
        <v>211.5059</v>
      </c>
      <c r="J4" s="65">
        <f>RTD("tickerplantrtdserver",,"FWRC1#JPYINR#Month End Rates#0#BidPrice10")/100</f>
        <v>251.53912499999998</v>
      </c>
      <c r="K4" s="65">
        <f>RTD("tickerplantrtdserver",,"FWRC1#JPYINR#Month End Rates#0#BidPrice11")/100</f>
        <v>294.23782499999999</v>
      </c>
      <c r="L4" s="65">
        <f>RTD("tickerplantrtdserver",,"FWRC1#JPYINR#Month End Rates#0#BidPrice12")/100</f>
        <v>336.63367499999998</v>
      </c>
      <c r="M4" s="65">
        <f>RTD("tickerplantrtdserver",,"FWRC1#JPYINR#Month End Rates#0#BidPrice13")/100</f>
        <v>371.72730000000001</v>
      </c>
      <c r="N4" s="65">
        <f>RTD("tickerplantrtdserver",,"FWRC1#JPYINR#Month End Rates#0#BidPrice14")/100</f>
        <v>408.70139999999998</v>
      </c>
      <c r="O4" s="67">
        <f>RTD("tickerplantrtdserver",,"FWRC1#JPYINR#Month End Rates#0#BidPrice15")/100</f>
        <v>453.68664999999999</v>
      </c>
      <c r="P4" s="20"/>
    </row>
    <row r="5" spans="1:18" s="14" customFormat="1" x14ac:dyDescent="0.25">
      <c r="A5" s="160" t="s">
        <v>48</v>
      </c>
      <c r="B5" s="161"/>
      <c r="C5" s="65">
        <f>RTD("tickerplantrtdserver",,"FWRC1#JPYINR#Month End Rates#0#AskPrice2")/100</f>
        <v>3.3852789999999997</v>
      </c>
      <c r="D5" s="65">
        <f>RTD("tickerplantrtdserver",,"FWRC1#JPYINR#Month End Rates#0#AskPrice4")/100</f>
        <v>25.363499999999998</v>
      </c>
      <c r="E5" s="65">
        <f>RTD("tickerplantrtdserver",,"FWRC1#JPYINR#Month End Rates#0#AskPrice5")/100</f>
        <v>62.325924999999998</v>
      </c>
      <c r="F5" s="65">
        <f>RTD("tickerplantrtdserver",,"FWRC1#JPYINR#Month End Rates#0#AskPrice6")/100</f>
        <v>100.550175</v>
      </c>
      <c r="G5" s="65">
        <f>RTD("tickerplantrtdserver",,"FWRC1#JPYINR#Month End Rates#0#AskPrice7")/100</f>
        <v>139.227225</v>
      </c>
      <c r="H5" s="65">
        <f>RTD("tickerplantrtdserver",,"FWRC1#JPYINR#Month End Rates#0#AskPrice8")/100</f>
        <v>175.98535000000001</v>
      </c>
      <c r="I5" s="65">
        <f>RTD("tickerplantrtdserver",,"FWRC1#JPYINR#Month End Rates#0#AskPrice9")/100</f>
        <v>213.62072499999999</v>
      </c>
      <c r="J5" s="65">
        <f>RTD("tickerplantrtdserver",,"FWRC1#JPYINR#Month End Rates#0#AskPrice10")/100</f>
        <v>253.94365000000002</v>
      </c>
      <c r="K5" s="65">
        <f>RTD("tickerplantrtdserver",,"FWRC1#JPYINR#Month End Rates#0#AskPrice11")/100</f>
        <v>296.67244999999997</v>
      </c>
      <c r="L5" s="65">
        <f>RTD("tickerplantrtdserver",,"FWRC1#JPYINR#Month End Rates#0#AskPrice12")/100</f>
        <v>338.86862500000001</v>
      </c>
      <c r="M5" s="65">
        <f>RTD("tickerplantrtdserver",,"FWRC1#JPYINR#Month End Rates#0#AskPrice13")/100</f>
        <v>373.99470000000002</v>
      </c>
      <c r="N5" s="65">
        <f>RTD("tickerplantrtdserver",,"FWRC1#JPYINR#Month End Rates#0#AskPrice14")/100</f>
        <v>411.959675</v>
      </c>
      <c r="O5" s="67">
        <f>RTD("tickerplantrtdserver",,"FWRC1#JPYINR#Month End Rates#0#AskPrice15")/100</f>
        <v>456.257475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>RTD("tickerplantrtdserver",,"FWRC1#JPYINR#Month End Rates#0#FwdOutrightBid2")</f>
        <v>60.627499999999998</v>
      </c>
      <c r="D7" s="64">
        <f t="array" ref="D7">RTD("tickerplantrtdserver",,"FWRC1#JPYINR#Month End Rates#0#FwdOutrightBid4")</f>
        <v>60.870199999999997</v>
      </c>
      <c r="E7" s="64">
        <f t="array" ref="E7">RTD("tickerplantrtdserver",,"FWRC1#JPYINR#Month End Rates#0#FwdOutrightBid5")</f>
        <v>61.235500000000002</v>
      </c>
      <c r="F7" s="64">
        <f t="array" ref="F7">RTD("tickerplantrtdserver",,"FWRC1#JPYINR#Month End Rates#0#FwdOutrightBid6")</f>
        <v>61.618400000000001</v>
      </c>
      <c r="G7" s="64">
        <f t="array" ref="G7">RTD("tickerplantrtdserver",,"FWRC1#JPYINR#Month End Rates#0#FwdOutrightBid7")</f>
        <v>61.999400000000001</v>
      </c>
      <c r="H7" s="64">
        <f t="array" ref="H7">RTD("tickerplantrtdserver",,"FWRC1#JPYINR#Month End Rates#0#FwdOutrightBid8")</f>
        <v>62.366399999999999</v>
      </c>
      <c r="I7" s="64">
        <f t="array" ref="I7">RTD("tickerplantrtdserver",,"FWRC1#JPYINR#Month End Rates#0#FwdOutrightBid9")</f>
        <v>62.742600000000003</v>
      </c>
      <c r="J7" s="64">
        <f t="array" ref="J7">RTD("tickerplantrtdserver",,"FWRC1#JPYINR#Month End Rates#0#FwdOutrightBid10")</f>
        <v>63.142899999999997</v>
      </c>
      <c r="K7" s="64">
        <f t="array" ref="K7">RTD("tickerplantrtdserver",,"FWRC1#JPYINR#Month End Rates#0#FwdOutrightBid11")</f>
        <v>63.569899999999997</v>
      </c>
      <c r="L7" s="64">
        <f t="array" ref="L7">RTD("tickerplantrtdserver",,"FWRC1#JPYINR#Month End Rates#0#FwdOutrightBid12")</f>
        <v>63.9938</v>
      </c>
      <c r="M7" s="64">
        <f t="array" ref="M7">RTD("tickerplantrtdserver",,"FWRC1#JPYINR#Month End Rates#0#FwdOutrightBid13")</f>
        <v>64.344800000000006</v>
      </c>
      <c r="N7" s="64">
        <f t="array" ref="N7">RTD("tickerplantrtdserver",,"FWRC1#JPYINR#Month End Rates#0#FwdOutrightBid14")</f>
        <v>64.714500000000001</v>
      </c>
      <c r="O7" s="68">
        <f t="array" ref="O7">RTD("tickerplantrtdserver",,"FWRC1#JPYINR#Month End Rates#0#FwdOutrightBid15")</f>
        <v>65.164400000000001</v>
      </c>
      <c r="P7" s="20"/>
    </row>
    <row r="8" spans="1:18" s="14" customFormat="1" x14ac:dyDescent="0.25">
      <c r="A8" s="160" t="s">
        <v>48</v>
      </c>
      <c r="B8" s="161"/>
      <c r="C8" s="64">
        <f>RTD("tickerplantrtdserver",,"FWRC1#JPYINR#Month End Rates#0#FwdOutrightAsk2")</f>
        <v>60.64</v>
      </c>
      <c r="D8" s="64">
        <f t="array" ref="D8">RTD("tickerplantrtdserver",,"FWRC1#JPYINR#Month End Rates#0#FwdOutrightAsk4")</f>
        <v>60.893599999999999</v>
      </c>
      <c r="E8" s="64">
        <f t="array" ref="E8">RTD("tickerplantrtdserver",,"FWRC1#JPYINR#Month End Rates#0#FwdOutrightAsk5")</f>
        <v>61.263300000000001</v>
      </c>
      <c r="F8" s="64">
        <f t="array" ref="F8">RTD("tickerplantrtdserver",,"FWRC1#JPYINR#Month End Rates#0#FwdOutrightAsk6")</f>
        <v>61.645499999999998</v>
      </c>
      <c r="G8" s="64">
        <f t="array" ref="G8">RTD("tickerplantrtdserver",,"FWRC1#JPYINR#Month End Rates#0#FwdOutrightAsk7")</f>
        <v>62.032299999999999</v>
      </c>
      <c r="H8" s="64">
        <f t="array" ref="H8">RTD("tickerplantrtdserver",,"FWRC1#JPYINR#Month End Rates#0#FwdOutrightAsk8")</f>
        <v>62.399900000000002</v>
      </c>
      <c r="I8" s="64">
        <f t="array" ref="I8">RTD("tickerplantrtdserver",,"FWRC1#JPYINR#Month End Rates#0#FwdOutrightAsk9")</f>
        <v>62.776200000000003</v>
      </c>
      <c r="J8" s="64">
        <f t="array" ref="J8">RTD("tickerplantrtdserver",,"FWRC1#JPYINR#Month End Rates#0#FwdOutrightAsk10")</f>
        <v>63.179400000000001</v>
      </c>
      <c r="K8" s="64">
        <f t="array" ref="K8">RTD("tickerplantrtdserver",,"FWRC1#JPYINR#Month End Rates#0#FwdOutrightAsk11")</f>
        <v>63.606699999999996</v>
      </c>
      <c r="L8" s="64">
        <f t="array" ref="L8">RTD("tickerplantrtdserver",,"FWRC1#JPYINR#Month End Rates#0#FwdOutrightAsk12")</f>
        <v>64.028700000000001</v>
      </c>
      <c r="M8" s="64">
        <f t="array" ref="M8">RTD("tickerplantrtdserver",,"FWRC1#JPYINR#Month End Rates#0#FwdOutrightAsk13")</f>
        <v>64.379900000000006</v>
      </c>
      <c r="N8" s="64">
        <f t="array" ref="N8">RTD("tickerplantrtdserver",,"FWRC1#JPYINR#Month End Rates#0#FwdOutrightAsk14")</f>
        <v>64.759600000000006</v>
      </c>
      <c r="O8" s="68">
        <f t="array" ref="O8">RTD("tickerplantrtdserver",,"FWRC1#JPYINR#Month End Rates#0#FwdOutrightAsk15")</f>
        <v>65.202600000000004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RTD("tickerplantrtdserver",,"FWRC1#JPYINR#Month End Rates#0#Bid%2")</f>
        <v>6.3361000000000001</v>
      </c>
      <c r="D10" s="65">
        <f t="array" ref="D10">RTD("tickerplantrtdserver",,"FWRC1#JPYINR#Month End Rates#0#Bid%4")</f>
        <v>6.9558</v>
      </c>
      <c r="E10" s="65">
        <f t="array" ref="E10">RTD("tickerplantrtdserver",,"FWRC1#JPYINR#Month End Rates#0#Bid%5")</f>
        <v>7.1756000000000002</v>
      </c>
      <c r="F10" s="65">
        <f t="array" ref="F10">RTD("tickerplantrtdserver",,"FWRC1#JPYINR#Month End Rates#0#Bid%6")</f>
        <v>7.2739000000000003</v>
      </c>
      <c r="G10" s="65">
        <f t="array" ref="G10">RTD("tickerplantrtdserver",,"FWRC1#JPYINR#Month End Rates#0#Bid%7")</f>
        <v>7.3076999999999996</v>
      </c>
      <c r="H10" s="65">
        <f t="array" ref="H10">RTD("tickerplantrtdserver",,"FWRC1#JPYINR#Month End Rates#0#Bid%8")</f>
        <v>7.3711000000000002</v>
      </c>
      <c r="I10" s="65">
        <f t="array" ref="I10">RTD("tickerplantrtdserver",,"FWRC1#JPYINR#Month End Rates#0#Bid%9")</f>
        <v>7.3166000000000002</v>
      </c>
      <c r="J10" s="65">
        <f t="array" ref="J10">RTD("tickerplantrtdserver",,"FWRC1#JPYINR#Month End Rates#0#Bid%10")</f>
        <v>7.4218000000000002</v>
      </c>
      <c r="K10" s="65">
        <f t="array" ref="K10">RTD("tickerplantrtdserver",,"FWRC1#JPYINR#Month End Rates#0#Bid%11")</f>
        <v>7.6010999999999997</v>
      </c>
      <c r="L10" s="65">
        <f t="array" ref="L10">RTD("tickerplantrtdserver",,"FWRC1#JPYINR#Month End Rates#0#Bid%12")</f>
        <v>7.6173999999999999</v>
      </c>
      <c r="M10" s="65">
        <f t="array" ref="M10">RTD("tickerplantrtdserver",,"FWRC1#JPYINR#Month End Rates#0#Bid%13")</f>
        <v>7.5846999999999998</v>
      </c>
      <c r="N10" s="65">
        <f t="array" ref="N10">RTD("tickerplantrtdserver",,"FWRC1#JPYINR#Month End Rates#0#Bid%14")</f>
        <v>7.6162000000000001</v>
      </c>
      <c r="O10" s="67">
        <f t="array" ref="O10">RTD("tickerplantrtdserver",,"FWRC1#JPYINR#Month End Rates#0#Bid%15")</f>
        <v>7.6707999999999998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RTD("tickerplantrtdserver",,"FWRC1#JPYINR#Month End Rates#0#Ask%2")</f>
        <v>10.190300000000001</v>
      </c>
      <c r="D11" s="69">
        <f t="array" ref="D11">RTD("tickerplantrtdserver",,"FWRC1#JPYINR#Month End Rates#0#Ask%4")</f>
        <v>7.2713000000000001</v>
      </c>
      <c r="E11" s="69">
        <f t="array" ref="E11">RTD("tickerplantrtdserver",,"FWRC1#JPYINR#Month End Rates#0#Ask%5")</f>
        <v>7.3574000000000002</v>
      </c>
      <c r="F11" s="69">
        <f t="array" ref="F11">RTD("tickerplantrtdserver",,"FWRC1#JPYINR#Month End Rates#0#Ask%6")</f>
        <v>7.3822999999999999</v>
      </c>
      <c r="G11" s="69">
        <f t="array" ref="G11">RTD("tickerplantrtdserver",,"FWRC1#JPYINR#Month End Rates#0#Ask%7")</f>
        <v>7.4177</v>
      </c>
      <c r="H11" s="69">
        <f t="array" ref="H11">RTD("tickerplantrtdserver",,"FWRC1#JPYINR#Month End Rates#0#Ask%8")</f>
        <v>7.4611999999999998</v>
      </c>
      <c r="I11" s="69">
        <f t="array" ref="I11">RTD("tickerplantrtdserver",,"FWRC1#JPYINR#Month End Rates#0#Ask%9")</f>
        <v>7.3912000000000004</v>
      </c>
      <c r="J11" s="69">
        <f t="array" ref="J11">RTD("tickerplantrtdserver",,"FWRC1#JPYINR#Month End Rates#0#Ask%10")</f>
        <v>7.4943</v>
      </c>
      <c r="K11" s="69">
        <f t="array" ref="K11">RTD("tickerplantrtdserver",,"FWRC1#JPYINR#Month End Rates#0#Ask%11")</f>
        <v>7.6656000000000004</v>
      </c>
      <c r="L11" s="69">
        <f t="array" ref="L11">RTD("tickerplantrtdserver",,"FWRC1#JPYINR#Month End Rates#0#Ask%12")</f>
        <v>7.6696</v>
      </c>
      <c r="M11" s="69">
        <f t="array" ref="M11">RTD("tickerplantrtdserver",,"FWRC1#JPYINR#Month End Rates#0#Ask%13")</f>
        <v>7.6325000000000003</v>
      </c>
      <c r="N11" s="69">
        <f t="array" ref="N11">RTD("tickerplantrtdserver",,"FWRC1#JPYINR#Month End Rates#0#Ask%14")</f>
        <v>7.6784999999999997</v>
      </c>
      <c r="O11" s="70">
        <f t="array" ref="O11">RTD("tickerplantrtdserver",,"FWRC1#JPYINR#Month End Rates#0#Ask%15")</f>
        <v>7.7157999999999998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58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6" spans="1:2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6"/>
  <sheetViews>
    <sheetView workbookViewId="0">
      <selection sqref="A1:B1"/>
    </sheetView>
  </sheetViews>
  <sheetFormatPr defaultRowHeight="15" x14ac:dyDescent="0.25"/>
  <cols>
    <col min="4" max="4" width="9.28515625" bestFit="1" customWidth="1"/>
    <col min="5" max="5" width="9" bestFit="1" customWidth="1"/>
    <col min="6" max="6" width="9.42578125" bestFit="1" customWidth="1"/>
    <col min="7" max="7" width="9" bestFit="1" customWidth="1"/>
    <col min="8" max="8" width="9.28515625" bestFit="1" customWidth="1"/>
    <col min="9" max="9" width="9.42578125" bestFit="1" customWidth="1"/>
    <col min="10" max="10" width="9.28515625" bestFit="1" customWidth="1"/>
    <col min="11" max="11" width="9.140625" bestFit="1" customWidth="1"/>
    <col min="12" max="12" width="9" bestFit="1" customWidth="1"/>
    <col min="13" max="13" width="9.7109375" bestFit="1" customWidth="1"/>
    <col min="14" max="14" width="9.28515625" bestFit="1" customWidth="1"/>
    <col min="15" max="15" width="9.4257812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RTD("tickerplantrtdserver",,"FWRC1#EURUSD#Month Wise Rates#0#S#Desc.2")</f>
        <v>TN</v>
      </c>
      <c r="D1" s="76" t="str">
        <f t="array" ref="D1">RTD("tickerplantrtdserver",,"FWRC1#EURUSD#Month Wise Rates#0#S#Desc.7")</f>
        <v>1M</v>
      </c>
      <c r="E1" s="76" t="str">
        <f t="array" ref="E1">RTD("tickerplantrtdserver",,"FWRC1#EURUSD#Month Wise Rates#0#S#Desc.8")</f>
        <v>2M</v>
      </c>
      <c r="F1" s="76" t="str">
        <f t="array" ref="F1">RTD("tickerplantrtdserver",,"FWRC1#EURUSD#Month Wise Rates#0#S#Desc.9")</f>
        <v>3M</v>
      </c>
      <c r="G1" s="76" t="str">
        <f t="array" ref="G1">RTD("tickerplantrtdserver",,"FWRC1#EURUSD#Month Wise Rates#0#S#Desc.10")</f>
        <v>4M</v>
      </c>
      <c r="H1" s="76" t="str">
        <f t="array" ref="H1">RTD("tickerplantrtdserver",,"FWRC1#EURUSD#Month Wise Rates#0#S#Desc.11")</f>
        <v>5M</v>
      </c>
      <c r="I1" s="76" t="str">
        <f t="array" ref="I1">RTD("tickerplantrtdserver",,"FWRC1#EURUSD#Month Wise Rates#0#S#Desc.12")</f>
        <v>6M</v>
      </c>
      <c r="J1" s="76" t="str">
        <f t="array" ref="J1">RTD("tickerplantrtdserver",,"FWRC1#EURUSD#Month Wise Rates#0#S#Desc.13")</f>
        <v>7M</v>
      </c>
      <c r="K1" s="76" t="str">
        <f t="array" ref="K1">RTD("tickerplantrtdserver",,"FWRC1#EURUSD#Month Wise Rates#0#S#Desc.14")</f>
        <v>8M</v>
      </c>
      <c r="L1" s="76" t="str">
        <f t="array" ref="L1">RTD("tickerplantrtdserver",,"FWRC1#EURUSD#Month Wise Rates#0#S#Desc.15")</f>
        <v>9M</v>
      </c>
      <c r="M1" s="76" t="str">
        <f t="array" ref="M1">RTD("tickerplantrtdserver",,"FWRC1#EURUSD#Month Wise Rates#0#S#Desc.16")</f>
        <v>10M</v>
      </c>
      <c r="N1" s="76" t="str">
        <f t="array" ref="N1">RTD("tickerplantrtdserver",,"FWRC1#EURUSD#Month Wise Rates#0#S#Desc.17")</f>
        <v>11M</v>
      </c>
      <c r="O1" s="77" t="str">
        <f t="array" ref="O1">RTD("tickerplantrtdserver",,"FWRC1#EURUSD#Month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RTD("tickerplantrtdserver",,"FWRC1#EURUSD#Month Wise Rates#0#S#PillarDate2")</f>
        <v>10-May-2023</v>
      </c>
      <c r="D2" s="71" t="str">
        <f t="array" ref="D2">RTD("tickerplantrtdserver",,"FWRC1#EURUSD#Month Wise Rates#0#S#PillarDate7")</f>
        <v>12-Jun-2023</v>
      </c>
      <c r="E2" s="71" t="str">
        <f t="array" ref="E2">RTD("tickerplantrtdserver",,"FWRC1#EURUSD#Month Wise Rates#0#S#PillarDate8")</f>
        <v>10-Jul-2023</v>
      </c>
      <c r="F2" s="71" t="str">
        <f t="array" ref="F2">RTD("tickerplantrtdserver",,"FWRC1#EURUSD#Month Wise Rates#0#S#PillarDate9")</f>
        <v>10-Aug-2023</v>
      </c>
      <c r="G2" s="71" t="str">
        <f t="array" ref="G2">RTD("tickerplantrtdserver",,"FWRC1#EURUSD#Month Wise Rates#0#S#PillarDate10")</f>
        <v>11-Sep-2023</v>
      </c>
      <c r="H2" s="71" t="str">
        <f t="array" ref="H2">RTD("tickerplantrtdserver",,"FWRC1#EURUSD#Month Wise Rates#0#S#PillarDate11")</f>
        <v>10-Oct-2023</v>
      </c>
      <c r="I2" s="71" t="str">
        <f t="array" ref="I2">RTD("tickerplantrtdserver",,"FWRC1#EURUSD#Month Wise Rates#0#S#PillarDate12")</f>
        <v>13-Nov-2023</v>
      </c>
      <c r="J2" s="71" t="str">
        <f t="array" ref="J2">RTD("tickerplantrtdserver",,"FWRC1#EURUSD#Month Wise Rates#0#S#PillarDate13")</f>
        <v>11-Dec-2023</v>
      </c>
      <c r="K2" s="71" t="str">
        <f t="array" ref="K2">RTD("tickerplantrtdserver",,"FWRC1#EURUSD#Month Wise Rates#0#S#PillarDate14")</f>
        <v>10-Jan-2024</v>
      </c>
      <c r="L2" s="71" t="str">
        <f t="array" ref="L2">RTD("tickerplantrtdserver",,"FWRC1#EURUSD#Month Wise Rates#0#S#PillarDate15")</f>
        <v>12-Feb-2024</v>
      </c>
      <c r="M2" s="71" t="str">
        <f t="array" ref="M2">RTD("tickerplantrtdserver",,"FWRC1#EURUSD#Month Wise Rates#0#S#PillarDate16")</f>
        <v>11-Mar-2024</v>
      </c>
      <c r="N2" s="71" t="str">
        <f t="array" ref="N2">RTD("tickerplantrtdserver",,"FWRC1#EURUSD#Month Wise Rates#0#S#PillarDate17")</f>
        <v>10-Apr-2024</v>
      </c>
      <c r="O2" s="75" t="str">
        <f t="array" ref="O2">RTD("tickerplantrtdserver",,"FWRC1#EURUSD#Month Wise Rates#0#S#PillarDate18")</f>
        <v>10-May-2024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 t="array" ref="C4">RTD("tickerplantrtdserver",,"FWRC1#EURUSD#Month Wise Rates#0#BidPrice2")</f>
        <v>0.67600000000000005</v>
      </c>
      <c r="D4" s="65">
        <f t="array" ref="D4">RTD("tickerplantrtdserver",,"FWRC1#EURUSD#Month Wise Rates#0#BidPrice7")</f>
        <v>20.59</v>
      </c>
      <c r="E4" s="65">
        <f t="array" ref="E4">RTD("tickerplantrtdserver",,"FWRC1#EURUSD#Month Wise Rates#0#BidPrice8")</f>
        <v>38.386000000000003</v>
      </c>
      <c r="F4" s="65">
        <f t="array" ref="F4">RTD("tickerplantrtdserver",,"FWRC1#EURUSD#Month Wise Rates#0#BidPrice9")</f>
        <v>55.87</v>
      </c>
      <c r="G4" s="65">
        <f t="array" ref="G4">RTD("tickerplantrtdserver",,"FWRC1#EURUSD#Month Wise Rates#0#BidPrice10")</f>
        <v>72.27</v>
      </c>
      <c r="H4" s="65">
        <f t="array" ref="H4">RTD("tickerplantrtdserver",,"FWRC1#EURUSD#Month Wise Rates#0#BidPrice11")</f>
        <v>87.09</v>
      </c>
      <c r="I4" s="65">
        <f t="array" ref="I4">RTD("tickerplantrtdserver",,"FWRC1#EURUSD#Month Wise Rates#0#BidPrice12")</f>
        <v>100.59</v>
      </c>
      <c r="J4" s="65">
        <f t="array" ref="J4">RTD("tickerplantrtdserver",,"FWRC1#EURUSD#Month Wise Rates#0#BidPrice13")</f>
        <v>111.15</v>
      </c>
      <c r="K4" s="65">
        <f t="array" ref="K4">RTD("tickerplantrtdserver",,"FWRC1#EURUSD#Month Wise Rates#0#BidPrice14")</f>
        <v>130.15</v>
      </c>
      <c r="L4" s="65">
        <f t="array" ref="L4">RTD("tickerplantrtdserver",,"FWRC1#EURUSD#Month Wise Rates#0#BidPrice15")</f>
        <v>141.54</v>
      </c>
      <c r="M4" s="65">
        <f t="array" ref="M4">RTD("tickerplantrtdserver",,"FWRC1#EURUSD#Month Wise Rates#0#BidPrice16")</f>
        <v>149.58000000000001</v>
      </c>
      <c r="N4" s="65">
        <f t="array" ref="N4">RTD("tickerplantrtdserver",,"FWRC1#EURUSD#Month Wise Rates#0#BidPrice17")</f>
        <v>157.32</v>
      </c>
      <c r="O4" s="67">
        <f t="array" ref="O4">RTD("tickerplantrtdserver",,"FWRC1#EURUSD#Month Wise Rates#0#BidPrice18")</f>
        <v>163.69999999999999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RTD("tickerplantrtdserver",,"FWRC1#EURUSD#Month Wise Rates#0#AskPrice2")</f>
        <v>0.69599999999999995</v>
      </c>
      <c r="D5" s="65">
        <f t="array" ref="D5">RTD("tickerplantrtdserver",,"FWRC1#EURUSD#Month Wise Rates#0#AskPrice7")</f>
        <v>20.79</v>
      </c>
      <c r="E5" s="65">
        <f t="array" ref="E5">RTD("tickerplantrtdserver",,"FWRC1#EURUSD#Month Wise Rates#0#AskPrice8")</f>
        <v>38.433999999999997</v>
      </c>
      <c r="F5" s="65">
        <f t="array" ref="F5">RTD("tickerplantrtdserver",,"FWRC1#EURUSD#Month Wise Rates#0#AskPrice9")</f>
        <v>56.12</v>
      </c>
      <c r="G5" s="65">
        <f t="array" ref="G5">RTD("tickerplantrtdserver",,"FWRC1#EURUSD#Month Wise Rates#0#AskPrice10")</f>
        <v>73.25</v>
      </c>
      <c r="H5" s="65">
        <f t="array" ref="H5">RTD("tickerplantrtdserver",,"FWRC1#EURUSD#Month Wise Rates#0#AskPrice11")</f>
        <v>88.3</v>
      </c>
      <c r="I5" s="65">
        <f t="array" ref="I5">RTD("tickerplantrtdserver",,"FWRC1#EURUSD#Month Wise Rates#0#AskPrice12")</f>
        <v>101.39</v>
      </c>
      <c r="J5" s="65">
        <f t="array" ref="J5">RTD("tickerplantrtdserver",,"FWRC1#EURUSD#Month Wise Rates#0#AskPrice13")</f>
        <v>114.65</v>
      </c>
      <c r="K5" s="65">
        <f t="array" ref="K5">RTD("tickerplantrtdserver",,"FWRC1#EURUSD#Month Wise Rates#0#AskPrice14")</f>
        <v>132.35</v>
      </c>
      <c r="L5" s="65">
        <f t="array" ref="L5">RTD("tickerplantrtdserver",,"FWRC1#EURUSD#Month Wise Rates#0#AskPrice15")</f>
        <v>144.04</v>
      </c>
      <c r="M5" s="65">
        <f t="array" ref="M5">RTD("tickerplantrtdserver",,"FWRC1#EURUSD#Month Wise Rates#0#AskPrice16")</f>
        <v>150.86000000000001</v>
      </c>
      <c r="N5" s="65">
        <f t="array" ref="N5">RTD("tickerplantrtdserver",,"FWRC1#EURUSD#Month Wise Rates#0#AskPrice17")</f>
        <v>162.82</v>
      </c>
      <c r="O5" s="67">
        <f t="array" ref="O5">RTD("tickerplantrtdserver",,"FWRC1#EURUSD#Month Wise Rates#0#AskPrice18")</f>
        <v>166.6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 t="array" ref="C7">RTD("tickerplantrtdserver",,"FWRC1#EURUSD#Month Wise Rates#0#FwdOutrightBid2")</f>
        <v>1.1045</v>
      </c>
      <c r="D7" s="64">
        <f t="array" ref="D7">RTD("tickerplantrtdserver",,"FWRC1#EURUSD#Month Wise Rates#0#FwdOutrightBid7")</f>
        <v>1.1066</v>
      </c>
      <c r="E7" s="64">
        <f t="array" ref="E7">RTD("tickerplantrtdserver",,"FWRC1#EURUSD#Month Wise Rates#0#FwdOutrightBid8")</f>
        <v>1.1084000000000001</v>
      </c>
      <c r="F7" s="64">
        <f t="array" ref="F7">RTD("tickerplantrtdserver",,"FWRC1#EURUSD#Month Wise Rates#0#FwdOutrightBid9")</f>
        <v>1.1102000000000001</v>
      </c>
      <c r="G7" s="64">
        <f t="array" ref="G7">RTD("tickerplantrtdserver",,"FWRC1#EURUSD#Month Wise Rates#0#FwdOutrightBid10")</f>
        <v>1.1117999999999999</v>
      </c>
      <c r="H7" s="64">
        <f t="array" ref="H7">RTD("tickerplantrtdserver",,"FWRC1#EURUSD#Month Wise Rates#0#FwdOutrightBid11")</f>
        <v>1.1133</v>
      </c>
      <c r="I7" s="64">
        <f t="array" ref="I7">RTD("tickerplantrtdserver",,"FWRC1#EURUSD#Month Wise Rates#0#FwdOutrightBid12")</f>
        <v>1.1147</v>
      </c>
      <c r="J7" s="64">
        <f t="array" ref="J7">RTD("tickerplantrtdserver",,"FWRC1#EURUSD#Month Wise Rates#0#FwdOutrightBid13")</f>
        <v>1.1156999999999999</v>
      </c>
      <c r="K7" s="64">
        <f t="array" ref="K7">RTD("tickerplantrtdserver",,"FWRC1#EURUSD#Month Wise Rates#0#FwdOutrightBid14")</f>
        <v>1.1175999999999999</v>
      </c>
      <c r="L7" s="64">
        <f t="array" ref="L7">RTD("tickerplantrtdserver",,"FWRC1#EURUSD#Month Wise Rates#0#FwdOutrightBid15")</f>
        <v>1.1187</v>
      </c>
      <c r="M7" s="64">
        <f t="array" ref="M7">RTD("tickerplantrtdserver",,"FWRC1#EURUSD#Month Wise Rates#0#FwdOutrightBid16")</f>
        <v>1.1195999999999999</v>
      </c>
      <c r="N7" s="64">
        <f t="array" ref="N7">RTD("tickerplantrtdserver",,"FWRC1#EURUSD#Month Wise Rates#0#FwdOutrightBid17")</f>
        <v>1.1203000000000001</v>
      </c>
      <c r="O7" s="68">
        <f t="array" ref="O7">RTD("tickerplantrtdserver",,"FWRC1#EURUSD#Month Wise Rates#0#FwdOutrightBid18")</f>
        <v>1.121</v>
      </c>
      <c r="P7" s="20"/>
    </row>
    <row r="8" spans="1:18" s="14" customFormat="1" x14ac:dyDescent="0.25">
      <c r="A8" s="160" t="s">
        <v>48</v>
      </c>
      <c r="B8" s="161"/>
      <c r="C8" s="64">
        <f t="array" ref="C8">RTD("tickerplantrtdserver",,"FWRC1#EURUSD#Month Wise Rates#0#FwdOutrightAsk2")</f>
        <v>1.1047</v>
      </c>
      <c r="D8" s="64">
        <f t="array" ref="D8">RTD("tickerplantrtdserver",,"FWRC1#EURUSD#Month Wise Rates#0#FwdOutrightAsk7")</f>
        <v>1.1068</v>
      </c>
      <c r="E8" s="64">
        <f t="array" ref="E8">RTD("tickerplantrtdserver",,"FWRC1#EURUSD#Month Wise Rates#0#FwdOutrightAsk8")</f>
        <v>1.1085</v>
      </c>
      <c r="F8" s="64">
        <f t="array" ref="F8">RTD("tickerplantrtdserver",,"FWRC1#EURUSD#Month Wise Rates#0#FwdOutrightAsk9")</f>
        <v>1.1102000000000001</v>
      </c>
      <c r="G8" s="64">
        <f t="array" ref="G8">RTD("tickerplantrtdserver",,"FWRC1#EURUSD#Month Wise Rates#0#FwdOutrightAsk10")</f>
        <v>1.1120000000000001</v>
      </c>
      <c r="H8" s="64">
        <f t="array" ref="H8">RTD("tickerplantrtdserver",,"FWRC1#EURUSD#Month Wise Rates#0#FwdOutrightAsk11")</f>
        <v>1.1134999999999999</v>
      </c>
      <c r="I8" s="64">
        <f t="array" ref="I8">RTD("tickerplantrtdserver",,"FWRC1#EURUSD#Month Wise Rates#0#FwdOutrightAsk12")</f>
        <v>1.1148</v>
      </c>
      <c r="J8" s="64">
        <f t="array" ref="J8">RTD("tickerplantrtdserver",,"FWRC1#EURUSD#Month Wise Rates#0#FwdOutrightAsk13")</f>
        <v>1.1161000000000001</v>
      </c>
      <c r="K8" s="64">
        <f t="array" ref="K8">RTD("tickerplantrtdserver",,"FWRC1#EURUSD#Month Wise Rates#0#FwdOutrightAsk14")</f>
        <v>1.1178999999999999</v>
      </c>
      <c r="L8" s="64">
        <f t="array" ref="L8">RTD("tickerplantrtdserver",,"FWRC1#EURUSD#Month Wise Rates#0#FwdOutrightAsk15")</f>
        <v>1.1191</v>
      </c>
      <c r="M8" s="64">
        <f t="array" ref="M8">RTD("tickerplantrtdserver",,"FWRC1#EURUSD#Month Wise Rates#0#FwdOutrightAsk16")</f>
        <v>1.1196999999999999</v>
      </c>
      <c r="N8" s="64">
        <f t="array" ref="N8">RTD("tickerplantrtdserver",,"FWRC1#EURUSD#Month Wise Rates#0#FwdOutrightAsk17")</f>
        <v>1.121</v>
      </c>
      <c r="O8" s="68">
        <f t="array" ref="O8">RTD("tickerplantrtdserver",,"FWRC1#EURUSD#Month Wise Rates#0#FwdOutrightAsk18")</f>
        <v>1.1213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>RTD("tickerplantrtdserver",,"FWRC1#EURUSD#Month Wise Rates#0#Bid%2")</f>
        <v>2.2334999999999998</v>
      </c>
      <c r="D10" s="65">
        <f t="array" ref="D10">RTD("tickerplantrtdserver",,"FWRC1#EURUSD#Month Wise Rates#0#Bid%7")</f>
        <v>2.0615999999999999</v>
      </c>
      <c r="E10" s="65">
        <f t="array" ref="E10">RTD("tickerplantrtdserver",,"FWRC1#EURUSD#Month Wise Rates#0#Bid%8")</f>
        <v>2.0792000000000002</v>
      </c>
      <c r="F10" s="65">
        <f t="array" ref="F10">RTD("tickerplantrtdserver",,"FWRC1#EURUSD#Month Wise Rates#0#Bid%9")</f>
        <v>2.0066000000000002</v>
      </c>
      <c r="G10" s="65">
        <f t="array" ref="G10">RTD("tickerplantrtdserver",,"FWRC1#EURUSD#Month Wise Rates#0#Bid%10")</f>
        <v>1.9258</v>
      </c>
      <c r="H10" s="65">
        <f t="array" ref="H10">RTD("tickerplantrtdserver",,"FWRC1#EURUSD#Month Wise Rates#0#Bid%11")</f>
        <v>1.8808</v>
      </c>
      <c r="I10" s="65">
        <f t="array" ref="I10">RTD("tickerplantrtdserver",,"FWRC1#EURUSD#Month Wise Rates#0#Bid%12")</f>
        <v>1.7774000000000001</v>
      </c>
      <c r="J10" s="65">
        <f t="array" ref="J10">RTD("tickerplantrtdserver",,"FWRC1#EURUSD#Month Wise Rates#0#Bid%13")</f>
        <v>1.7081999999999999</v>
      </c>
      <c r="K10" s="65">
        <f t="array" ref="K10">RTD("tickerplantrtdserver",,"FWRC1#EURUSD#Month Wise Rates#0#Bid%14")</f>
        <v>1.7552000000000001</v>
      </c>
      <c r="L10" s="65">
        <f t="array" ref="L10">RTD("tickerplantrtdserver",,"FWRC1#EURUSD#Month Wise Rates#0#Bid%15")</f>
        <v>1.6822999999999999</v>
      </c>
      <c r="M10" s="65">
        <f t="array" ref="M10">RTD("tickerplantrtdserver",,"FWRC1#EURUSD#Month Wise Rates#0#Bid%16")</f>
        <v>1.6152</v>
      </c>
      <c r="N10" s="65">
        <f t="array" ref="N10">RTD("tickerplantrtdserver",,"FWRC1#EURUSD#Month Wise Rates#0#Bid%17")</f>
        <v>1.5469999999999999</v>
      </c>
      <c r="O10" s="67">
        <f t="array" ref="O10">RTD("tickerplantrtdserver",,"FWRC1#EURUSD#Month Wise Rates#0#Bid%18")</f>
        <v>1.4778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RTD("tickerplantrtdserver",,"FWRC1#EURUSD#Month Wise Rates#0#Ask%2")</f>
        <v>2.2999000000000001</v>
      </c>
      <c r="D11" s="69">
        <f t="array" ref="D11">RTD("tickerplantrtdserver",,"FWRC1#EURUSD#Month Wise Rates#0#Ask%7")</f>
        <v>2.0817999999999999</v>
      </c>
      <c r="E11" s="69">
        <f t="array" ref="E11">RTD("tickerplantrtdserver",,"FWRC1#EURUSD#Month Wise Rates#0#Ask%8")</f>
        <v>2.0819999999999999</v>
      </c>
      <c r="F11" s="69">
        <f t="array" ref="F11">RTD("tickerplantrtdserver",,"FWRC1#EURUSD#Month Wise Rates#0#Ask%9")</f>
        <v>2.0156000000000001</v>
      </c>
      <c r="G11" s="69">
        <f t="array" ref="G11">RTD("tickerplantrtdserver",,"FWRC1#EURUSD#Month Wise Rates#0#Ask%10")</f>
        <v>1.9519</v>
      </c>
      <c r="H11" s="69">
        <f t="array" ref="H11">RTD("tickerplantrtdserver",,"FWRC1#EURUSD#Month Wise Rates#0#Ask%11")</f>
        <v>1.907</v>
      </c>
      <c r="I11" s="69">
        <f t="array" ref="I11">RTD("tickerplantrtdserver",,"FWRC1#EURUSD#Month Wise Rates#0#Ask%12")</f>
        <v>1.7916000000000001</v>
      </c>
      <c r="J11" s="69">
        <f t="array" ref="J11">RTD("tickerplantrtdserver",,"FWRC1#EURUSD#Month Wise Rates#0#Ask%13")</f>
        <v>1.7621</v>
      </c>
      <c r="K11" s="69">
        <f t="array" ref="K11">RTD("tickerplantrtdserver",,"FWRC1#EURUSD#Month Wise Rates#0#Ask%14")</f>
        <v>1.7849999999999999</v>
      </c>
      <c r="L11" s="69">
        <f t="array" ref="L11">RTD("tickerplantrtdserver",,"FWRC1#EURUSD#Month Wise Rates#0#Ask%15")</f>
        <v>1.7121</v>
      </c>
      <c r="M11" s="69">
        <f t="array" ref="M11">RTD("tickerplantrtdserver",,"FWRC1#EURUSD#Month Wise Rates#0#Ask%16")</f>
        <v>1.629</v>
      </c>
      <c r="N11" s="69">
        <f t="array" ref="N11">RTD("tickerplantrtdserver",,"FWRC1#EURUSD#Month Wise Rates#0#Ask%17")</f>
        <v>1.6012999999999999</v>
      </c>
      <c r="O11" s="70">
        <f t="array" ref="O11">RTD("tickerplantrtdserver",,"FWRC1#EURUSD#Month Wise Rates#0#Ask%18")</f>
        <v>1.5041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58"/>
      <c r="E14" s="21"/>
      <c r="F14" s="33"/>
      <c r="G14" s="34"/>
      <c r="H14" s="34"/>
      <c r="I14" s="34"/>
      <c r="J14" s="21"/>
      <c r="L14" s="58"/>
      <c r="M14" s="58"/>
      <c r="N14" s="58"/>
      <c r="P14" s="31"/>
      <c r="Q14" s="31"/>
      <c r="R14" s="31"/>
    </row>
    <row r="15" spans="1:18" s="14" customFormat="1" x14ac:dyDescent="0.25">
      <c r="A15" s="13"/>
      <c r="B15" s="21"/>
      <c r="C15" s="21"/>
      <c r="D15" s="58"/>
      <c r="E15" s="58"/>
      <c r="G15" s="13"/>
      <c r="H15" s="58"/>
      <c r="I15" s="58"/>
      <c r="J15" s="58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58"/>
      <c r="E16" s="58"/>
      <c r="G16" s="15"/>
      <c r="H16" s="58"/>
      <c r="I16" s="58"/>
      <c r="J16" s="58"/>
      <c r="L16" s="13"/>
      <c r="P16" s="13"/>
    </row>
    <row r="17" spans="1:20" s="14" customFormat="1" x14ac:dyDescent="0.25">
      <c r="A17" s="13"/>
      <c r="B17" s="21"/>
      <c r="C17" s="21"/>
      <c r="D17" s="58"/>
      <c r="E17" s="58"/>
      <c r="G17" s="13"/>
      <c r="H17" s="58"/>
      <c r="I17" s="58"/>
      <c r="J17" s="58"/>
      <c r="L17" s="15"/>
      <c r="M17" s="15"/>
      <c r="N17" s="15"/>
      <c r="P17" s="15"/>
      <c r="Q17" s="15"/>
      <c r="R17" s="15"/>
    </row>
    <row r="18" spans="1:20" s="14" customFormat="1" x14ac:dyDescent="0.25">
      <c r="A18" s="15"/>
      <c r="B18" s="21"/>
      <c r="C18" s="21"/>
      <c r="D18" s="58"/>
      <c r="E18" s="58"/>
      <c r="G18" s="15"/>
      <c r="H18" s="58"/>
      <c r="I18" s="58"/>
      <c r="J18" s="58"/>
      <c r="L18" s="13"/>
      <c r="P18" s="13"/>
    </row>
    <row r="19" spans="1:20" s="14" customFormat="1" x14ac:dyDescent="0.25">
      <c r="A19" s="13"/>
      <c r="B19" s="21"/>
      <c r="C19" s="21"/>
      <c r="D19" s="58"/>
      <c r="E19" s="58"/>
      <c r="G19" s="13"/>
      <c r="H19" s="58"/>
      <c r="I19" s="58"/>
      <c r="J19" s="58"/>
      <c r="L19" s="15"/>
      <c r="M19" s="15"/>
      <c r="N19" s="15"/>
      <c r="P19" s="15"/>
      <c r="Q19" s="15"/>
      <c r="R19" s="15"/>
    </row>
    <row r="20" spans="1:20" s="14" customFormat="1" x14ac:dyDescent="0.25">
      <c r="A20" s="15"/>
      <c r="B20" s="21"/>
      <c r="C20" s="21"/>
      <c r="D20" s="58"/>
      <c r="E20" s="58"/>
      <c r="G20" s="15"/>
      <c r="H20" s="58"/>
      <c r="I20" s="58"/>
      <c r="J20" s="58"/>
      <c r="L20" s="13"/>
      <c r="P20" s="13"/>
    </row>
    <row r="21" spans="1:20" x14ac:dyDescent="0.25">
      <c r="A21" s="13"/>
      <c r="B21" s="21"/>
      <c r="C21" s="21"/>
      <c r="D21" s="58"/>
      <c r="E21" s="58"/>
      <c r="F21" s="14"/>
      <c r="G21" s="13"/>
      <c r="H21" s="58"/>
      <c r="I21" s="58"/>
      <c r="J21" s="58"/>
      <c r="K21" s="14"/>
      <c r="L21" s="15"/>
      <c r="M21" s="15"/>
      <c r="N21" s="15"/>
      <c r="O21" s="14"/>
      <c r="P21" s="15"/>
      <c r="Q21" s="15"/>
      <c r="R21" s="15"/>
      <c r="S21" s="14"/>
      <c r="T21" s="14"/>
    </row>
    <row r="22" spans="1:20" x14ac:dyDescent="0.25">
      <c r="A22" s="15"/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3"/>
      <c r="M22" s="14"/>
      <c r="N22" s="14"/>
      <c r="O22" s="14"/>
      <c r="P22" s="13"/>
      <c r="Q22" s="14"/>
      <c r="R22" s="14"/>
      <c r="S22" s="14"/>
      <c r="T22" s="14"/>
    </row>
    <row r="23" spans="1:20" x14ac:dyDescent="0.25">
      <c r="A23" s="13"/>
      <c r="B23" s="21"/>
      <c r="C23" s="21"/>
      <c r="D23" s="58"/>
      <c r="E23" s="58"/>
      <c r="F23" s="14"/>
      <c r="G23" s="13"/>
      <c r="H23" s="58"/>
      <c r="I23" s="58"/>
      <c r="J23" s="58"/>
      <c r="K23" s="14"/>
      <c r="L23" s="15"/>
      <c r="M23" s="15"/>
      <c r="N23" s="15"/>
      <c r="O23" s="14"/>
      <c r="P23" s="15"/>
      <c r="Q23" s="15"/>
      <c r="R23" s="15"/>
      <c r="S23" s="14"/>
      <c r="T23" s="14"/>
    </row>
    <row r="24" spans="1:20" s="2" customFormat="1" x14ac:dyDescent="0.25">
      <c r="A24" s="15"/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14"/>
      <c r="P24" s="13"/>
      <c r="Q24" s="14"/>
      <c r="R24" s="14"/>
      <c r="S24" s="14"/>
      <c r="T24" s="14"/>
    </row>
    <row r="25" spans="1:20" x14ac:dyDescent="0.25">
      <c r="A25" s="13"/>
      <c r="B25" s="21"/>
      <c r="C25" s="21"/>
      <c r="D25" s="58"/>
      <c r="E25" s="58"/>
      <c r="F25" s="14"/>
      <c r="G25" s="13"/>
      <c r="H25" s="58"/>
      <c r="I25" s="58"/>
      <c r="J25" s="58"/>
      <c r="K25" s="14"/>
      <c r="L25" s="15"/>
      <c r="M25" s="15"/>
      <c r="N25" s="15"/>
      <c r="O25" s="14"/>
      <c r="P25" s="15"/>
      <c r="Q25" s="15"/>
      <c r="R25" s="15"/>
      <c r="S25" s="14"/>
      <c r="T25" s="14"/>
    </row>
    <row r="26" spans="1:20" x14ac:dyDescent="0.25">
      <c r="A26" s="15"/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  <c r="O26" s="14"/>
      <c r="P26" s="13"/>
      <c r="Q26" s="14"/>
      <c r="R26" s="14"/>
      <c r="S26" s="14"/>
      <c r="T26" s="14"/>
    </row>
    <row r="27" spans="1:20" x14ac:dyDescent="0.25">
      <c r="A27" s="13"/>
      <c r="B27" s="21"/>
      <c r="C27" s="21"/>
      <c r="D27" s="58"/>
      <c r="E27" s="58"/>
      <c r="F27" s="14"/>
      <c r="G27" s="13"/>
      <c r="H27" s="58"/>
      <c r="I27" s="58"/>
      <c r="J27" s="58"/>
      <c r="K27" s="14"/>
      <c r="L27" s="15"/>
      <c r="M27" s="15"/>
      <c r="N27" s="15"/>
      <c r="O27" s="14"/>
      <c r="P27" s="15"/>
      <c r="Q27" s="15"/>
      <c r="R27" s="15"/>
      <c r="S27" s="14"/>
      <c r="T27" s="14"/>
    </row>
    <row r="28" spans="1:20" x14ac:dyDescent="0.25">
      <c r="A28" s="15"/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3"/>
      <c r="M28" s="14"/>
      <c r="N28" s="14"/>
      <c r="O28" s="14"/>
      <c r="P28" s="13"/>
      <c r="Q28" s="14"/>
      <c r="R28" s="14"/>
      <c r="S28" s="14"/>
      <c r="T28" s="14"/>
    </row>
    <row r="29" spans="1:20" x14ac:dyDescent="0.25">
      <c r="A29" s="13"/>
      <c r="B29" s="21"/>
      <c r="C29" s="21"/>
      <c r="D29" s="58"/>
      <c r="E29" s="58"/>
      <c r="F29" s="14"/>
      <c r="G29" s="13"/>
      <c r="H29" s="58"/>
      <c r="I29" s="58"/>
      <c r="J29" s="58"/>
      <c r="K29" s="14"/>
      <c r="L29" s="15"/>
      <c r="M29" s="15"/>
      <c r="N29" s="15"/>
      <c r="O29" s="14"/>
      <c r="P29" s="15"/>
      <c r="Q29" s="15"/>
      <c r="R29" s="15"/>
      <c r="S29" s="14"/>
      <c r="T29" s="14"/>
    </row>
    <row r="30" spans="1:20" x14ac:dyDescent="0.25">
      <c r="A30" s="15"/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  <c r="O30" s="14"/>
      <c r="P30" s="13"/>
      <c r="Q30" s="14"/>
      <c r="R30" s="14"/>
      <c r="S30" s="14"/>
      <c r="T30" s="14"/>
    </row>
    <row r="31" spans="1:20" x14ac:dyDescent="0.25">
      <c r="A31" s="13"/>
      <c r="B31" s="21"/>
      <c r="C31" s="21"/>
      <c r="D31" s="58"/>
      <c r="E31" s="58"/>
      <c r="F31" s="14"/>
      <c r="G31" s="13"/>
      <c r="H31" s="58"/>
      <c r="I31" s="58"/>
      <c r="J31" s="58"/>
      <c r="K31" s="14"/>
      <c r="L31" s="15"/>
      <c r="M31" s="15"/>
      <c r="N31" s="15"/>
      <c r="O31" s="14"/>
      <c r="P31" s="15"/>
      <c r="Q31" s="15"/>
      <c r="R31" s="15"/>
      <c r="S31" s="14"/>
      <c r="T31" s="14"/>
    </row>
    <row r="32" spans="1:20" x14ac:dyDescent="0.25">
      <c r="A32" s="15"/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  <c r="O32" s="14"/>
      <c r="P32" s="13"/>
      <c r="Q32" s="14"/>
      <c r="R32" s="14"/>
      <c r="S32" s="14"/>
      <c r="T32" s="14"/>
    </row>
    <row r="33" spans="1:20" x14ac:dyDescent="0.25">
      <c r="A33" s="13"/>
      <c r="B33" s="21"/>
      <c r="C33" s="21"/>
      <c r="D33" s="58"/>
      <c r="E33" s="58"/>
      <c r="F33" s="14"/>
      <c r="G33" s="13"/>
      <c r="H33" s="58"/>
      <c r="I33" s="58"/>
      <c r="J33" s="58"/>
      <c r="K33" s="14"/>
      <c r="L33" s="15"/>
      <c r="M33" s="15"/>
      <c r="N33" s="15"/>
      <c r="O33" s="14"/>
      <c r="P33" s="15"/>
      <c r="Q33" s="15"/>
      <c r="R33" s="15"/>
      <c r="S33" s="14"/>
      <c r="T33" s="14"/>
    </row>
    <row r="34" spans="1:20" x14ac:dyDescent="0.25">
      <c r="A34" s="15"/>
      <c r="B34" s="21"/>
      <c r="C34" s="21"/>
      <c r="D34" s="58"/>
      <c r="E34" s="58"/>
      <c r="F34" s="14"/>
      <c r="G34" s="15"/>
      <c r="H34" s="58"/>
      <c r="I34" s="58"/>
      <c r="J34" s="58"/>
      <c r="K34" s="14"/>
      <c r="L34" s="13"/>
      <c r="M34" s="14"/>
      <c r="N34" s="14"/>
      <c r="O34" s="14"/>
      <c r="P34" s="13"/>
      <c r="Q34" s="14"/>
      <c r="R34" s="14"/>
      <c r="S34" s="14"/>
      <c r="T34" s="14"/>
    </row>
    <row r="36" spans="1:20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R36"/>
  <sheetViews>
    <sheetView workbookViewId="0">
      <selection sqref="A1:B1"/>
    </sheetView>
  </sheetViews>
  <sheetFormatPr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RTD("tickerplantrtdserver",,"FWRC1#GBPUSD#Month Wise Rates#0#S#Desc.2")</f>
        <v>TN</v>
      </c>
      <c r="D1" s="76" t="str">
        <f t="array" ref="D1">RTD("tickerplantrtdserver",,"FWRC1#GBPUSD#Month Wise Rates#0#S#Desc.7")</f>
        <v>1M</v>
      </c>
      <c r="E1" s="76" t="str">
        <f t="array" ref="E1">RTD("tickerplantrtdserver",,"FWRC1#GBPUSD#Month Wise Rates#0#S#Desc.8")</f>
        <v>2M</v>
      </c>
      <c r="F1" s="76" t="str">
        <f t="array" ref="F1">RTD("tickerplantrtdserver",,"FWRC1#GBPUSD#Month Wise Rates#0#S#Desc.9")</f>
        <v>3M</v>
      </c>
      <c r="G1" s="76" t="str">
        <f t="array" ref="G1">RTD("tickerplantrtdserver",,"FWRC1#GBPUSD#Month Wise Rates#0#S#Desc.10")</f>
        <v>4M</v>
      </c>
      <c r="H1" s="76" t="str">
        <f t="array" ref="H1">RTD("tickerplantrtdserver",,"FWRC1#GBPUSD#Month Wise Rates#0#S#Desc.11")</f>
        <v>5M</v>
      </c>
      <c r="I1" s="76" t="str">
        <f t="array" ref="I1">RTD("tickerplantrtdserver",,"FWRC1#GBPUSD#Month Wise Rates#0#S#Desc.12")</f>
        <v>6M</v>
      </c>
      <c r="J1" s="76" t="str">
        <f t="array" ref="J1">RTD("tickerplantrtdserver",,"FWRC1#GBPUSD#Month Wise Rates#0#S#Desc.13")</f>
        <v>7M</v>
      </c>
      <c r="K1" s="76" t="str">
        <f t="array" ref="K1">RTD("tickerplantrtdserver",,"FWRC1#GBPUSD#Month Wise Rates#0#S#Desc.14")</f>
        <v>8M</v>
      </c>
      <c r="L1" s="76" t="str">
        <f t="array" ref="L1">RTD("tickerplantrtdserver",,"FWRC1#GBPUSD#Month Wise Rates#0#S#Desc.15")</f>
        <v>9M</v>
      </c>
      <c r="M1" s="76" t="str">
        <f t="array" ref="M1">RTD("tickerplantrtdserver",,"FWRC1#GBPUSD#Month Wise Rates#0#S#Desc.16")</f>
        <v>10M</v>
      </c>
      <c r="N1" s="76" t="str">
        <f t="array" ref="N1">RTD("tickerplantrtdserver",,"FWRC1#GBPUSD#Month Wise Rates#0#S#Desc.17")</f>
        <v>11M</v>
      </c>
      <c r="O1" s="77" t="str">
        <f t="array" ref="O1">RTD("tickerplantrtdserver",,"FWRC1#GBPUSD#Month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RTD("tickerplantrtdserver",,"FWRC1#GBPUSD#Month Wise Rates#0#S#PillarDate2")</f>
        <v>10-May-2023</v>
      </c>
      <c r="D2" s="71" t="str">
        <f t="array" ref="D2">RTD("tickerplantrtdserver",,"FWRC1#GBPUSD#Month Wise Rates#0#S#PillarDate7")</f>
        <v>12-Jun-2023</v>
      </c>
      <c r="E2" s="71" t="str">
        <f t="array" ref="E2">RTD("tickerplantrtdserver",,"FWRC1#GBPUSD#Month Wise Rates#0#S#PillarDate8")</f>
        <v>10-Jul-2023</v>
      </c>
      <c r="F2" s="71" t="str">
        <f t="array" ref="F2">RTD("tickerplantrtdserver",,"FWRC1#GBPUSD#Month Wise Rates#0#S#PillarDate9")</f>
        <v>10-Aug-2023</v>
      </c>
      <c r="G2" s="71" t="str">
        <f t="array" ref="G2">RTD("tickerplantrtdserver",,"FWRC1#GBPUSD#Month Wise Rates#0#S#PillarDate10")</f>
        <v>11-Sep-2023</v>
      </c>
      <c r="H2" s="71" t="str">
        <f t="array" ref="H2">RTD("tickerplantrtdserver",,"FWRC1#GBPUSD#Month Wise Rates#0#S#PillarDate11")</f>
        <v>10-Oct-2023</v>
      </c>
      <c r="I2" s="71" t="str">
        <f t="array" ref="I2">RTD("tickerplantrtdserver",,"FWRC1#GBPUSD#Month Wise Rates#0#S#PillarDate12")</f>
        <v>13-Nov-2023</v>
      </c>
      <c r="J2" s="71" t="str">
        <f t="array" ref="J2">RTD("tickerplantrtdserver",,"FWRC1#GBPUSD#Month Wise Rates#0#S#PillarDate13")</f>
        <v>11-Dec-2023</v>
      </c>
      <c r="K2" s="71" t="str">
        <f t="array" ref="K2">RTD("tickerplantrtdserver",,"FWRC1#GBPUSD#Month Wise Rates#0#S#PillarDate14")</f>
        <v>10-Jan-2024</v>
      </c>
      <c r="L2" s="71" t="str">
        <f t="array" ref="L2">RTD("tickerplantrtdserver",,"FWRC1#GBPUSD#Month Wise Rates#0#S#PillarDate15")</f>
        <v>12-Feb-2024</v>
      </c>
      <c r="M2" s="71" t="str">
        <f t="array" ref="M2">RTD("tickerplantrtdserver",,"FWRC1#GBPUSD#Month Wise Rates#0#S#PillarDate16")</f>
        <v>11-Mar-2024</v>
      </c>
      <c r="N2" s="71" t="str">
        <f t="array" ref="N2">RTD("tickerplantrtdserver",,"FWRC1#GBPUSD#Month Wise Rates#0#S#PillarDate17")</f>
        <v>10-Apr-2024</v>
      </c>
      <c r="O2" s="75" t="str">
        <f t="array" ref="O2">RTD("tickerplantrtdserver",,"FWRC1#GBPUSD#Month Wise Rates#0#S#PillarDate18")</f>
        <v>10-May-2024</v>
      </c>
      <c r="P2" s="30"/>
    </row>
    <row r="3" spans="1:18" s="14" customFormat="1" x14ac:dyDescent="0.25">
      <c r="A3" s="162" t="s">
        <v>4</v>
      </c>
      <c r="B3" s="163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7"/>
      <c r="P3" s="15"/>
    </row>
    <row r="4" spans="1:18" s="14" customFormat="1" x14ac:dyDescent="0.25">
      <c r="A4" s="160" t="s">
        <v>47</v>
      </c>
      <c r="B4" s="161"/>
      <c r="C4" s="65">
        <f t="array" ref="C4">RTD("tickerplantrtdserver",,"FWRC1#GBPUSD#Month Wise Rates#0#BidPrice2")</f>
        <v>0.28000000000000003</v>
      </c>
      <c r="D4" s="65">
        <f t="array" ref="D4">RTD("tickerplantrtdserver",,"FWRC1#GBPUSD#Month Wise Rates#0#BidPrice7")</f>
        <v>9.56</v>
      </c>
      <c r="E4" s="65">
        <f t="array" ref="E4">RTD("tickerplantrtdserver",,"FWRC1#GBPUSD#Month Wise Rates#0#BidPrice8")</f>
        <v>16.3</v>
      </c>
      <c r="F4" s="65">
        <f t="array" ref="F4">RTD("tickerplantrtdserver",,"FWRC1#GBPUSD#Month Wise Rates#0#BidPrice9")</f>
        <v>21.85</v>
      </c>
      <c r="G4" s="65">
        <f t="array" ref="G4">RTD("tickerplantrtdserver",,"FWRC1#GBPUSD#Month Wise Rates#0#BidPrice10")</f>
        <v>25.91</v>
      </c>
      <c r="H4" s="65">
        <f t="array" ref="H4">RTD("tickerplantrtdserver",,"FWRC1#GBPUSD#Month Wise Rates#0#BidPrice11")</f>
        <v>28.24</v>
      </c>
      <c r="I4" s="65">
        <f t="array" ref="I4">RTD("tickerplantrtdserver",,"FWRC1#GBPUSD#Month Wise Rates#0#BidPrice12")</f>
        <v>29.25</v>
      </c>
      <c r="J4" s="65">
        <f t="array" ref="J4">RTD("tickerplantrtdserver",,"FWRC1#GBPUSD#Month Wise Rates#0#BidPrice13")</f>
        <v>27.57</v>
      </c>
      <c r="K4" s="65">
        <f t="array" ref="K4">RTD("tickerplantrtdserver",,"FWRC1#GBPUSD#Month Wise Rates#0#BidPrice14")</f>
        <v>30.67</v>
      </c>
      <c r="L4" s="65">
        <f t="array" ref="L4">RTD("tickerplantrtdserver",,"FWRC1#GBPUSD#Month Wise Rates#0#BidPrice15")</f>
        <v>22.93</v>
      </c>
      <c r="M4" s="65">
        <f t="array" ref="M4">RTD("tickerplantrtdserver",,"FWRC1#GBPUSD#Month Wise Rates#0#BidPrice16")</f>
        <v>23.16</v>
      </c>
      <c r="N4" s="65">
        <f t="array" ref="N4">RTD("tickerplantrtdserver",,"FWRC1#GBPUSD#Month Wise Rates#0#BidPrice17")</f>
        <v>17.62</v>
      </c>
      <c r="O4" s="67">
        <f t="array" ref="O4">RTD("tickerplantrtdserver",,"FWRC1#GBPUSD#Month Wise Rates#0#BidPrice18")</f>
        <v>8.2799999999999994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RTD("tickerplantrtdserver",,"FWRC1#GBPUSD#Month Wise Rates#0#AskPrice2")</f>
        <v>0.47</v>
      </c>
      <c r="D5" s="65">
        <f t="array" ref="D5">RTD("tickerplantrtdserver",,"FWRC1#GBPUSD#Month Wise Rates#0#AskPrice7")</f>
        <v>9.66</v>
      </c>
      <c r="E5" s="65">
        <f t="array" ref="E5">RTD("tickerplantrtdserver",,"FWRC1#GBPUSD#Month Wise Rates#0#AskPrice8")</f>
        <v>17.100000000000001</v>
      </c>
      <c r="F5" s="65">
        <f t="array" ref="F5">RTD("tickerplantrtdserver",,"FWRC1#GBPUSD#Month Wise Rates#0#AskPrice9")</f>
        <v>23.05</v>
      </c>
      <c r="G5" s="65">
        <f t="array" ref="G5">RTD("tickerplantrtdserver",,"FWRC1#GBPUSD#Month Wise Rates#0#AskPrice10")</f>
        <v>27.35</v>
      </c>
      <c r="H5" s="65">
        <f t="array" ref="H5">RTD("tickerplantrtdserver",,"FWRC1#GBPUSD#Month Wise Rates#0#AskPrice11")</f>
        <v>30.16</v>
      </c>
      <c r="I5" s="65">
        <f t="array" ref="I5">RTD("tickerplantrtdserver",,"FWRC1#GBPUSD#Month Wise Rates#0#AskPrice12")</f>
        <v>30.64</v>
      </c>
      <c r="J5" s="65">
        <f t="array" ref="J5">RTD("tickerplantrtdserver",,"FWRC1#GBPUSD#Month Wise Rates#0#AskPrice13")</f>
        <v>29.62</v>
      </c>
      <c r="K5" s="65">
        <f t="array" ref="K5">RTD("tickerplantrtdserver",,"FWRC1#GBPUSD#Month Wise Rates#0#AskPrice14")</f>
        <v>32.520000000000003</v>
      </c>
      <c r="L5" s="65">
        <f t="array" ref="L5">RTD("tickerplantrtdserver",,"FWRC1#GBPUSD#Month Wise Rates#0#AskPrice15")</f>
        <v>25.08</v>
      </c>
      <c r="M5" s="65">
        <f t="array" ref="M5">RTD("tickerplantrtdserver",,"FWRC1#GBPUSD#Month Wise Rates#0#AskPrice16")</f>
        <v>24.83</v>
      </c>
      <c r="N5" s="65">
        <f t="array" ref="N5">RTD("tickerplantrtdserver",,"FWRC1#GBPUSD#Month Wise Rates#0#AskPrice17")</f>
        <v>19.57</v>
      </c>
      <c r="O5" s="67">
        <f t="array" ref="O5">RTD("tickerplantrtdserver",,"FWRC1#GBPUSD#Month Wise Rates#0#AskPrice18")</f>
        <v>14.87</v>
      </c>
      <c r="P5" s="20"/>
    </row>
    <row r="6" spans="1:18" s="14" customFormat="1" x14ac:dyDescent="0.25">
      <c r="A6" s="162" t="s">
        <v>3</v>
      </c>
      <c r="B6" s="163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7"/>
      <c r="P6" s="20"/>
    </row>
    <row r="7" spans="1:18" s="14" customFormat="1" x14ac:dyDescent="0.25">
      <c r="A7" s="160" t="s">
        <v>47</v>
      </c>
      <c r="B7" s="161"/>
      <c r="C7" s="64">
        <f t="array" ref="C7">RTD("tickerplantrtdserver",,"FWRC1#GBPUSD#Month Wise Rates#0#FwdOutrightBid2")</f>
        <v>1.2658</v>
      </c>
      <c r="D7" s="64">
        <f t="array" ref="D7">RTD("tickerplantrtdserver",,"FWRC1#GBPUSD#Month Wise Rates#0#FwdOutrightBid7")</f>
        <v>1.2667999999999999</v>
      </c>
      <c r="E7" s="64">
        <f t="array" ref="E7">RTD("tickerplantrtdserver",,"FWRC1#GBPUSD#Month Wise Rates#0#FwdOutrightBid8")</f>
        <v>1.2675000000000001</v>
      </c>
      <c r="F7" s="64">
        <f t="array" ref="F7">RTD("tickerplantrtdserver",,"FWRC1#GBPUSD#Month Wise Rates#0#FwdOutrightBid9")</f>
        <v>1.2681</v>
      </c>
      <c r="G7" s="64">
        <f t="array" ref="G7">RTD("tickerplantrtdserver",,"FWRC1#GBPUSD#Month Wise Rates#0#FwdOutrightBid10")</f>
        <v>1.2684</v>
      </c>
      <c r="H7" s="64">
        <f t="array" ref="H7">RTD("tickerplantrtdserver",,"FWRC1#GBPUSD#Month Wise Rates#0#FwdOutrightBid11")</f>
        <v>1.2686999999999999</v>
      </c>
      <c r="I7" s="64">
        <f t="array" ref="I7">RTD("tickerplantrtdserver",,"FWRC1#GBPUSD#Month Wise Rates#0#FwdOutrightBid12")</f>
        <v>1.2687999999999999</v>
      </c>
      <c r="J7" s="64">
        <f t="array" ref="J7">RTD("tickerplantrtdserver",,"FWRC1#GBPUSD#Month Wise Rates#0#FwdOutrightBid13")</f>
        <v>1.2685999999999999</v>
      </c>
      <c r="K7" s="64">
        <f t="array" ref="K7">RTD("tickerplantrtdserver",,"FWRC1#GBPUSD#Month Wise Rates#0#FwdOutrightBid14")</f>
        <v>1.2688999999999999</v>
      </c>
      <c r="L7" s="64">
        <f t="array" ref="L7">RTD("tickerplantrtdserver",,"FWRC1#GBPUSD#Month Wise Rates#0#FwdOutrightBid15")</f>
        <v>1.2681</v>
      </c>
      <c r="M7" s="64">
        <f t="array" ref="M7">RTD("tickerplantrtdserver",,"FWRC1#GBPUSD#Month Wise Rates#0#FwdOutrightBid16")</f>
        <v>1.2682</v>
      </c>
      <c r="N7" s="64">
        <f t="array" ref="N7">RTD("tickerplantrtdserver",,"FWRC1#GBPUSD#Month Wise Rates#0#FwdOutrightBid17")</f>
        <v>1.2676000000000001</v>
      </c>
      <c r="O7" s="68">
        <f t="array" ref="O7">RTD("tickerplantrtdserver",,"FWRC1#GBPUSD#Month Wise Rates#0#FwdOutrightBid18")</f>
        <v>1.2665999999999999</v>
      </c>
      <c r="P7" s="20"/>
    </row>
    <row r="8" spans="1:18" s="14" customFormat="1" x14ac:dyDescent="0.25">
      <c r="A8" s="160" t="s">
        <v>48</v>
      </c>
      <c r="B8" s="161"/>
      <c r="C8" s="64">
        <f t="array" ref="C8">RTD("tickerplantrtdserver",,"FWRC1#GBPUSD#Month Wise Rates#0#FwdOutrightAsk2")</f>
        <v>1.2659</v>
      </c>
      <c r="D8" s="64">
        <f t="array" ref="D8">RTD("tickerplantrtdserver",,"FWRC1#GBPUSD#Month Wise Rates#0#FwdOutrightAsk7")</f>
        <v>1.2667999999999999</v>
      </c>
      <c r="E8" s="64">
        <f t="array" ref="E8">RTD("tickerplantrtdserver",,"FWRC1#GBPUSD#Month Wise Rates#0#FwdOutrightAsk8")</f>
        <v>1.2676000000000001</v>
      </c>
      <c r="F8" s="64">
        <f t="array" ref="F8">RTD("tickerplantrtdserver",,"FWRC1#GBPUSD#Month Wise Rates#0#FwdOutrightAsk9")</f>
        <v>1.2682</v>
      </c>
      <c r="G8" s="64">
        <f t="array" ref="G8">RTD("tickerplantrtdserver",,"FWRC1#GBPUSD#Month Wise Rates#0#FwdOutrightAsk10")</f>
        <v>1.2686999999999999</v>
      </c>
      <c r="H8" s="64">
        <f t="array" ref="H8">RTD("tickerplantrtdserver",,"FWRC1#GBPUSD#Month Wise Rates#0#FwdOutrightAsk11")</f>
        <v>1.2688999999999999</v>
      </c>
      <c r="I8" s="64">
        <f t="array" ref="I8">RTD("tickerplantrtdserver",,"FWRC1#GBPUSD#Month Wise Rates#0#FwdOutrightAsk12")</f>
        <v>1.2689999999999999</v>
      </c>
      <c r="J8" s="64">
        <f t="array" ref="J8">RTD("tickerplantrtdserver",,"FWRC1#GBPUSD#Month Wise Rates#0#FwdOutrightAsk13")</f>
        <v>1.2688999999999999</v>
      </c>
      <c r="K8" s="64">
        <f t="array" ref="K8">RTD("tickerplantrtdserver",,"FWRC1#GBPUSD#Month Wise Rates#0#FwdOutrightAsk14")</f>
        <v>1.2692000000000001</v>
      </c>
      <c r="L8" s="64">
        <f t="array" ref="L8">RTD("tickerplantrtdserver",,"FWRC1#GBPUSD#Month Wise Rates#0#FwdOutrightAsk15")</f>
        <v>1.2685</v>
      </c>
      <c r="M8" s="64">
        <f t="array" ref="M8">RTD("tickerplantrtdserver",,"FWRC1#GBPUSD#Month Wise Rates#0#FwdOutrightAsk16")</f>
        <v>1.2684</v>
      </c>
      <c r="N8" s="64">
        <f t="array" ref="N8">RTD("tickerplantrtdserver",,"FWRC1#GBPUSD#Month Wise Rates#0#FwdOutrightAsk17")</f>
        <v>1.2679</v>
      </c>
      <c r="O8" s="68">
        <f t="array" ref="O8">RTD("tickerplantrtdserver",,"FWRC1#GBPUSD#Month Wise Rates#0#FwdOutrightAsk18")</f>
        <v>1.2674000000000001</v>
      </c>
    </row>
    <row r="9" spans="1:18" s="14" customFormat="1" x14ac:dyDescent="0.25">
      <c r="A9" s="162" t="s">
        <v>2</v>
      </c>
      <c r="B9" s="163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7"/>
    </row>
    <row r="10" spans="1:18" s="14" customFormat="1" x14ac:dyDescent="0.25">
      <c r="A10" s="160" t="s">
        <v>47</v>
      </c>
      <c r="B10" s="161"/>
      <c r="C10" s="65">
        <f t="array" ref="C10">RTD("tickerplantrtdserver",,"FWRC1#GBPUSD#Month Wise Rates#0#Bid%2")</f>
        <v>0.80730000000000002</v>
      </c>
      <c r="D10" s="65">
        <f t="array" ref="D10">RTD("tickerplantrtdserver",,"FWRC1#GBPUSD#Month Wise Rates#0#Bid%7")</f>
        <v>0.83530000000000004</v>
      </c>
      <c r="E10" s="65">
        <f t="array" ref="E10">RTD("tickerplantrtdserver",,"FWRC1#GBPUSD#Month Wise Rates#0#Bid%8")</f>
        <v>0.77049999999999996</v>
      </c>
      <c r="F10" s="65">
        <f t="array" ref="F10">RTD("tickerplantrtdserver",,"FWRC1#GBPUSD#Month Wise Rates#0#Bid%9")</f>
        <v>0.68479999999999996</v>
      </c>
      <c r="G10" s="65">
        <f t="array" ref="G10">RTD("tickerplantrtdserver",,"FWRC1#GBPUSD#Month Wise Rates#0#Bid%10")</f>
        <v>0.60250000000000004</v>
      </c>
      <c r="H10" s="65">
        <f t="array" ref="H10">RTD("tickerplantrtdserver",,"FWRC1#GBPUSD#Month Wise Rates#0#Bid%11")</f>
        <v>0.53220000000000001</v>
      </c>
      <c r="I10" s="65">
        <f t="array" ref="I10">RTD("tickerplantrtdserver",,"FWRC1#GBPUSD#Month Wise Rates#0#Bid%12")</f>
        <v>0.45100000000000001</v>
      </c>
      <c r="J10" s="65">
        <f t="array" ref="J10">RTD("tickerplantrtdserver",,"FWRC1#GBPUSD#Month Wise Rates#0#Bid%13")</f>
        <v>0.36969999999999997</v>
      </c>
      <c r="K10" s="65">
        <f t="array" ref="K10">RTD("tickerplantrtdserver",,"FWRC1#GBPUSD#Month Wise Rates#0#Bid%14")</f>
        <v>0.3609</v>
      </c>
      <c r="L10" s="65">
        <f t="array" ref="L10">RTD("tickerplantrtdserver",,"FWRC1#GBPUSD#Month Wise Rates#0#Bid%15")</f>
        <v>0.23780000000000001</v>
      </c>
      <c r="M10" s="65">
        <f t="array" ref="M10">RTD("tickerplantrtdserver",,"FWRC1#GBPUSD#Month Wise Rates#0#Bid%16")</f>
        <v>0.21820000000000001</v>
      </c>
      <c r="N10" s="65">
        <f t="array" ref="N10">RTD("tickerplantrtdserver",,"FWRC1#GBPUSD#Month Wise Rates#0#Bid%17")</f>
        <v>0.1512</v>
      </c>
      <c r="O10" s="67">
        <f t="array" ref="O10">RTD("tickerplantrtdserver",,"FWRC1#GBPUSD#Month Wise Rates#0#Bid%18")</f>
        <v>6.5199999999999994E-2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RTD("tickerplantrtdserver",,"FWRC1#GBPUSD#Month Wise Rates#0#Ask%2")</f>
        <v>1.3552</v>
      </c>
      <c r="D11" s="69">
        <f t="array" ref="D11">RTD("tickerplantrtdserver",,"FWRC1#GBPUSD#Month Wise Rates#0#Ask%7")</f>
        <v>0.84399999999999997</v>
      </c>
      <c r="E11" s="69">
        <f t="array" ref="E11">RTD("tickerplantrtdserver",,"FWRC1#GBPUSD#Month Wise Rates#0#Ask%8")</f>
        <v>0.80830000000000002</v>
      </c>
      <c r="F11" s="69">
        <f t="array" ref="F11">RTD("tickerplantrtdserver",,"FWRC1#GBPUSD#Month Wise Rates#0#Ask%9")</f>
        <v>0.72240000000000004</v>
      </c>
      <c r="G11" s="69">
        <f t="array" ref="G11">RTD("tickerplantrtdserver",,"FWRC1#GBPUSD#Month Wise Rates#0#Ask%10")</f>
        <v>0.63600000000000001</v>
      </c>
      <c r="H11" s="69">
        <f t="array" ref="H11">RTD("tickerplantrtdserver",,"FWRC1#GBPUSD#Month Wise Rates#0#Ask%11")</f>
        <v>0.56840000000000002</v>
      </c>
      <c r="I11" s="69">
        <f t="array" ref="I11">RTD("tickerplantrtdserver",,"FWRC1#GBPUSD#Month Wise Rates#0#Ask%12")</f>
        <v>0.47239999999999999</v>
      </c>
      <c r="J11" s="69">
        <f t="array" ref="J11">RTD("tickerplantrtdserver",,"FWRC1#GBPUSD#Month Wise Rates#0#Ask%13")</f>
        <v>0.3972</v>
      </c>
      <c r="K11" s="69">
        <f t="array" ref="K11">RTD("tickerplantrtdserver",,"FWRC1#GBPUSD#Month Wise Rates#0#Ask%14")</f>
        <v>0.38269999999999998</v>
      </c>
      <c r="L11" s="69">
        <f t="array" ref="L11">RTD("tickerplantrtdserver",,"FWRC1#GBPUSD#Month Wise Rates#0#Ask%15")</f>
        <v>0.2601</v>
      </c>
      <c r="M11" s="69">
        <f t="array" ref="M11">RTD("tickerplantrtdserver",,"FWRC1#GBPUSD#Month Wise Rates#0#Ask%16")</f>
        <v>0.23400000000000001</v>
      </c>
      <c r="N11" s="69">
        <f t="array" ref="N11">RTD("tickerplantrtdserver",,"FWRC1#GBPUSD#Month Wise Rates#0#Ask%17")</f>
        <v>0.16789999999999999</v>
      </c>
      <c r="O11" s="70">
        <f t="array" ref="O11">RTD("tickerplantrtdserver",,"FWRC1#GBPUSD#Month Wise Rates#0#Ask%18")</f>
        <v>0.1172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23"/>
      <c r="R13" s="23"/>
    </row>
    <row r="14" spans="1:18" s="14" customFormat="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31"/>
      <c r="R14" s="31"/>
    </row>
    <row r="15" spans="1:18" s="14" customFormat="1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5"/>
      <c r="R15" s="15"/>
    </row>
    <row r="16" spans="1:18" s="14" customFormat="1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s="14" customFormat="1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s="14" customFormat="1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s="14" customFormat="1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s="14" customFormat="1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s="2" customFormat="1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6" spans="1:16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36"/>
  <sheetViews>
    <sheetView workbookViewId="0">
      <selection sqref="A1:B1"/>
    </sheetView>
  </sheetViews>
  <sheetFormatPr defaultColWidth="8.85546875" defaultRowHeight="15" x14ac:dyDescent="0.25"/>
  <cols>
    <col min="3" max="3" width="9.85546875" bestFit="1" customWidth="1"/>
    <col min="4" max="4" width="9.28515625" bestFit="1" customWidth="1"/>
    <col min="5" max="5" width="8.85546875" bestFit="1" customWidth="1"/>
    <col min="6" max="7" width="9.42578125" bestFit="1" customWidth="1"/>
    <col min="8" max="8" width="9.28515625" bestFit="1" customWidth="1"/>
    <col min="9" max="10" width="9.5703125" bestFit="1" customWidth="1"/>
    <col min="11" max="11" width="9.28515625" bestFit="1" customWidth="1"/>
    <col min="12" max="12" width="9.42578125" bestFit="1" customWidth="1"/>
    <col min="13" max="13" width="9.7109375" bestFit="1" customWidth="1"/>
    <col min="14" max="14" width="9.28515625" bestFit="1" customWidth="1"/>
    <col min="15" max="15" width="9.85546875" bestFit="1" customWidth="1"/>
    <col min="16" max="16" width="8.85546875" bestFit="1" customWidth="1"/>
    <col min="17" max="17" width="10.140625" bestFit="1" customWidth="1"/>
    <col min="18" max="18" width="8.7109375" bestFit="1" customWidth="1"/>
  </cols>
  <sheetData>
    <row r="1" spans="1:18" s="14" customFormat="1" x14ac:dyDescent="0.25">
      <c r="A1" s="168" t="s">
        <v>6</v>
      </c>
      <c r="B1" s="169"/>
      <c r="C1" s="76" t="str">
        <f t="array" ref="C1">RTD("tickerplantrtdserver",,"FWRC1#USDJPY#Month Wise Rates#0#S#Desc.2")</f>
        <v>TN</v>
      </c>
      <c r="D1" s="76" t="str">
        <f t="array" ref="D1">RTD("tickerplantrtdserver",,"FWRC1#USDJPY#Month Wise Rates#0#S#Desc.7")</f>
        <v>1M</v>
      </c>
      <c r="E1" s="76" t="str">
        <f t="array" ref="E1">RTD("tickerplantrtdserver",,"FWRC1#USDJPY#Month Wise Rates#0#S#Desc.8")</f>
        <v>2M</v>
      </c>
      <c r="F1" s="76" t="str">
        <f t="array" ref="F1">RTD("tickerplantrtdserver",,"FWRC1#USDJPY#Month Wise Rates#0#S#Desc.9")</f>
        <v>3M</v>
      </c>
      <c r="G1" s="76" t="str">
        <f t="array" ref="G1">RTD("tickerplantrtdserver",,"FWRC1#USDJPY#Month Wise Rates#0#S#Desc.10")</f>
        <v>4M</v>
      </c>
      <c r="H1" s="76" t="str">
        <f t="array" ref="H1">RTD("tickerplantrtdserver",,"FWRC1#USDJPY#Month Wise Rates#0#S#Desc.11")</f>
        <v>5M</v>
      </c>
      <c r="I1" s="76" t="str">
        <f t="array" ref="I1">RTD("tickerplantrtdserver",,"FWRC1#USDJPY#Month Wise Rates#0#S#Desc.12")</f>
        <v>6M</v>
      </c>
      <c r="J1" s="76" t="str">
        <f t="array" ref="J1">RTD("tickerplantrtdserver",,"FWRC1#USDJPY#Month Wise Rates#0#S#Desc.13")</f>
        <v>7M</v>
      </c>
      <c r="K1" s="76" t="str">
        <f t="array" ref="K1">RTD("tickerplantrtdserver",,"FWRC1#USDJPY#Month Wise Rates#0#S#Desc.14")</f>
        <v>8M</v>
      </c>
      <c r="L1" s="76" t="str">
        <f t="array" ref="L1">RTD("tickerplantrtdserver",,"FWRC1#USDJPY#Month Wise Rates#0#S#Desc.15")</f>
        <v>9M</v>
      </c>
      <c r="M1" s="76" t="str">
        <f t="array" ref="M1">RTD("tickerplantrtdserver",,"FWRC1#USDJPY#Month Wise Rates#0#S#Desc.16")</f>
        <v>10M</v>
      </c>
      <c r="N1" s="76" t="str">
        <f t="array" ref="N1">RTD("tickerplantrtdserver",,"FWRC1#USDJPY#Month Wise Rates#0#S#Desc.17")</f>
        <v>11M</v>
      </c>
      <c r="O1" s="77" t="str">
        <f t="array" ref="O1">RTD("tickerplantrtdserver",,"FWRC1#USDJPY#Month Wise Rates#0#S#Desc.18")</f>
        <v>12M</v>
      </c>
    </row>
    <row r="2" spans="1:18" s="14" customFormat="1" ht="15.75" customHeight="1" x14ac:dyDescent="0.25">
      <c r="A2" s="160" t="s">
        <v>5</v>
      </c>
      <c r="B2" s="161"/>
      <c r="C2" s="71" t="str">
        <f t="array" ref="C2">RTD("tickerplantrtdserver",,"FWRC1#USDJPY#Month Wise Rates#0#S#PillarDate2")</f>
        <v>10-May-2023</v>
      </c>
      <c r="D2" s="71" t="str">
        <f t="array" ref="D2">RTD("tickerplantrtdserver",,"FWRC1#USDJPY#Month Wise Rates#0#S#PillarDate7")</f>
        <v>12-Jun-2023</v>
      </c>
      <c r="E2" s="71" t="str">
        <f t="array" ref="E2">RTD("tickerplantrtdserver",,"FWRC1#USDJPY#Month Wise Rates#0#S#PillarDate8")</f>
        <v>10-Jul-2023</v>
      </c>
      <c r="F2" s="71" t="str">
        <f t="array" ref="F2">RTD("tickerplantrtdserver",,"FWRC1#USDJPY#Month Wise Rates#0#S#PillarDate9")</f>
        <v>10-Aug-2023</v>
      </c>
      <c r="G2" s="71" t="str">
        <f t="array" ref="G2">RTD("tickerplantrtdserver",,"FWRC1#USDJPY#Month Wise Rates#0#S#PillarDate10")</f>
        <v>11-Sep-2023</v>
      </c>
      <c r="H2" s="71" t="str">
        <f t="array" ref="H2">RTD("tickerplantrtdserver",,"FWRC1#USDJPY#Month Wise Rates#0#S#PillarDate11")</f>
        <v>10-Oct-2023</v>
      </c>
      <c r="I2" s="71" t="str">
        <f t="array" ref="I2">RTD("tickerplantrtdserver",,"FWRC1#USDJPY#Month Wise Rates#0#S#PillarDate12")</f>
        <v>13-Nov-2023</v>
      </c>
      <c r="J2" s="71" t="str">
        <f t="array" ref="J2">RTD("tickerplantrtdserver",,"FWRC1#USDJPY#Month Wise Rates#0#S#PillarDate13")</f>
        <v>11-Dec-2023</v>
      </c>
      <c r="K2" s="71" t="str">
        <f t="array" ref="K2">RTD("tickerplantrtdserver",,"FWRC1#USDJPY#Month Wise Rates#0#S#PillarDate14")</f>
        <v>10-Jan-2024</v>
      </c>
      <c r="L2" s="71" t="str">
        <f t="array" ref="L2">RTD("tickerplantrtdserver",,"FWRC1#USDJPY#Month Wise Rates#0#S#PillarDate15")</f>
        <v>12-Feb-2024</v>
      </c>
      <c r="M2" s="71" t="str">
        <f t="array" ref="M2">RTD("tickerplantrtdserver",,"FWRC1#USDJPY#Month Wise Rates#0#S#PillarDate16")</f>
        <v>11-Mar-2024</v>
      </c>
      <c r="N2" s="71" t="str">
        <f t="array" ref="N2">RTD("tickerplantrtdserver",,"FWRC1#USDJPY#Month Wise Rates#0#S#PillarDate17")</f>
        <v>10-Apr-2024</v>
      </c>
      <c r="O2" s="75" t="str">
        <f t="array" ref="O2">RTD("tickerplantrtdserver",,"FWRC1#USDJPY#Month Wise Rates#0#S#PillarDate18")</f>
        <v>10-May-2024</v>
      </c>
      <c r="P2" s="30"/>
    </row>
    <row r="3" spans="1:18" s="14" customFormat="1" x14ac:dyDescent="0.25">
      <c r="A3" s="162" t="s">
        <v>4</v>
      </c>
      <c r="B3" s="163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1"/>
      <c r="P3" s="15"/>
    </row>
    <row r="4" spans="1:18" s="14" customFormat="1" x14ac:dyDescent="0.25">
      <c r="A4" s="160" t="s">
        <v>47</v>
      </c>
      <c r="B4" s="161"/>
      <c r="C4" s="65">
        <f t="array" ref="C4">RTD("tickerplantrtdserver",,"FWRC1#USDJPY#Month Wise Rates#0#BidPrice2")</f>
        <v>-1.99</v>
      </c>
      <c r="D4" s="65">
        <f t="array" ref="D4">RTD("tickerplantrtdserver",,"FWRC1#USDJPY#Month Wise Rates#0#BidPrice7")</f>
        <v>-66.930000000000007</v>
      </c>
      <c r="E4" s="65">
        <f t="array" ref="E4">RTD("tickerplantrtdserver",,"FWRC1#USDJPY#Month Wise Rates#0#BidPrice8")</f>
        <v>-125.02</v>
      </c>
      <c r="F4" s="65">
        <f t="array" ref="F4">RTD("tickerplantrtdserver",,"FWRC1#USDJPY#Month Wise Rates#0#BidPrice9")</f>
        <v>-187.11</v>
      </c>
      <c r="G4" s="65">
        <f t="array" ref="G4">RTD("tickerplantrtdserver",,"FWRC1#USDJPY#Month Wise Rates#0#BidPrice10")</f>
        <v>-250.9</v>
      </c>
      <c r="H4" s="65">
        <f t="array" ref="H4">RTD("tickerplantrtdserver",,"FWRC1#USDJPY#Month Wise Rates#0#BidPrice11")</f>
        <v>-308.85000000000002</v>
      </c>
      <c r="I4" s="65">
        <f t="array" ref="I4">RTD("tickerplantrtdserver",,"FWRC1#USDJPY#Month Wise Rates#0#BidPrice12")</f>
        <v>-367.7</v>
      </c>
      <c r="J4" s="65">
        <f t="array" ref="J4">RTD("tickerplantrtdserver",,"FWRC1#USDJPY#Month Wise Rates#0#BidPrice13")</f>
        <v>-425.17</v>
      </c>
      <c r="K4" s="65">
        <f t="array" ref="K4">RTD("tickerplantrtdserver",,"FWRC1#USDJPY#Month Wise Rates#0#BidPrice14")</f>
        <v>-491.5</v>
      </c>
      <c r="L4" s="65">
        <f t="array" ref="L4">RTD("tickerplantrtdserver",,"FWRC1#USDJPY#Month Wise Rates#0#BidPrice15")</f>
        <v>-550.4</v>
      </c>
      <c r="M4" s="65">
        <f t="array" ref="M4">RTD("tickerplantrtdserver",,"FWRC1#USDJPY#Month Wise Rates#0#BidPrice16")</f>
        <v>-593.65</v>
      </c>
      <c r="N4" s="65">
        <f t="array" ref="N4">RTD("tickerplantrtdserver",,"FWRC1#USDJPY#Month Wise Rates#0#BidPrice17")</f>
        <v>-643.9</v>
      </c>
      <c r="O4" s="67">
        <f t="array" ref="O4">RTD("tickerplantrtdserver",,"FWRC1#USDJPY#Month Wise Rates#0#BidPrice18")</f>
        <v>-687.92</v>
      </c>
      <c r="P4" s="20"/>
    </row>
    <row r="5" spans="1:18" s="14" customFormat="1" x14ac:dyDescent="0.25">
      <c r="A5" s="160" t="s">
        <v>48</v>
      </c>
      <c r="B5" s="161"/>
      <c r="C5" s="65">
        <f t="array" ref="C5">RTD("tickerplantrtdserver",,"FWRC1#USDJPY#Month Wise Rates#0#AskPrice2")</f>
        <v>-1.91</v>
      </c>
      <c r="D5" s="65">
        <f t="array" ref="D5">RTD("tickerplantrtdserver",,"FWRC1#USDJPY#Month Wise Rates#0#AskPrice7")</f>
        <v>-66.430000000000007</v>
      </c>
      <c r="E5" s="65">
        <f t="array" ref="E5">RTD("tickerplantrtdserver",,"FWRC1#USDJPY#Month Wise Rates#0#AskPrice8")</f>
        <v>-124.32</v>
      </c>
      <c r="F5" s="65">
        <f t="array" ref="F5">RTD("tickerplantrtdserver",,"FWRC1#USDJPY#Month Wise Rates#0#AskPrice9")</f>
        <v>-186.66</v>
      </c>
      <c r="G5" s="65">
        <f t="array" ref="G5">RTD("tickerplantrtdserver",,"FWRC1#USDJPY#Month Wise Rates#0#AskPrice10")</f>
        <v>-249.4</v>
      </c>
      <c r="H5" s="65">
        <f t="array" ref="H5">RTD("tickerplantrtdserver",,"FWRC1#USDJPY#Month Wise Rates#0#AskPrice11")</f>
        <v>-307.35000000000002</v>
      </c>
      <c r="I5" s="65">
        <f t="array" ref="I5">RTD("tickerplantrtdserver",,"FWRC1#USDJPY#Month Wise Rates#0#AskPrice12")</f>
        <v>-366.2</v>
      </c>
      <c r="J5" s="65">
        <f t="array" ref="J5">RTD("tickerplantrtdserver",,"FWRC1#USDJPY#Month Wise Rates#0#AskPrice13")</f>
        <v>-423.02</v>
      </c>
      <c r="K5" s="65">
        <f t="array" ref="K5">RTD("tickerplantrtdserver",,"FWRC1#USDJPY#Month Wise Rates#0#AskPrice14")</f>
        <v>-489.5</v>
      </c>
      <c r="L5" s="65">
        <f t="array" ref="L5">RTD("tickerplantrtdserver",,"FWRC1#USDJPY#Month Wise Rates#0#AskPrice15")</f>
        <v>-548.9</v>
      </c>
      <c r="M5" s="65">
        <f t="array" ref="M5">RTD("tickerplantrtdserver",,"FWRC1#USDJPY#Month Wise Rates#0#AskPrice16")</f>
        <v>-592.15</v>
      </c>
      <c r="N5" s="65">
        <f t="array" ref="N5">RTD("tickerplantrtdserver",,"FWRC1#USDJPY#Month Wise Rates#0#AskPrice17")</f>
        <v>-640.4</v>
      </c>
      <c r="O5" s="67">
        <f t="array" ref="O5">RTD("tickerplantrtdserver",,"FWRC1#USDJPY#Month Wise Rates#0#AskPrice18")</f>
        <v>-685.92</v>
      </c>
      <c r="P5" s="20"/>
    </row>
    <row r="6" spans="1:18" s="14" customFormat="1" x14ac:dyDescent="0.25">
      <c r="A6" s="162" t="s">
        <v>3</v>
      </c>
      <c r="B6" s="163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1"/>
      <c r="P6" s="20"/>
    </row>
    <row r="7" spans="1:18" s="14" customFormat="1" x14ac:dyDescent="0.25">
      <c r="A7" s="160" t="s">
        <v>47</v>
      </c>
      <c r="B7" s="161"/>
      <c r="C7" s="65">
        <f t="array" ref="C7">RTD("tickerplantrtdserver",,"FWRC1#USDJPY#Month Wise Rates#0#FwdOutrightBid2")</f>
        <v>135.00810000000001</v>
      </c>
      <c r="D7" s="65">
        <f t="array" ref="D7">RTD("tickerplantrtdserver",,"FWRC1#USDJPY#Month Wise Rates#0#FwdOutrightBid7")</f>
        <v>134.31970000000001</v>
      </c>
      <c r="E7" s="65">
        <f t="array" ref="E7">RTD("tickerplantrtdserver",,"FWRC1#USDJPY#Month Wise Rates#0#FwdOutrightBid8")</f>
        <v>133.7398</v>
      </c>
      <c r="F7" s="65">
        <f t="array" ref="F7">RTD("tickerplantrtdserver",,"FWRC1#USDJPY#Month Wise Rates#0#FwdOutrightBid9")</f>
        <v>133.11689999999999</v>
      </c>
      <c r="G7" s="65">
        <f t="array" ref="G7">RTD("tickerplantrtdserver",,"FWRC1#USDJPY#Month Wise Rates#0#FwdOutrightBid10")</f>
        <v>132.48099999999999</v>
      </c>
      <c r="H7" s="65">
        <f t="array" ref="H7">RTD("tickerplantrtdserver",,"FWRC1#USDJPY#Month Wise Rates#0#FwdOutrightBid11")</f>
        <v>131.90049999999999</v>
      </c>
      <c r="I7" s="65">
        <f t="array" ref="I7">RTD("tickerplantrtdserver",,"FWRC1#USDJPY#Month Wise Rates#0#FwdOutrightBid12")</f>
        <v>131.30600000000001</v>
      </c>
      <c r="J7" s="65">
        <f t="array" ref="J7">RTD("tickerplantrtdserver",,"FWRC1#USDJPY#Month Wise Rates#0#FwdOutrightBid13")</f>
        <v>130.7363</v>
      </c>
      <c r="K7" s="65">
        <f t="array" ref="K7">RTD("tickerplantrtdserver",,"FWRC1#USDJPY#Month Wise Rates#0#FwdOutrightBid14")</f>
        <v>130.07400000000001</v>
      </c>
      <c r="L7" s="65">
        <f t="array" ref="L7">RTD("tickerplantrtdserver",,"FWRC1#USDJPY#Month Wise Rates#0#FwdOutrightBid15")</f>
        <v>129.49</v>
      </c>
      <c r="M7" s="65">
        <f t="array" ref="M7">RTD("tickerplantrtdserver",,"FWRC1#USDJPY#Month Wise Rates#0#FwdOutrightBid16")</f>
        <v>129.04949999999999</v>
      </c>
      <c r="N7" s="65">
        <f t="array" ref="N7">RTD("tickerplantrtdserver",,"FWRC1#USDJPY#Month Wise Rates#0#FwdOutrightBid17")</f>
        <v>128.55500000000001</v>
      </c>
      <c r="O7" s="67">
        <f t="array" ref="O7">RTD("tickerplantrtdserver",,"FWRC1#USDJPY#Month Wise Rates#0#FwdOutrightBid18")</f>
        <v>128.11080000000001</v>
      </c>
      <c r="P7" s="20"/>
    </row>
    <row r="8" spans="1:18" s="14" customFormat="1" x14ac:dyDescent="0.25">
      <c r="A8" s="160" t="s">
        <v>48</v>
      </c>
      <c r="B8" s="161"/>
      <c r="C8" s="65">
        <f t="array" ref="C8">RTD("tickerplantrtdserver",,"FWRC1#USDJPY#Month Wise Rates#0#FwdOutrightAsk2")</f>
        <v>135.02289999999999</v>
      </c>
      <c r="D8" s="65">
        <f t="array" ref="D8">RTD("tickerplantrtdserver",,"FWRC1#USDJPY#Month Wise Rates#0#FwdOutrightAsk7")</f>
        <v>134.33869999999999</v>
      </c>
      <c r="E8" s="65">
        <f t="array" ref="E8">RTD("tickerplantrtdserver",,"FWRC1#USDJPY#Month Wise Rates#0#FwdOutrightAsk8")</f>
        <v>133.75479999999999</v>
      </c>
      <c r="F8" s="65">
        <f t="array" ref="F8">RTD("tickerplantrtdserver",,"FWRC1#USDJPY#Month Wise Rates#0#FwdOutrightAsk9")</f>
        <v>133.1294</v>
      </c>
      <c r="G8" s="65">
        <f t="array" ref="G8">RTD("tickerplantrtdserver",,"FWRC1#USDJPY#Month Wise Rates#0#FwdOutrightAsk10")</f>
        <v>132.50299999999999</v>
      </c>
      <c r="H8" s="65">
        <f t="array" ref="H8">RTD("tickerplantrtdserver",,"FWRC1#USDJPY#Month Wise Rates#0#FwdOutrightAsk11")</f>
        <v>131.92949999999999</v>
      </c>
      <c r="I8" s="65">
        <f t="array" ref="I8">RTD("tickerplantrtdserver",,"FWRC1#USDJPY#Month Wise Rates#0#FwdOutrightAsk12")</f>
        <v>131.333</v>
      </c>
      <c r="J8" s="65">
        <f t="array" ref="J8">RTD("tickerplantrtdserver",,"FWRC1#USDJPY#Month Wise Rates#0#FwdOutrightAsk13")</f>
        <v>130.76580000000001</v>
      </c>
      <c r="K8" s="65">
        <f t="array" ref="K8">RTD("tickerplantrtdserver",,"FWRC1#USDJPY#Month Wise Rates#0#FwdOutrightAsk14")</f>
        <v>130.108</v>
      </c>
      <c r="L8" s="65">
        <f t="array" ref="L8">RTD("tickerplantrtdserver",,"FWRC1#USDJPY#Month Wise Rates#0#FwdOutrightAsk15")</f>
        <v>129.511</v>
      </c>
      <c r="M8" s="65">
        <f t="array" ref="M8">RTD("tickerplantrtdserver",,"FWRC1#USDJPY#Month Wise Rates#0#FwdOutrightAsk16")</f>
        <v>129.07749999999999</v>
      </c>
      <c r="N8" s="65">
        <f t="array" ref="N8">RTD("tickerplantrtdserver",,"FWRC1#USDJPY#Month Wise Rates#0#FwdOutrightAsk17")</f>
        <v>128.596</v>
      </c>
      <c r="O8" s="67">
        <f t="array" ref="O8">RTD("tickerplantrtdserver",,"FWRC1#USDJPY#Month Wise Rates#0#FwdOutrightAsk18")</f>
        <v>128.1388</v>
      </c>
    </row>
    <row r="9" spans="1:18" s="14" customFormat="1" x14ac:dyDescent="0.25">
      <c r="A9" s="162" t="s">
        <v>2</v>
      </c>
      <c r="B9" s="163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1"/>
    </row>
    <row r="10" spans="1:18" s="14" customFormat="1" x14ac:dyDescent="0.25">
      <c r="A10" s="160" t="s">
        <v>47</v>
      </c>
      <c r="B10" s="161"/>
      <c r="C10" s="65">
        <f t="array" ref="C10">RTD("tickerplantrtdserver",,"FWRC1#USDJPY#Month Wise Rates#0#Bid%2")</f>
        <v>-5.3803000000000001</v>
      </c>
      <c r="D10" s="65">
        <f t="array" ref="D10">RTD("tickerplantrtdserver",,"FWRC1#USDJPY#Month Wise Rates#0#Bid%7")</f>
        <v>-5.4835000000000003</v>
      </c>
      <c r="E10" s="65">
        <f t="array" ref="E10">RTD("tickerplantrtdserver",,"FWRC1#USDJPY#Month Wise Rates#0#Bid%8")</f>
        <v>-5.5412999999999997</v>
      </c>
      <c r="F10" s="65">
        <f t="array" ref="F10">RTD("tickerplantrtdserver",,"FWRC1#USDJPY#Month Wise Rates#0#Bid%9")</f>
        <v>-5.4989999999999997</v>
      </c>
      <c r="G10" s="65">
        <f t="array" ref="G10">RTD("tickerplantrtdserver",,"FWRC1#USDJPY#Month Wise Rates#0#Bid%10")</f>
        <v>-5.4707999999999997</v>
      </c>
      <c r="H10" s="65">
        <f t="array" ref="H10">RTD("tickerplantrtdserver",,"FWRC1#USDJPY#Month Wise Rates#0#Bid%11")</f>
        <v>-5.4576000000000002</v>
      </c>
      <c r="I10" s="65">
        <f t="array" ref="I10">RTD("tickerplantrtdserver",,"FWRC1#USDJPY#Month Wise Rates#0#Bid%12")</f>
        <v>-5.3164999999999996</v>
      </c>
      <c r="J10" s="65">
        <f t="array" ref="J10">RTD("tickerplantrtdserver",,"FWRC1#USDJPY#Month Wise Rates#0#Bid%13")</f>
        <v>-5.3468</v>
      </c>
      <c r="K10" s="65">
        <f t="array" ref="K10">RTD("tickerplantrtdserver",,"FWRC1#USDJPY#Month Wise Rates#0#Bid%14")</f>
        <v>-5.4238</v>
      </c>
      <c r="L10" s="65">
        <f t="array" ref="L10">RTD("tickerplantrtdserver",,"FWRC1#USDJPY#Month Wise Rates#0#Bid%15")</f>
        <v>-5.3529</v>
      </c>
      <c r="M10" s="65">
        <f t="array" ref="M10">RTD("tickerplantrtdserver",,"FWRC1#USDJPY#Month Wise Rates#0#Bid%16")</f>
        <v>-5.2453000000000003</v>
      </c>
      <c r="N10" s="65">
        <f t="array" ref="N10">RTD("tickerplantrtdserver",,"FWRC1#USDJPY#Month Wise Rates#0#Bid%17")</f>
        <v>-5.1813000000000002</v>
      </c>
      <c r="O10" s="67">
        <f t="array" ref="O10">RTD("tickerplantrtdserver",,"FWRC1#USDJPY#Month Wise Rates#0#Bid%18")</f>
        <v>-5.0819000000000001</v>
      </c>
    </row>
    <row r="11" spans="1:18" s="14" customFormat="1" ht="15.75" thickBot="1" x14ac:dyDescent="0.3">
      <c r="A11" s="164" t="s">
        <v>48</v>
      </c>
      <c r="B11" s="165"/>
      <c r="C11" s="69">
        <f t="array" ref="C11">RTD("tickerplantrtdserver",,"FWRC1#USDJPY#Month Wise Rates#0#Ask%2")</f>
        <v>-5.1645000000000003</v>
      </c>
      <c r="D11" s="69">
        <f t="array" ref="D11">RTD("tickerplantrtdserver",,"FWRC1#USDJPY#Month Wise Rates#0#Ask%7")</f>
        <v>-5.4431000000000003</v>
      </c>
      <c r="E11" s="69">
        <f t="array" ref="E11">RTD("tickerplantrtdserver",,"FWRC1#USDJPY#Month Wise Rates#0#Ask%8")</f>
        <v>-5.5106000000000002</v>
      </c>
      <c r="F11" s="69">
        <f t="array" ref="F11">RTD("tickerplantrtdserver",,"FWRC1#USDJPY#Month Wise Rates#0#Ask%9")</f>
        <v>-5.4861000000000004</v>
      </c>
      <c r="G11" s="69">
        <f t="array" ref="G11">RTD("tickerplantrtdserver",,"FWRC1#USDJPY#Month Wise Rates#0#Ask%10")</f>
        <v>-5.4382999999999999</v>
      </c>
      <c r="H11" s="69">
        <f t="array" ref="H11">RTD("tickerplantrtdserver",,"FWRC1#USDJPY#Month Wise Rates#0#Ask%11")</f>
        <v>-5.4317000000000002</v>
      </c>
      <c r="I11" s="69">
        <f t="array" ref="I11">RTD("tickerplantrtdserver",,"FWRC1#USDJPY#Month Wise Rates#0#Ask%12")</f>
        <v>-5.2953000000000001</v>
      </c>
      <c r="J11" s="69">
        <f t="array" ref="J11">RTD("tickerplantrtdserver",,"FWRC1#USDJPY#Month Wise Rates#0#Ask%13")</f>
        <v>-5.3201000000000001</v>
      </c>
      <c r="K11" s="69">
        <f t="array" ref="K11">RTD("tickerplantrtdserver",,"FWRC1#USDJPY#Month Wise Rates#0#Ask%14")</f>
        <v>-5.4023000000000003</v>
      </c>
      <c r="L11" s="69">
        <f t="array" ref="L11">RTD("tickerplantrtdserver",,"FWRC1#USDJPY#Month Wise Rates#0#Ask%15")</f>
        <v>-5.3385999999999996</v>
      </c>
      <c r="M11" s="69">
        <f t="array" ref="M11">RTD("tickerplantrtdserver",,"FWRC1#USDJPY#Month Wise Rates#0#Ask%16")</f>
        <v>-5.2325999999999997</v>
      </c>
      <c r="N11" s="69">
        <f t="array" ref="N11">RTD("tickerplantrtdserver",,"FWRC1#USDJPY#Month Wise Rates#0#Ask%17")</f>
        <v>-5.1534000000000004</v>
      </c>
      <c r="O11" s="70">
        <f t="array" ref="O11">RTD("tickerplantrtdserver",,"FWRC1#USDJPY#Month Wise Rates#0#Ask%18")</f>
        <v>-5.0674000000000001</v>
      </c>
    </row>
    <row r="12" spans="1:18" s="14" customFormat="1" ht="15.7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</row>
    <row r="13" spans="1:18" s="14" customFormat="1" x14ac:dyDescent="0.25">
      <c r="A13" s="13"/>
      <c r="B13" s="21"/>
      <c r="C13" s="21"/>
      <c r="D13" s="20"/>
      <c r="E13" s="21"/>
      <c r="F13" s="21"/>
      <c r="G13" s="21"/>
      <c r="H13" s="32"/>
      <c r="I13" s="32"/>
      <c r="J13" s="32"/>
      <c r="L13" s="31"/>
      <c r="M13" s="31"/>
      <c r="N13" s="31"/>
      <c r="Q13" s="23"/>
      <c r="R13" s="23"/>
    </row>
    <row r="14" spans="1:18" s="14" customFormat="1" x14ac:dyDescent="0.25">
      <c r="A14" s="13"/>
      <c r="B14" s="21"/>
      <c r="C14" s="21"/>
      <c r="D14" s="20"/>
      <c r="E14" s="21"/>
      <c r="F14" s="33"/>
      <c r="G14" s="34"/>
      <c r="H14" s="34"/>
      <c r="I14" s="34"/>
      <c r="J14" s="21"/>
      <c r="L14" s="20"/>
      <c r="M14" s="20"/>
      <c r="N14" s="20"/>
      <c r="P14" s="31"/>
      <c r="Q14" s="31"/>
      <c r="R14" s="31"/>
    </row>
    <row r="15" spans="1:18" s="14" customFormat="1" x14ac:dyDescent="0.25">
      <c r="A15" s="13"/>
      <c r="B15" s="21"/>
      <c r="C15" s="21"/>
      <c r="D15" s="20"/>
      <c r="E15" s="20"/>
      <c r="G15" s="13"/>
      <c r="H15" s="20"/>
      <c r="I15" s="20"/>
      <c r="J15" s="20"/>
      <c r="L15" s="15"/>
      <c r="M15" s="15"/>
      <c r="N15" s="15"/>
      <c r="P15" s="15"/>
      <c r="Q15" s="15"/>
      <c r="R15" s="15"/>
    </row>
    <row r="16" spans="1:18" s="14" customFormat="1" x14ac:dyDescent="0.25">
      <c r="A16" s="15"/>
      <c r="B16" s="21"/>
      <c r="C16" s="21"/>
      <c r="D16" s="20"/>
      <c r="E16" s="20"/>
      <c r="G16" s="15"/>
      <c r="H16" s="20"/>
      <c r="I16" s="20"/>
      <c r="J16" s="20"/>
      <c r="L16" s="13"/>
      <c r="P16" s="13"/>
    </row>
    <row r="17" spans="1:16" s="14" customFormat="1" x14ac:dyDescent="0.25">
      <c r="A17" s="15"/>
      <c r="B17" s="21"/>
      <c r="C17" s="21"/>
      <c r="D17" s="20"/>
      <c r="E17" s="20"/>
      <c r="G17" s="15"/>
      <c r="H17" s="20"/>
      <c r="I17" s="20"/>
      <c r="J17" s="20"/>
      <c r="L17" s="13"/>
      <c r="P17" s="13"/>
    </row>
    <row r="18" spans="1:16" s="14" customFormat="1" x14ac:dyDescent="0.25">
      <c r="A18" s="15"/>
      <c r="B18" s="21"/>
      <c r="C18" s="21"/>
      <c r="D18" s="20"/>
      <c r="E18" s="20"/>
      <c r="G18" s="15"/>
      <c r="H18" s="20"/>
      <c r="I18" s="20"/>
      <c r="J18" s="20"/>
      <c r="L18" s="13"/>
      <c r="P18" s="13"/>
    </row>
    <row r="19" spans="1:16" s="14" customFormat="1" x14ac:dyDescent="0.25">
      <c r="A19" s="15"/>
      <c r="B19" s="21"/>
      <c r="C19" s="21"/>
      <c r="D19" s="58"/>
      <c r="E19" s="58"/>
      <c r="G19" s="15"/>
      <c r="H19" s="58"/>
      <c r="I19" s="58"/>
      <c r="J19" s="58"/>
      <c r="L19" s="15"/>
      <c r="P19" s="15"/>
    </row>
    <row r="20" spans="1:16" s="14" customFormat="1" x14ac:dyDescent="0.25">
      <c r="B20" s="21"/>
      <c r="C20" s="21"/>
      <c r="D20" s="58"/>
      <c r="E20" s="58"/>
      <c r="G20" s="15"/>
      <c r="H20" s="58"/>
      <c r="I20" s="58"/>
      <c r="J20" s="58"/>
      <c r="L20" s="13"/>
    </row>
    <row r="21" spans="1:16" x14ac:dyDescent="0.25">
      <c r="B21" s="21"/>
      <c r="C21" s="21"/>
      <c r="D21" s="58"/>
      <c r="E21" s="58"/>
      <c r="F21" s="14"/>
      <c r="G21" s="15"/>
      <c r="H21" s="58"/>
      <c r="I21" s="58"/>
      <c r="J21" s="58"/>
      <c r="K21" s="14"/>
      <c r="L21" s="13"/>
      <c r="M21" s="14"/>
      <c r="N21" s="14"/>
    </row>
    <row r="22" spans="1:16" x14ac:dyDescent="0.25">
      <c r="B22" s="21"/>
      <c r="C22" s="21"/>
      <c r="D22" s="58"/>
      <c r="E22" s="58"/>
      <c r="F22" s="14"/>
      <c r="G22" s="15"/>
      <c r="H22" s="58"/>
      <c r="I22" s="58"/>
      <c r="J22" s="58"/>
      <c r="K22" s="14"/>
      <c r="L22" s="15"/>
      <c r="M22" s="14"/>
      <c r="N22" s="14"/>
    </row>
    <row r="23" spans="1:16" x14ac:dyDescent="0.25">
      <c r="B23" s="21"/>
      <c r="C23" s="21"/>
      <c r="D23" s="58"/>
      <c r="E23" s="58"/>
      <c r="F23" s="14"/>
      <c r="G23" s="15"/>
      <c r="H23" s="58"/>
      <c r="I23" s="58"/>
      <c r="J23" s="58"/>
      <c r="K23" s="14"/>
      <c r="L23" s="13"/>
      <c r="M23" s="14"/>
      <c r="N23" s="14"/>
      <c r="O23" s="2"/>
    </row>
    <row r="24" spans="1:16" s="2" customFormat="1" x14ac:dyDescent="0.25">
      <c r="B24" s="21"/>
      <c r="C24" s="21"/>
      <c r="D24" s="58"/>
      <c r="E24" s="58"/>
      <c r="F24" s="14"/>
      <c r="G24" s="15"/>
      <c r="H24" s="58"/>
      <c r="I24" s="58"/>
      <c r="J24" s="58"/>
      <c r="K24" s="14"/>
      <c r="L24" s="13"/>
      <c r="M24" s="14"/>
      <c r="N24" s="14"/>
      <c r="O24" s="3"/>
    </row>
    <row r="25" spans="1:16" x14ac:dyDescent="0.25">
      <c r="B25" s="21"/>
      <c r="C25" s="21"/>
      <c r="D25" s="58"/>
      <c r="E25" s="58"/>
      <c r="F25" s="14"/>
      <c r="G25" s="15"/>
      <c r="H25" s="58"/>
      <c r="I25" s="58"/>
      <c r="J25" s="58"/>
      <c r="K25" s="14"/>
      <c r="L25" s="15"/>
      <c r="M25" s="14"/>
      <c r="N25" s="14"/>
    </row>
    <row r="26" spans="1:16" x14ac:dyDescent="0.25">
      <c r="B26" s="21"/>
      <c r="C26" s="21"/>
      <c r="D26" s="58"/>
      <c r="E26" s="58"/>
      <c r="F26" s="14"/>
      <c r="G26" s="15"/>
      <c r="H26" s="58"/>
      <c r="I26" s="58"/>
      <c r="J26" s="58"/>
      <c r="K26" s="14"/>
      <c r="L26" s="13"/>
      <c r="M26" s="14"/>
      <c r="N26" s="14"/>
    </row>
    <row r="27" spans="1:16" x14ac:dyDescent="0.25">
      <c r="B27" s="21"/>
      <c r="C27" s="21"/>
      <c r="D27" s="58"/>
      <c r="E27" s="58"/>
      <c r="F27" s="14"/>
      <c r="G27" s="15"/>
      <c r="H27" s="58"/>
      <c r="I27" s="58"/>
      <c r="J27" s="58"/>
      <c r="K27" s="14"/>
      <c r="L27" s="13"/>
      <c r="M27" s="14"/>
      <c r="N27" s="14"/>
    </row>
    <row r="28" spans="1:16" x14ac:dyDescent="0.25">
      <c r="B28" s="21"/>
      <c r="C28" s="21"/>
      <c r="D28" s="58"/>
      <c r="E28" s="58"/>
      <c r="F28" s="14"/>
      <c r="G28" s="15"/>
      <c r="H28" s="58"/>
      <c r="I28" s="58"/>
      <c r="J28" s="58"/>
      <c r="K28" s="14"/>
      <c r="L28" s="15"/>
      <c r="M28" s="14"/>
      <c r="N28" s="14"/>
    </row>
    <row r="29" spans="1:16" x14ac:dyDescent="0.25">
      <c r="B29" s="21"/>
      <c r="C29" s="21"/>
      <c r="D29" s="58"/>
      <c r="E29" s="58"/>
      <c r="F29" s="14"/>
      <c r="G29" s="15"/>
      <c r="H29" s="58"/>
      <c r="I29" s="58"/>
      <c r="J29" s="58"/>
      <c r="K29" s="14"/>
      <c r="L29" s="13"/>
      <c r="M29" s="14"/>
      <c r="N29" s="14"/>
    </row>
    <row r="30" spans="1:16" x14ac:dyDescent="0.25">
      <c r="B30" s="21"/>
      <c r="C30" s="21"/>
      <c r="D30" s="58"/>
      <c r="E30" s="58"/>
      <c r="F30" s="14"/>
      <c r="G30" s="15"/>
      <c r="H30" s="58"/>
      <c r="I30" s="58"/>
      <c r="J30" s="58"/>
      <c r="K30" s="14"/>
      <c r="L30" s="13"/>
      <c r="M30" s="14"/>
      <c r="N30" s="14"/>
    </row>
    <row r="31" spans="1:16" x14ac:dyDescent="0.25">
      <c r="B31" s="21"/>
      <c r="C31" s="21"/>
      <c r="D31" s="58"/>
      <c r="E31" s="58"/>
      <c r="F31" s="14"/>
      <c r="G31" s="15"/>
      <c r="H31" s="58"/>
      <c r="I31" s="58"/>
      <c r="J31" s="58"/>
      <c r="K31" s="14"/>
      <c r="L31" s="15"/>
      <c r="M31" s="14"/>
      <c r="N31" s="14"/>
    </row>
    <row r="32" spans="1:16" x14ac:dyDescent="0.25">
      <c r="B32" s="21"/>
      <c r="C32" s="21"/>
      <c r="D32" s="58"/>
      <c r="E32" s="58"/>
      <c r="F32" s="14"/>
      <c r="G32" s="15"/>
      <c r="H32" s="58"/>
      <c r="I32" s="58"/>
      <c r="J32" s="58"/>
      <c r="K32" s="14"/>
      <c r="L32" s="13"/>
      <c r="M32" s="14"/>
      <c r="N32" s="14"/>
    </row>
    <row r="33" spans="1:14" x14ac:dyDescent="0.25">
      <c r="B33" s="21"/>
      <c r="C33" s="21"/>
      <c r="D33" s="58"/>
      <c r="E33" s="58"/>
      <c r="F33" s="14"/>
      <c r="G33" s="15"/>
      <c r="H33" s="58"/>
      <c r="I33" s="58"/>
      <c r="J33" s="58"/>
      <c r="K33" s="14"/>
      <c r="L33" s="13"/>
      <c r="M33" s="14"/>
      <c r="N33" s="14"/>
    </row>
    <row r="36" spans="1:14" x14ac:dyDescent="0.25">
      <c r="A36" s="1"/>
      <c r="B36" s="1"/>
    </row>
  </sheetData>
  <mergeCells count="14">
    <mergeCell ref="A1:B1"/>
    <mergeCell ref="A10:B10"/>
    <mergeCell ref="A11:B11"/>
    <mergeCell ref="A6:B6"/>
    <mergeCell ref="C6:O6"/>
    <mergeCell ref="A7:B7"/>
    <mergeCell ref="A8:B8"/>
    <mergeCell ref="A9:B9"/>
    <mergeCell ref="C9:O9"/>
    <mergeCell ref="A5:B5"/>
    <mergeCell ref="A2:B2"/>
    <mergeCell ref="A3:B3"/>
    <mergeCell ref="C3:O3"/>
    <mergeCell ref="A4:B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R18"/>
  <sheetViews>
    <sheetView zoomScaleNormal="100" workbookViewId="0">
      <selection activeCell="G3" sqref="G3"/>
    </sheetView>
  </sheetViews>
  <sheetFormatPr defaultRowHeight="15" x14ac:dyDescent="0.25"/>
  <cols>
    <col min="2" max="2" width="9.140625" style="78"/>
  </cols>
  <sheetData>
    <row r="1" spans="1:18" ht="15.75" thickBot="1" x14ac:dyDescent="0.3">
      <c r="C1" s="174" t="s">
        <v>13</v>
      </c>
      <c r="D1" s="172"/>
      <c r="E1" s="172" t="s">
        <v>12</v>
      </c>
      <c r="F1" s="172"/>
      <c r="G1" s="172" t="s">
        <v>11</v>
      </c>
      <c r="H1" s="172"/>
      <c r="I1" s="172" t="s">
        <v>10</v>
      </c>
      <c r="J1" s="172"/>
      <c r="K1" s="172" t="s">
        <v>9</v>
      </c>
      <c r="L1" s="172"/>
      <c r="M1" s="172" t="s">
        <v>8</v>
      </c>
      <c r="N1" s="172"/>
      <c r="O1" s="172" t="s">
        <v>7</v>
      </c>
      <c r="P1" s="173"/>
    </row>
    <row r="2" spans="1:18" ht="15.75" thickBot="1" x14ac:dyDescent="0.3">
      <c r="B2" s="80" t="s">
        <v>53</v>
      </c>
      <c r="C2" s="82" t="s">
        <v>26</v>
      </c>
      <c r="D2" s="79" t="s">
        <v>24</v>
      </c>
      <c r="E2" s="79" t="s">
        <v>26</v>
      </c>
      <c r="F2" s="79" t="s">
        <v>24</v>
      </c>
      <c r="G2" s="79" t="s">
        <v>26</v>
      </c>
      <c r="H2" s="79" t="s">
        <v>24</v>
      </c>
      <c r="I2" s="79" t="s">
        <v>26</v>
      </c>
      <c r="J2" s="79" t="s">
        <v>24</v>
      </c>
      <c r="K2" s="79" t="s">
        <v>26</v>
      </c>
      <c r="L2" s="79" t="s">
        <v>24</v>
      </c>
      <c r="M2" s="79" t="s">
        <v>26</v>
      </c>
      <c r="N2" s="79" t="s">
        <v>24</v>
      </c>
      <c r="O2" s="79" t="s">
        <v>26</v>
      </c>
      <c r="P2" s="85" t="s">
        <v>24</v>
      </c>
      <c r="Q2" s="57"/>
      <c r="R2" s="57"/>
    </row>
    <row r="3" spans="1:18" ht="15.75" thickBot="1" x14ac:dyDescent="0.3">
      <c r="A3" t="s">
        <v>42</v>
      </c>
      <c r="B3" s="98">
        <v>2</v>
      </c>
      <c r="C3" s="86">
        <f>RTD("tickerplantrtdserver",,"FWRC1#USDINR#Month End Rates#0#BidPrice0")</f>
        <v>81.8</v>
      </c>
      <c r="D3" s="87">
        <f>RTD("tickerplantrtdserver",,"FWRC1#USDINR#Month End Rates#0#AskPrice0")</f>
        <v>81.805000000000007</v>
      </c>
      <c r="E3" s="87">
        <f>RTD("tickerplantrtdserver",,"FWRC1#EURINR#Month Wise Rates#0#BidPrice0")</f>
        <v>90.317499999999995</v>
      </c>
      <c r="F3" s="87">
        <f t="array" ref="F3">RTD("tickerplantrtdserver",,"FWRC1#EURINR#Month Wise Rates#0#AskPrice0")</f>
        <v>90.325000000000003</v>
      </c>
      <c r="G3" s="87">
        <f t="array" ref="G3">RTD("tickerplantrtdserver",,"FWRC1#GBPINR#Month Wise Rates#0#BidPrice0")</f>
        <v>103.47</v>
      </c>
      <c r="H3" s="87">
        <f t="array" ref="H3">RTD("tickerplantrtdserver",,"FWRC1#GBPINR#Month Wise Rates#0#AskPrice0")</f>
        <v>103.4875</v>
      </c>
      <c r="I3" s="88">
        <f t="array" ref="I3">RTD("tickerplantrtdserver",,"FWRC1#JPYINR#Month Wise Rates#0#BidPrice0")</f>
        <v>60.602499999999999</v>
      </c>
      <c r="J3" s="88">
        <f t="array" ref="J3">RTD("tickerplantrtdserver",,"FWRC1#JPYINR#Month Wise Rates#0#AskPrice0")</f>
        <v>60.61</v>
      </c>
      <c r="K3" s="88">
        <f t="array" ref="K3">RTD("tickerplantrtdserver",,"FWRC1#EURUSD#Month Wise Rates#0#BidPrice0")</f>
        <v>1.10463</v>
      </c>
      <c r="L3" s="88">
        <f t="array" ref="L3">RTD("tickerplantrtdserver",,"FWRC1#EURUSD#Month Wise Rates#0#AskPrice0")</f>
        <v>1.10466</v>
      </c>
      <c r="M3" s="88">
        <f t="array" ref="M3">RTD("tickerplantrtdserver",,"FWRC1#GBPUSD#Month Wise Rates#0#BidPrice0")</f>
        <v>1.26586</v>
      </c>
      <c r="N3" s="88">
        <f t="array" ref="N3">RTD("tickerplantrtdserver",,"FWRC1#GBPUSD#Month Wise Rates#0#AskPrice0")</f>
        <v>1.2659100000000001</v>
      </c>
      <c r="O3" s="89">
        <f t="array" ref="O3">RTD("tickerplantrtdserver",,"FWRC1#USDJPY#Month Wise Rates#0#BidPrice0")</f>
        <v>134.989</v>
      </c>
      <c r="P3" s="90">
        <f t="array" ref="P3">RTD("tickerplantrtdserver",,"FWRC1#USDJPY#Month Wise Rates#0#AskPrice0")</f>
        <v>134.99199999999999</v>
      </c>
    </row>
    <row r="4" spans="1:18" ht="15" customHeight="1" x14ac:dyDescent="0.25">
      <c r="A4" s="101" t="s">
        <v>36</v>
      </c>
      <c r="B4" s="99">
        <v>33</v>
      </c>
      <c r="C4" s="91">
        <f t="array" ref="C4">RTD("tickerplantrtdserver",,"FWRC1#USDINR#Month Wise Rates#0#BidPrice7")</f>
        <v>11</v>
      </c>
      <c r="D4" s="83">
        <f t="array" ref="D4">RTD("tickerplantrtdserver",,"FWRC1#USDINR#Month Wise Rates#0#AskPrice7")</f>
        <v>13</v>
      </c>
      <c r="E4" s="81">
        <f>RTD("tickerplantrtdserver",,"FWRC1#EURINR#Month Wise Rates#0#BidPrice7")</f>
        <v>28.9451</v>
      </c>
      <c r="F4" s="81">
        <f>RTD("tickerplantrtdserver",,"FWRC1#EURINR#Month Wise Rates#0#AskPrice7")</f>
        <v>31.322600000000001</v>
      </c>
      <c r="G4" s="81">
        <f>RTD("tickerplantrtdserver",,"FWRC1#GBPINR#Month Wise Rates#0#BidPrice7")/100</f>
        <v>21.524549</v>
      </c>
      <c r="H4" s="81">
        <f>RTD("tickerplantrtdserver",,"FWRC1#GBPINR#Month Wise Rates#0#AskPrice7")/100</f>
        <v>24.607935999999999</v>
      </c>
      <c r="I4" s="84">
        <f>RTD("tickerplantrtdserver",,"FWRC1#JPYINR#Month Wise Rates#0#BidPrice7")/100</f>
        <v>38.135313000000004</v>
      </c>
      <c r="J4" s="84">
        <f>RTD("tickerplantrtdserver",,"FWRC1#JPYINR#Month Wise Rates#0#AskPrice7")/100</f>
        <v>39.856912999999999</v>
      </c>
      <c r="K4" s="84">
        <f t="array" ref="K4">RTD("tickerplantrtdserver",,"FWRC1#EURUSD#Month Wise Rates#0#BidPrice7")</f>
        <v>20.59</v>
      </c>
      <c r="L4" s="84">
        <f t="array" ref="L4">RTD("tickerplantrtdserver",,"FWRC1#EURUSD#Month Wise Rates#0#AskPrice7")</f>
        <v>20.79</v>
      </c>
      <c r="M4" s="84">
        <f t="array" ref="M4">RTD("tickerplantrtdserver",,"FWRC1#GBPUSD#Month Wise Rates#0#BidPrice7")</f>
        <v>9.56</v>
      </c>
      <c r="N4" s="84">
        <f t="array" ref="N4">RTD("tickerplantrtdserver",,"FWRC1#GBPUSD#Month Wise Rates#0#AskPrice7")</f>
        <v>9.66</v>
      </c>
      <c r="O4" s="84">
        <f t="array" ref="O4">RTD("tickerplantrtdserver",,"FWRC1#USDJPY#Month Wise Rates#0#BidPrice7")</f>
        <v>-66.930000000000007</v>
      </c>
      <c r="P4" s="92">
        <f t="array" ref="P4">RTD("tickerplantrtdserver",,"FWRC1#USDJPY#Month Wise Rates#0#AskPrice7")</f>
        <v>-66.430000000000007</v>
      </c>
    </row>
    <row r="5" spans="1:18" x14ac:dyDescent="0.25">
      <c r="A5" s="102" t="s">
        <v>37</v>
      </c>
      <c r="B5" s="99">
        <v>61</v>
      </c>
      <c r="C5" s="93">
        <f t="array" ref="C5">RTD("tickerplantrtdserver",,"FWRC1#USDINR#Month Wise Rates#0#BidPrice8")</f>
        <v>21.8629</v>
      </c>
      <c r="D5" s="81">
        <f t="array" ref="D5">RTD("tickerplantrtdserver",,"FWRC1#USDINR#Month Wise Rates#0#AskPrice8")</f>
        <v>23.8629</v>
      </c>
      <c r="E5" s="81">
        <f t="array" ref="E5">RTD("tickerplantrtdserver",,"FWRC1#EURINR#Month Wise Rates#0#BidPrice8")</f>
        <v>55.462200000000003</v>
      </c>
      <c r="F5" s="81">
        <f t="array" ref="F5">RTD("tickerplantrtdserver",,"FWRC1#EURINR#Month Wise Rates#0#AskPrice8")</f>
        <v>58.115299999999998</v>
      </c>
      <c r="G5" s="81">
        <f>RTD("tickerplantrtdserver",,"FWRC1#GBPINR#Month Wise Rates#0#BidPrice8")/100</f>
        <v>40.862004999999996</v>
      </c>
      <c r="H5" s="81">
        <f>RTD("tickerplantrtdserver",,"FWRC1#GBPINR#Month Wise Rates#0#AskPrice8")/100</f>
        <v>44.217938000000004</v>
      </c>
      <c r="I5" s="84">
        <f>RTD("tickerplantrtdserver",,"FWRC1#JPYINR#Month Wise Rates#0#BidPrice8")/100</f>
        <v>72.719791000000001</v>
      </c>
      <c r="J5" s="84">
        <f>RTD("tickerplantrtdserver",,"FWRC1#JPYINR#Month Wise Rates#0#AskPrice8")/100</f>
        <v>74.546700000000001</v>
      </c>
      <c r="K5" s="84">
        <f t="array" ref="K5">RTD("tickerplantrtdserver",,"FWRC1#EURUSD#Month Wise Rates#0#BidPrice8")</f>
        <v>38.386000000000003</v>
      </c>
      <c r="L5" s="84">
        <f t="array" ref="L5">RTD("tickerplantrtdserver",,"FWRC1#EURUSD#Month Wise Rates#0#AskPrice8")</f>
        <v>38.433999999999997</v>
      </c>
      <c r="M5" s="84">
        <f t="array" ref="M5">RTD("tickerplantrtdserver",,"FWRC1#GBPUSD#Month Wise Rates#0#BidPrice8")</f>
        <v>16.3</v>
      </c>
      <c r="N5" s="84">
        <f t="array" ref="N5">RTD("tickerplantrtdserver",,"FWRC1#GBPUSD#Month Wise Rates#0#AskPrice8")</f>
        <v>17.100000000000001</v>
      </c>
      <c r="O5" s="84">
        <f t="array" ref="O5">RTD("tickerplantrtdserver",,"FWRC1#USDJPY#Month Wise Rates#0#BidPrice8")</f>
        <v>-125.02</v>
      </c>
      <c r="P5" s="92">
        <f t="array" ref="P5">RTD("tickerplantrtdserver",,"FWRC1#USDJPY#Month Wise Rates#0#AskPrice8")</f>
        <v>-124.32</v>
      </c>
    </row>
    <row r="6" spans="1:18" x14ac:dyDescent="0.25">
      <c r="A6" s="102" t="s">
        <v>35</v>
      </c>
      <c r="B6" s="99">
        <v>92</v>
      </c>
      <c r="C6" s="93">
        <f t="array" ref="C6">RTD("tickerplantrtdserver",,"FWRC1#USDINR#Month Wise Rates#0#BidPrice9")</f>
        <v>34.6935</v>
      </c>
      <c r="D6" s="81">
        <f t="array" ref="D6">RTD("tickerplantrtdserver",,"FWRC1#USDINR#Month Wise Rates#0#AskPrice9")</f>
        <v>36.6935</v>
      </c>
      <c r="E6" s="81">
        <f t="array" ref="E6">RTD("tickerplantrtdserver",,"FWRC1#EURINR#Month Wise Rates#0#BidPrice9")</f>
        <v>83.979500000000002</v>
      </c>
      <c r="F6" s="81">
        <f t="array" ref="F6">RTD("tickerplantrtdserver",,"FWRC1#EURINR#Month Wise Rates#0#AskPrice9")</f>
        <v>86.851500000000001</v>
      </c>
      <c r="G6" s="81">
        <f>RTD("tickerplantrtdserver",,"FWRC1#GBPINR#Month Wise Rates#0#BidPrice9")/100</f>
        <v>62.309018999999999</v>
      </c>
      <c r="H6" s="81">
        <f>RTD("tickerplantrtdserver",,"FWRC1#GBPINR#Month Wise Rates#0#AskPrice9")/100</f>
        <v>65.203982999999994</v>
      </c>
      <c r="I6" s="84">
        <f>RTD("tickerplantrtdserver",,"FWRC1#JPYINR#Month Wise Rates#0#BidPrice9")/100</f>
        <v>111.178372</v>
      </c>
      <c r="J6" s="84">
        <f>RTD("tickerplantrtdserver",,"FWRC1#JPYINR#Month Wise Rates#0#AskPrice9")/100</f>
        <v>112.81239600000001</v>
      </c>
      <c r="K6" s="84">
        <f t="array" ref="K6">RTD("tickerplantrtdserver",,"FWRC1#EURUSD#Month Wise Rates#0#BidPrice9")</f>
        <v>55.87</v>
      </c>
      <c r="L6" s="84">
        <f t="array" ref="L6">RTD("tickerplantrtdserver",,"FWRC1#EURUSD#Month Wise Rates#0#AskPrice9")</f>
        <v>56.12</v>
      </c>
      <c r="M6" s="84">
        <f t="array" ref="M6">RTD("tickerplantrtdserver",,"FWRC1#GBPUSD#Month Wise Rates#0#BidPrice9")</f>
        <v>21.85</v>
      </c>
      <c r="N6" s="84">
        <f t="array" ref="N6">RTD("tickerplantrtdserver",,"FWRC1#GBPUSD#Month Wise Rates#0#AskPrice9")</f>
        <v>23.05</v>
      </c>
      <c r="O6" s="84">
        <f t="array" ref="O6">RTD("tickerplantrtdserver",,"FWRC1#USDJPY#Month Wise Rates#0#BidPrice9")</f>
        <v>-187.11</v>
      </c>
      <c r="P6" s="92">
        <f t="array" ref="P6">RTD("tickerplantrtdserver",,"FWRC1#USDJPY#Month Wise Rates#0#AskPrice9")</f>
        <v>-186.66</v>
      </c>
    </row>
    <row r="7" spans="1:18" x14ac:dyDescent="0.25">
      <c r="A7" s="102" t="s">
        <v>38</v>
      </c>
      <c r="B7" s="99">
        <v>125</v>
      </c>
      <c r="C7" s="93">
        <f t="array" ref="C7">RTD("tickerplantrtdserver",,"FWRC1#USDINR#Month Wise Rates#0#BidPrice10")</f>
        <v>48.241399999999999</v>
      </c>
      <c r="D7" s="81">
        <f t="array" ref="D7">RTD("tickerplantrtdserver",,"FWRC1#USDINR#Month Wise Rates#0#AskPrice10")</f>
        <v>50.241399999999999</v>
      </c>
      <c r="E7" s="81">
        <f t="array" ref="E7">RTD("tickerplantrtdserver",,"FWRC1#EURINR#Month Wise Rates#0#BidPrice10")</f>
        <v>112.6228</v>
      </c>
      <c r="F7" s="81">
        <f t="array" ref="F7">RTD("tickerplantrtdserver",,"FWRC1#EURINR#Month Wise Rates#0#AskPrice10")</f>
        <v>115.6567</v>
      </c>
      <c r="G7" s="81">
        <f>RTD("tickerplantrtdserver",,"FWRC1#GBPINR#Month Wise Rates#0#BidPrice10")/100</f>
        <v>82.646294999999995</v>
      </c>
      <c r="H7" s="81">
        <f>RTD("tickerplantrtdserver",,"FWRC1#GBPINR#Month Wise Rates#0#AskPrice10")/100</f>
        <v>85.870418000000015</v>
      </c>
      <c r="I7" s="84">
        <f>RTD("tickerplantrtdserver",,"FWRC1#JPYINR#Month Wise Rates#0#BidPrice10")/100</f>
        <v>150.54621699999998</v>
      </c>
      <c r="J7" s="84">
        <f>RTD("tickerplantrtdserver",,"FWRC1#JPYINR#Month Wise Rates#0#AskPrice10")/100</f>
        <v>152.78032199999998</v>
      </c>
      <c r="K7" s="84">
        <f t="array" ref="K7">RTD("tickerplantrtdserver",,"FWRC1#EURUSD#Month Wise Rates#0#BidPrice10")</f>
        <v>72.27</v>
      </c>
      <c r="L7" s="84">
        <f t="array" ref="L7">RTD("tickerplantrtdserver",,"FWRC1#EURUSD#Month Wise Rates#0#AskPrice10")</f>
        <v>73.25</v>
      </c>
      <c r="M7" s="84">
        <f t="array" ref="M7">RTD("tickerplantrtdserver",,"FWRC1#GBPUSD#Month Wise Rates#0#BidPrice10")</f>
        <v>25.91</v>
      </c>
      <c r="N7" s="84">
        <f t="array" ref="N7">RTD("tickerplantrtdserver",,"FWRC1#GBPUSD#Month Wise Rates#0#AskPrice10")</f>
        <v>27.35</v>
      </c>
      <c r="O7" s="84">
        <f t="array" ref="O7">RTD("tickerplantrtdserver",,"FWRC1#USDJPY#Month Wise Rates#0#BidPrice10")</f>
        <v>-250.9</v>
      </c>
      <c r="P7" s="92">
        <f t="array" ref="P7">RTD("tickerplantrtdserver",,"FWRC1#USDJPY#Month Wise Rates#0#AskPrice10")</f>
        <v>-249.4</v>
      </c>
    </row>
    <row r="8" spans="1:18" x14ac:dyDescent="0.25">
      <c r="A8" s="102" t="s">
        <v>39</v>
      </c>
      <c r="B8" s="99">
        <v>153</v>
      </c>
      <c r="C8" s="93">
        <f t="array" ref="C8">RTD("tickerplantrtdserver",,"FWRC1#USDINR#Month Wise Rates#0#BidPrice11")</f>
        <v>60.984400000000001</v>
      </c>
      <c r="D8" s="81">
        <f t="array" ref="D8">RTD("tickerplantrtdserver",,"FWRC1#USDINR#Month Wise Rates#0#AskPrice11")</f>
        <v>62.984400000000001</v>
      </c>
      <c r="E8" s="81">
        <f t="array" ref="E8">RTD("tickerplantrtdserver",,"FWRC1#EURINR#Month Wise Rates#0#BidPrice11")</f>
        <v>138.94</v>
      </c>
      <c r="F8" s="81">
        <f t="array" ref="F8">RTD("tickerplantrtdserver",,"FWRC1#EURINR#Month Wise Rates#0#AskPrice11")</f>
        <v>142.1687</v>
      </c>
      <c r="G8" s="81">
        <f>RTD("tickerplantrtdserver",,"FWRC1#GBPINR#Month Wise Rates#0#BidPrice11")/100</f>
        <v>100.62841200000001</v>
      </c>
      <c r="H8" s="81">
        <f>RTD("tickerplantrtdserver",,"FWRC1#GBPINR#Month Wise Rates#0#AskPrice11")/100</f>
        <v>104.15206099999999</v>
      </c>
      <c r="I8" s="84">
        <f>RTD("tickerplantrtdserver",,"FWRC1#JPYINR#Month Wise Rates#0#BidPrice11")/100</f>
        <v>187.365005</v>
      </c>
      <c r="J8" s="84">
        <f>RTD("tickerplantrtdserver",,"FWRC1#JPYINR#Month Wise Rates#0#AskPrice11")/100</f>
        <v>189.61801700000001</v>
      </c>
      <c r="K8" s="84">
        <f t="array" ref="K8">RTD("tickerplantrtdserver",,"FWRC1#EURUSD#Month Wise Rates#0#BidPrice11")</f>
        <v>87.09</v>
      </c>
      <c r="L8" s="84">
        <f t="array" ref="L8">RTD("tickerplantrtdserver",,"FWRC1#EURUSD#Month Wise Rates#0#AskPrice11")</f>
        <v>88.3</v>
      </c>
      <c r="M8" s="84">
        <f t="array" ref="M8">RTD("tickerplantrtdserver",,"FWRC1#GBPUSD#Month Wise Rates#0#BidPrice11")</f>
        <v>28.24</v>
      </c>
      <c r="N8" s="84">
        <f t="array" ref="N8">RTD("tickerplantrtdserver",,"FWRC1#GBPUSD#Month Wise Rates#0#AskPrice11")</f>
        <v>30.16</v>
      </c>
      <c r="O8" s="84">
        <f t="array" ref="O8">RTD("tickerplantrtdserver",,"FWRC1#USDJPY#Month Wise Rates#0#BidPrice11")</f>
        <v>-308.85000000000002</v>
      </c>
      <c r="P8" s="92">
        <f t="array" ref="P8">RTD("tickerplantrtdserver",,"FWRC1#USDJPY#Month Wise Rates#0#AskPrice11")</f>
        <v>-307.35000000000002</v>
      </c>
    </row>
    <row r="9" spans="1:18" x14ac:dyDescent="0.25">
      <c r="A9" s="102" t="s">
        <v>34</v>
      </c>
      <c r="B9" s="99">
        <v>184</v>
      </c>
      <c r="C9" s="93">
        <f t="array" ref="C9">RTD("tickerplantrtdserver",,"FWRC1#USDINR#Month Wise Rates#0#BidPrice12")</f>
        <v>76.783299999999997</v>
      </c>
      <c r="D9" s="81">
        <f t="array" ref="D9">RTD("tickerplantrtdserver",,"FWRC1#USDINR#Month Wise Rates#0#AskPrice12")</f>
        <v>78.783299999999997</v>
      </c>
      <c r="E9" s="81">
        <f t="array" ref="E9">RTD("tickerplantrtdserver",,"FWRC1#EURINR#Month Wise Rates#0#BidPrice12")</f>
        <v>167.73390000000001</v>
      </c>
      <c r="F9" s="81">
        <f t="array" ref="F9">RTD("tickerplantrtdserver",,"FWRC1#EURINR#Month Wise Rates#0#AskPrice12")</f>
        <v>170.62960000000001</v>
      </c>
      <c r="G9" s="81">
        <f>RTD("tickerplantrtdserver",,"FWRC1#GBPINR#Month Wise Rates#0#BidPrice12")/100</f>
        <v>120.979347</v>
      </c>
      <c r="H9" s="81">
        <f>RTD("tickerplantrtdserver",,"FWRC1#GBPINR#Month Wise Rates#0#AskPrice12")/100</f>
        <v>124.77382299999999</v>
      </c>
      <c r="I9" s="84">
        <f>RTD("tickerplantrtdserver",,"FWRC1#JPYINR#Month Wise Rates#0#BidPrice12")/100</f>
        <v>227.30805599999999</v>
      </c>
      <c r="J9" s="84">
        <f>RTD("tickerplantrtdserver",,"FWRC1#JPYINR#Month Wise Rates#0#AskPrice12")/100</f>
        <v>229.58088899999998</v>
      </c>
      <c r="K9" s="84">
        <f t="array" ref="K9">RTD("tickerplantrtdserver",,"FWRC1#EURUSD#Month Wise Rates#0#BidPrice12")</f>
        <v>100.59</v>
      </c>
      <c r="L9" s="84">
        <f t="array" ref="L9">RTD("tickerplantrtdserver",,"FWRC1#EURUSD#Month Wise Rates#0#AskPrice12")</f>
        <v>101.39</v>
      </c>
      <c r="M9" s="84">
        <f t="array" ref="M9">RTD("tickerplantrtdserver",,"FWRC1#GBPUSD#Month Wise Rates#0#BidPrice12")</f>
        <v>29.25</v>
      </c>
      <c r="N9" s="84">
        <f t="array" ref="N9">RTD("tickerplantrtdserver",,"FWRC1#GBPUSD#Month Wise Rates#0#AskPrice12")</f>
        <v>30.64</v>
      </c>
      <c r="O9" s="84">
        <f t="array" ref="O9">RTD("tickerplantrtdserver",,"FWRC1#USDJPY#Month Wise Rates#0#BidPrice12")</f>
        <v>-367.7</v>
      </c>
      <c r="P9" s="92">
        <f t="array" ref="P9">RTD("tickerplantrtdserver",,"FWRC1#USDJPY#Month Wise Rates#0#AskPrice12")</f>
        <v>-366.2</v>
      </c>
    </row>
    <row r="10" spans="1:18" x14ac:dyDescent="0.25">
      <c r="A10" s="102" t="s">
        <v>43</v>
      </c>
      <c r="B10" s="99">
        <v>215</v>
      </c>
      <c r="C10" s="93">
        <f t="array" ref="C10">RTD("tickerplantrtdserver",,"FWRC1#USDINR#Month Wise Rates#0#BidPrice13")</f>
        <v>90.310299999999998</v>
      </c>
      <c r="D10" s="81">
        <f t="array" ref="D10">RTD("tickerplantrtdserver",,"FWRC1#USDINR#Month Wise Rates#0#AskPrice13")</f>
        <v>92.310299999999998</v>
      </c>
      <c r="E10" s="81">
        <f t="array" ref="E10">RTD("tickerplantrtdserver",,"FWRC1#EURINR#Month Wise Rates#0#BidPrice13")</f>
        <v>191.35669999999999</v>
      </c>
      <c r="F10" s="81">
        <f t="array" ref="F10">RTD("tickerplantrtdserver",,"FWRC1#EURINR#Month Wise Rates#0#AskPrice13")</f>
        <v>196.49</v>
      </c>
      <c r="G10" s="81">
        <f>RTD("tickerplantrtdserver",,"FWRC1#GBPINR#Month Wise Rates#0#BidPrice13")/100</f>
        <v>136.41537399999999</v>
      </c>
      <c r="H10" s="81">
        <f>RTD("tickerplantrtdserver",,"FWRC1#GBPINR#Month Wise Rates#0#AskPrice13")/100</f>
        <v>141.50365199999999</v>
      </c>
      <c r="I10" s="84">
        <f>RTD("tickerplantrtdserver",,"FWRC1#JPYINR#Month Wise Rates#0#BidPrice13")/100</f>
        <v>265.10251799999998</v>
      </c>
      <c r="J10" s="84">
        <f>RTD("tickerplantrtdserver",,"FWRC1#JPYINR#Month Wise Rates#0#AskPrice13")/100</f>
        <v>267.63667499999997</v>
      </c>
      <c r="K10" s="84">
        <f t="array" ref="K10">RTD("tickerplantrtdserver",,"FWRC1#EURUSD#Month Wise Rates#0#BidPrice13")</f>
        <v>111.15</v>
      </c>
      <c r="L10" s="84">
        <f t="array" ref="L10">RTD("tickerplantrtdserver",,"FWRC1#EURUSD#Month Wise Rates#0#AskPrice13")</f>
        <v>114.65</v>
      </c>
      <c r="M10" s="84">
        <f t="array" ref="M10">RTD("tickerplantrtdserver",,"FWRC1#GBPUSD#Month Wise Rates#0#BidPrice13")</f>
        <v>27.57</v>
      </c>
      <c r="N10" s="84">
        <f t="array" ref="N10">RTD("tickerplantrtdserver",,"FWRC1#GBPUSD#Month Wise Rates#0#AskPrice13")</f>
        <v>29.62</v>
      </c>
      <c r="O10" s="84">
        <f t="array" ref="O10">RTD("tickerplantrtdserver",,"FWRC1#USDJPY#Month Wise Rates#0#BidPrice13")</f>
        <v>-425.17</v>
      </c>
      <c r="P10" s="92">
        <f t="array" ref="P10">RTD("tickerplantrtdserver",,"FWRC1#USDJPY#Month Wise Rates#0#AskPrice13")</f>
        <v>-423.02</v>
      </c>
    </row>
    <row r="11" spans="1:18" x14ac:dyDescent="0.25">
      <c r="A11" s="102" t="s">
        <v>44</v>
      </c>
      <c r="B11" s="99">
        <v>245</v>
      </c>
      <c r="C11" s="93">
        <f t="array" ref="C11">RTD("tickerplantrtdserver",,"FWRC1#USDINR#Month Wise Rates#0#BidPrice14")</f>
        <v>105.36360000000001</v>
      </c>
      <c r="D11" s="81">
        <f t="array" ref="D11">RTD("tickerplantrtdserver",,"FWRC1#USDINR#Month Wise Rates#0#AskPrice14")</f>
        <v>107.36360000000001</v>
      </c>
      <c r="E11" s="81">
        <f t="array" ref="E11">RTD("tickerplantrtdserver",,"FWRC1#EURINR#Month Wise Rates#0#BidPrice14")</f>
        <v>223.9444</v>
      </c>
      <c r="F11" s="81">
        <f t="array" ref="F11">RTD("tickerplantrtdserver",,"FWRC1#EURINR#Month Wise Rates#0#AskPrice14")</f>
        <v>228.01050000000001</v>
      </c>
      <c r="G11" s="81">
        <f>RTD("tickerplantrtdserver",,"FWRC1#GBPINR#Month Wise Rates#0#BidPrice14")/100</f>
        <v>158.317001</v>
      </c>
      <c r="H11" s="81">
        <f>RTD("tickerplantrtdserver",,"FWRC1#GBPINR#Month Wise Rates#0#AskPrice14")/100</f>
        <v>162.480232</v>
      </c>
      <c r="I11" s="84">
        <f>RTD("tickerplantrtdserver",,"FWRC1#JPYINR#Month Wise Rates#0#BidPrice14")/100</f>
        <v>309.39169800000002</v>
      </c>
      <c r="J11" s="84">
        <f>RTD("tickerplantrtdserver",,"FWRC1#JPYINR#Month Wise Rates#0#AskPrice14")/100</f>
        <v>311.95170300000001</v>
      </c>
      <c r="K11" s="84">
        <f t="array" ref="K11">RTD("tickerplantrtdserver",,"FWRC1#EURUSD#Month Wise Rates#0#BidPrice14")</f>
        <v>130.15</v>
      </c>
      <c r="L11" s="84">
        <f t="array" ref="L11">RTD("tickerplantrtdserver",,"FWRC1#EURUSD#Month Wise Rates#0#AskPrice14")</f>
        <v>132.35</v>
      </c>
      <c r="M11" s="84">
        <f t="array" ref="M11">RTD("tickerplantrtdserver",,"FWRC1#GBPUSD#Month Wise Rates#0#BidPrice14")</f>
        <v>30.67</v>
      </c>
      <c r="N11" s="84">
        <f t="array" ref="N11">RTD("tickerplantrtdserver",,"FWRC1#GBPUSD#Month Wise Rates#0#AskPrice14")</f>
        <v>32.520000000000003</v>
      </c>
      <c r="O11" s="84">
        <f t="array" ref="O11">RTD("tickerplantrtdserver",,"FWRC1#USDJPY#Month Wise Rates#0#BidPrice14")</f>
        <v>-491.5</v>
      </c>
      <c r="P11" s="92">
        <f t="array" ref="P11">RTD("tickerplantrtdserver",,"FWRC1#USDJPY#Month Wise Rates#0#AskPrice14")</f>
        <v>-489.5</v>
      </c>
    </row>
    <row r="12" spans="1:18" x14ac:dyDescent="0.25">
      <c r="A12" s="102" t="s">
        <v>40</v>
      </c>
      <c r="B12" s="99">
        <v>278</v>
      </c>
      <c r="C12" s="93">
        <f t="array" ref="C12">RTD("tickerplantrtdserver",,"FWRC1#USDINR#Month Wise Rates#0#BidPrice15")</f>
        <v>123.0172</v>
      </c>
      <c r="D12" s="81">
        <f t="array" ref="D12">RTD("tickerplantrtdserver",,"FWRC1#USDINR#Month Wise Rates#0#AskPrice15")</f>
        <v>125.0172</v>
      </c>
      <c r="E12" s="81">
        <f t="array" ref="E12">RTD("tickerplantrtdserver",,"FWRC1#EURINR#Month Wise Rates#0#BidPrice15")</f>
        <v>252.00989999999999</v>
      </c>
      <c r="F12" s="81">
        <f t="array" ref="F12">RTD("tickerplantrtdserver",,"FWRC1#EURINR#Month Wise Rates#0#AskPrice15")</f>
        <v>256.33199999999999</v>
      </c>
      <c r="G12" s="81">
        <f>RTD("tickerplantrtdserver",,"FWRC1#GBPINR#Month Wise Rates#0#BidPrice15")/100</f>
        <v>176.371532</v>
      </c>
      <c r="H12" s="81">
        <f>RTD("tickerplantrtdserver",,"FWRC1#GBPINR#Month Wise Rates#0#AskPrice15")/100</f>
        <v>180.70954300000002</v>
      </c>
      <c r="I12" s="84">
        <f>RTD("tickerplantrtdserver",,"FWRC1#JPYINR#Month Wise Rates#0#BidPrice15")/100</f>
        <v>351.82015399999995</v>
      </c>
      <c r="J12" s="84">
        <f>RTD("tickerplantrtdserver",,"FWRC1#JPYINR#Month Wise Rates#0#AskPrice15")/100</f>
        <v>354.15592499999997</v>
      </c>
      <c r="K12" s="84">
        <f t="array" ref="K12">RTD("tickerplantrtdserver",,"FWRC1#EURUSD#Month Wise Rates#0#BidPrice15")</f>
        <v>141.54</v>
      </c>
      <c r="L12" s="84">
        <f t="array" ref="L12">RTD("tickerplantrtdserver",,"FWRC1#EURUSD#Month Wise Rates#0#AskPrice15")</f>
        <v>144.04</v>
      </c>
      <c r="M12" s="84">
        <f t="array" ref="M12">RTD("tickerplantrtdserver",,"FWRC1#GBPUSD#Month Wise Rates#0#BidPrice15")</f>
        <v>22.93</v>
      </c>
      <c r="N12" s="84">
        <f t="array" ref="N12">RTD("tickerplantrtdserver",,"FWRC1#GBPUSD#Month Wise Rates#0#AskPrice15")</f>
        <v>25.08</v>
      </c>
      <c r="O12" s="84">
        <f t="array" ref="O12">RTD("tickerplantrtdserver",,"FWRC1#USDJPY#Month Wise Rates#0#BidPrice15")</f>
        <v>-550.4</v>
      </c>
      <c r="P12" s="92">
        <f t="array" ref="P12">RTD("tickerplantrtdserver",,"FWRC1#USDJPY#Month Wise Rates#0#AskPrice15")</f>
        <v>-548.9</v>
      </c>
    </row>
    <row r="13" spans="1:18" x14ac:dyDescent="0.25">
      <c r="A13" s="102" t="s">
        <v>45</v>
      </c>
      <c r="B13" s="99">
        <v>306</v>
      </c>
      <c r="C13" s="93">
        <f t="array" ref="C13">RTD("tickerplantrtdserver",,"FWRC1#USDINR#Month Wise Rates#0#BidPrice16")</f>
        <v>138.24109999999999</v>
      </c>
      <c r="D13" s="81">
        <f t="array" ref="D13">RTD("tickerplantrtdserver",,"FWRC1#USDINR#Month Wise Rates#0#AskPrice16")</f>
        <v>140.24109999999999</v>
      </c>
      <c r="E13" s="81">
        <f t="array" ref="E13">RTD("tickerplantrtdserver",,"FWRC1#EURINR#Month Wise Rates#0#BidPrice16")</f>
        <v>274.99779999999998</v>
      </c>
      <c r="F13" s="81">
        <f t="array" ref="F13">RTD("tickerplantrtdserver",,"FWRC1#EURINR#Month Wise Rates#0#AskPrice16")</f>
        <v>281.40600000000001</v>
      </c>
      <c r="G13" s="81">
        <f>RTD("tickerplantrtdserver",,"FWRC1#GBPINR#Month Wise Rates#0#BidPrice16")/100</f>
        <v>193.34171499999999</v>
      </c>
      <c r="H13" s="81">
        <f>RTD("tickerplantrtdserver",,"FWRC1#GBPINR#Month Wise Rates#0#AskPrice16")/100</f>
        <v>197.50679100000002</v>
      </c>
      <c r="I13" s="84">
        <f>RTD("tickerplantrtdserver",,"FWRC1#JPYINR#Month Wise Rates#0#BidPrice16")/100</f>
        <v>385.588303</v>
      </c>
      <c r="J13" s="84">
        <f>RTD("tickerplantrtdserver",,"FWRC1#JPYINR#Month Wise Rates#0#AskPrice16")/100</f>
        <v>387.94025999999997</v>
      </c>
      <c r="K13" s="84">
        <f t="array" ref="K13">RTD("tickerplantrtdserver",,"FWRC1#EURUSD#Month Wise Rates#0#BidPrice16")</f>
        <v>149.58000000000001</v>
      </c>
      <c r="L13" s="84">
        <f t="array" ref="L13">RTD("tickerplantrtdserver",,"FWRC1#EURUSD#Month Wise Rates#0#AskPrice16")</f>
        <v>150.86000000000001</v>
      </c>
      <c r="M13" s="84">
        <f t="array" ref="M13">RTD("tickerplantrtdserver",,"FWRC1#GBPUSD#Month Wise Rates#0#BidPrice16")</f>
        <v>23.16</v>
      </c>
      <c r="N13" s="84">
        <f t="array" ref="N13">RTD("tickerplantrtdserver",,"FWRC1#GBPUSD#Month Wise Rates#0#AskPrice16")</f>
        <v>24.83</v>
      </c>
      <c r="O13" s="84">
        <f t="array" ref="O13">RTD("tickerplantrtdserver",,"FWRC1#USDJPY#Month Wise Rates#0#BidPrice16")</f>
        <v>-593.65</v>
      </c>
      <c r="P13" s="92">
        <f t="array" ref="P13">RTD("tickerplantrtdserver",,"FWRC1#USDJPY#Month Wise Rates#0#AskPrice16")</f>
        <v>-592.15</v>
      </c>
    </row>
    <row r="14" spans="1:18" x14ac:dyDescent="0.25">
      <c r="A14" s="102" t="s">
        <v>46</v>
      </c>
      <c r="B14" s="99">
        <v>335</v>
      </c>
      <c r="C14" s="93">
        <f t="array" ref="C14">RTD("tickerplantrtdserver",,"FWRC1#USDINR#Month Wise Rates#0#BidPrice17")</f>
        <v>157.5455</v>
      </c>
      <c r="D14" s="81">
        <f t="array" ref="D14">RTD("tickerplantrtdserver",,"FWRC1#USDINR#Month Wise Rates#0#AskPrice17")</f>
        <v>159.5455</v>
      </c>
      <c r="E14" s="81">
        <f t="array" ref="E14">RTD("tickerplantrtdserver",,"FWRC1#EURINR#Month Wise Rates#0#BidPrice17")</f>
        <v>303.95760000000001</v>
      </c>
      <c r="F14" s="81">
        <f t="array" ref="F14">RTD("tickerplantrtdserver",,"FWRC1#EURINR#Month Wise Rates#0#AskPrice17")</f>
        <v>310.79489999999998</v>
      </c>
      <c r="G14" s="81">
        <f>RTD("tickerplantrtdserver",,"FWRC1#GBPINR#Month Wise Rates#0#BidPrice17")/100</f>
        <v>212.78094899999999</v>
      </c>
      <c r="H14" s="81">
        <f>RTD("tickerplantrtdserver",,"FWRC1#GBPINR#Month Wise Rates#0#AskPrice17")/100</f>
        <v>217.12238000000002</v>
      </c>
      <c r="I14" s="84">
        <f>RTD("tickerplantrtdserver",,"FWRC1#JPYINR#Month Wise Rates#0#BidPrice17")/100</f>
        <v>423.83849399999997</v>
      </c>
      <c r="J14" s="84">
        <f>RTD("tickerplantrtdserver",,"FWRC1#JPYINR#Month Wise Rates#0#AskPrice17")/100</f>
        <v>427.21742700000004</v>
      </c>
      <c r="K14" s="84">
        <f t="array" ref="K14">RTD("tickerplantrtdserver",,"FWRC1#EURUSD#Month Wise Rates#0#BidPrice17")</f>
        <v>157.32</v>
      </c>
      <c r="L14" s="84">
        <f t="array" ref="L14">RTD("tickerplantrtdserver",,"FWRC1#EURUSD#Month Wise Rates#0#AskPrice17")</f>
        <v>162.82</v>
      </c>
      <c r="M14" s="84">
        <f t="array" ref="M14">RTD("tickerplantrtdserver",,"FWRC1#GBPUSD#Month Wise Rates#0#BidPrice17")</f>
        <v>17.62</v>
      </c>
      <c r="N14" s="84">
        <f t="array" ref="N14">RTD("tickerplantrtdserver",,"FWRC1#GBPUSD#Month Wise Rates#0#AskPrice17")</f>
        <v>19.57</v>
      </c>
      <c r="O14" s="84">
        <f t="array" ref="O14">RTD("tickerplantrtdserver",,"FWRC1#USDJPY#Month Wise Rates#0#BidPrice17")</f>
        <v>-643.9</v>
      </c>
      <c r="P14" s="92">
        <f t="array" ref="P14">RTD("tickerplantrtdserver",,"FWRC1#USDJPY#Month Wise Rates#0#AskPrice17")</f>
        <v>-640.4</v>
      </c>
    </row>
    <row r="15" spans="1:18" ht="15.75" thickBot="1" x14ac:dyDescent="0.3">
      <c r="A15" s="103" t="s">
        <v>33</v>
      </c>
      <c r="B15" s="100">
        <v>365</v>
      </c>
      <c r="C15" s="94">
        <f t="array" ref="C15">RTD("tickerplantrtdserver",,"FWRC1#USDINR#Month Wise Rates#0#BidPrice18")</f>
        <v>180.72730000000001</v>
      </c>
      <c r="D15" s="95">
        <f t="array" ref="D15">RTD("tickerplantrtdserver",,"FWRC1#USDINR#Month Wise Rates#0#AskPrice18")</f>
        <v>182.72730000000001</v>
      </c>
      <c r="E15" s="95">
        <f t="array" ref="E15">RTD("tickerplantrtdserver",,"FWRC1#EURINR#Month Wise Rates#0#BidPrice18")</f>
        <v>336.93119999999999</v>
      </c>
      <c r="F15" s="95">
        <f t="array" ref="F15">RTD("tickerplantrtdserver",,"FWRC1#EURINR#Month Wise Rates#0#AskPrice18")</f>
        <v>342.11130000000003</v>
      </c>
      <c r="G15" s="95">
        <f>RTD("tickerplantrtdserver",,"FWRC1#GBPINR#Month Wise Rates#0#BidPrice18")/100</f>
        <v>237.183672</v>
      </c>
      <c r="H15" s="95">
        <f>RTD("tickerplantrtdserver",,"FWRC1#GBPINR#Month Wise Rates#0#AskPrice18")/100</f>
        <v>241.41354899999999</v>
      </c>
      <c r="I15" s="96">
        <f>RTD("tickerplantrtdserver",,"FWRC1#JPYINR#Month Wise Rates#0#BidPrice18")/100</f>
        <v>466.43064400000003</v>
      </c>
      <c r="J15" s="96">
        <f>RTD("tickerplantrtdserver",,"FWRC1#JPYINR#Month Wise Rates#0#AskPrice18")/100</f>
        <v>469.07369700000004</v>
      </c>
      <c r="K15" s="96">
        <f t="array" ref="K15">RTD("tickerplantrtdserver",,"FWRC1#EURUSD#Month Wise Rates#0#BidPrice18")</f>
        <v>163.69999999999999</v>
      </c>
      <c r="L15" s="96">
        <f t="array" ref="L15">RTD("tickerplantrtdserver",,"FWRC1#EURUSD#Month Wise Rates#0#AskPrice18")</f>
        <v>166.6</v>
      </c>
      <c r="M15" s="96">
        <f t="array" ref="M15">RTD("tickerplantrtdserver",,"FWRC1#GBPUSD#Month Wise Rates#0#BidPrice18")</f>
        <v>8.2799999999999994</v>
      </c>
      <c r="N15" s="96">
        <f t="array" ref="N15">RTD("tickerplantrtdserver",,"FWRC1#GBPUSD#Month Wise Rates#0#AskPrice18")</f>
        <v>14.87</v>
      </c>
      <c r="O15" s="96">
        <f t="array" ref="O15">RTD("tickerplantrtdserver",,"FWRC1#USDJPY#Month Wise Rates#0#BidPrice18")</f>
        <v>-687.92</v>
      </c>
      <c r="P15" s="97">
        <f t="array" ref="P15">RTD("tickerplantrtdserver",,"FWRC1#USDJPY#Month Wise Rates#0#AskPrice18")</f>
        <v>-685.92</v>
      </c>
    </row>
    <row r="18" spans="3:3" x14ac:dyDescent="0.25">
      <c r="C18" s="56"/>
    </row>
  </sheetData>
  <mergeCells count="7">
    <mergeCell ref="O1:P1"/>
    <mergeCell ref="C1:D1"/>
    <mergeCell ref="E1:F1"/>
    <mergeCell ref="G1:H1"/>
    <mergeCell ref="I1:J1"/>
    <mergeCell ref="K1:L1"/>
    <mergeCell ref="M1:N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39"/>
  <sheetViews>
    <sheetView workbookViewId="0">
      <selection activeCell="D22" sqref="D22"/>
    </sheetView>
  </sheetViews>
  <sheetFormatPr defaultRowHeight="18" customHeight="1" x14ac:dyDescent="0.15"/>
  <cols>
    <col min="1" max="1" width="13.28515625" style="124" bestFit="1" customWidth="1"/>
    <col min="2" max="16384" width="9.140625" style="112"/>
  </cols>
  <sheetData>
    <row r="1" spans="1:7" ht="18" customHeight="1" thickBot="1" x14ac:dyDescent="0.2">
      <c r="A1" s="109" t="s">
        <v>14</v>
      </c>
      <c r="B1" s="110" t="s">
        <v>20</v>
      </c>
      <c r="C1" s="110" t="s">
        <v>19</v>
      </c>
      <c r="D1" s="110" t="s">
        <v>18</v>
      </c>
      <c r="E1" s="111" t="s">
        <v>54</v>
      </c>
    </row>
    <row r="2" spans="1:7" ht="18" customHeight="1" x14ac:dyDescent="0.15">
      <c r="A2" s="113" t="str">
        <f>RTD("tickerplantrtdserver",,"17#1#1#6069#USDINRCOMP#S#Descr.")</f>
        <v>USDINRCOMP</v>
      </c>
      <c r="B2" s="114">
        <f>RTD("tickerplantrtdserver",,"17#1#1#6069#USDINRCOMP#Open")</f>
        <v>81.75</v>
      </c>
      <c r="C2" s="114">
        <f>RTD("tickerplantrtdserver",,"17#1#1#6069#USDINRCOMP#High")</f>
        <v>81.814999999999998</v>
      </c>
      <c r="D2" s="114">
        <f>RTD("tickerplantrtdserver",,"17#1#1#6069#USDINRCOMP#Low")</f>
        <v>81.680000000000007</v>
      </c>
      <c r="E2" s="115">
        <f>RTD("tickerplantrtdserver",,"17#1#1#6069#USDINRCOMP#LTP")</f>
        <v>81.8</v>
      </c>
    </row>
    <row r="3" spans="1:7" ht="18" customHeight="1" x14ac:dyDescent="0.15">
      <c r="A3" s="116" t="str">
        <f>RTD("tickerplantrtdserver",,"17#3#1#5949#EURINRCOMP#S#Descr.")</f>
        <v>EURINRCOMP</v>
      </c>
      <c r="B3" s="117">
        <f>RTD("tickerplantrtdserver",,"17#3#1#5949#EURINRCOMP#Open")</f>
        <v>90.222499999999997</v>
      </c>
      <c r="C3" s="117">
        <f>RTD("tickerplantrtdserver",,"17#3#1#5949#EURINRCOMP#High")</f>
        <v>90.382499999999993</v>
      </c>
      <c r="D3" s="117">
        <f>RTD("tickerplantrtdserver",,"17#3#1#5949#EURINRCOMP#Low")</f>
        <v>90.144999999999996</v>
      </c>
      <c r="E3" s="118">
        <f>RTD("tickerplantrtdserver",,"17#3#1#5949#EURINRCOMP#LTP")</f>
        <v>90.317499999999995</v>
      </c>
    </row>
    <row r="4" spans="1:7" ht="18" customHeight="1" x14ac:dyDescent="0.15">
      <c r="A4" s="116" t="str">
        <f>RTD("tickerplantrtdserver",,"17#3#1#6031#GBPINRCOMP#S#Descr.")</f>
        <v>GBPINRCOMP</v>
      </c>
      <c r="B4" s="117">
        <f>RTD("tickerplantrtdserver",,"17#3#1#6031#GBPINRCOMP#Open")</f>
        <v>103.36</v>
      </c>
      <c r="C4" s="117">
        <f>RTD("tickerplantrtdserver",,"17#3#1#6031#GBPINRCOMP#High")</f>
        <v>103.485</v>
      </c>
      <c r="D4" s="117">
        <f>RTD("tickerplantrtdserver",,"17#3#1#6031#GBPINRCOMP#Low")</f>
        <v>103.265</v>
      </c>
      <c r="E4" s="118">
        <f>RTD("tickerplantrtdserver",,"17#3#1#6031#GBPINRCOMP#LTP")</f>
        <v>103.47</v>
      </c>
    </row>
    <row r="5" spans="1:7" ht="18" customHeight="1" x14ac:dyDescent="0.15">
      <c r="A5" s="116" t="str">
        <f>RTD("tickerplantrtdserver",,"17#3#1#5978#JPYINRCOMP#S#Descr.")</f>
        <v>JPYINRCOMP</v>
      </c>
      <c r="B5" s="117">
        <f>RTD("tickerplantrtdserver",,"17#3#1#5978#JPYINRCOMP#Open")</f>
        <v>60.62</v>
      </c>
      <c r="C5" s="117">
        <f>RTD("tickerplantrtdserver",,"17#3#1#5978#JPYINRCOMP#High")</f>
        <v>60.717500000000001</v>
      </c>
      <c r="D5" s="117">
        <f>RTD("tickerplantrtdserver",,"17#3#1#5978#JPYINRCOMP#Low")</f>
        <v>60.527500000000003</v>
      </c>
      <c r="E5" s="118">
        <f>RTD("tickerplantrtdserver",,"17#3#1#5978#JPYINRCOMP#LTP")</f>
        <v>60.602499999999999</v>
      </c>
      <c r="G5" s="175" t="s">
        <v>59</v>
      </c>
    </row>
    <row r="6" spans="1:7" ht="18" customHeight="1" x14ac:dyDescent="0.15">
      <c r="A6" s="116" t="str">
        <f>RTD("tickerplantrtdserver",,"17#3#1#6056#CHFINRCOMP#S#Descr.")</f>
        <v>CHFINRCOMP</v>
      </c>
      <c r="B6" s="117">
        <f>RTD("tickerplantrtdserver",,"17#3#1#6056#CHFINRCOMP#Open")</f>
        <v>91.92</v>
      </c>
      <c r="C6" s="117">
        <f>RTD("tickerplantrtdserver",,"17#3#1#6056#CHFINRCOMP#High")</f>
        <v>92.197500000000005</v>
      </c>
      <c r="D6" s="117">
        <f>RTD("tickerplantrtdserver",,"17#3#1#6056#CHFINRCOMP#Low")</f>
        <v>91.814999999999998</v>
      </c>
      <c r="E6" s="118">
        <f>RTD("tickerplantrtdserver",,"17#3#1#6056#CHFINRCOMP#LTP")</f>
        <v>92.037499999999994</v>
      </c>
      <c r="G6" s="175"/>
    </row>
    <row r="7" spans="1:7" ht="18" customHeight="1" x14ac:dyDescent="0.15">
      <c r="A7" s="116" t="str">
        <f>RTD("tickerplantrtdserver",,"17#3#1#5921#CADINRCOMP#S#Descr.")</f>
        <v>CADINRCOMP</v>
      </c>
      <c r="B7" s="117">
        <f>RTD("tickerplantrtdserver",,"17#3#1#5921#CADINRCOMP#Open")</f>
        <v>61.127499999999998</v>
      </c>
      <c r="C7" s="117">
        <f>RTD("tickerplantrtdserver",,"17#3#1#5921#CADINRCOMP#High")</f>
        <v>61.337499999999999</v>
      </c>
      <c r="D7" s="117">
        <f>RTD("tickerplantrtdserver",,"17#3#1#5921#CADINRCOMP#Low")</f>
        <v>61.075000000000003</v>
      </c>
      <c r="E7" s="118">
        <f>RTD("tickerplantrtdserver",,"17#3#1#5921#CADINRCOMP#LTP")</f>
        <v>61.302500000000002</v>
      </c>
      <c r="G7" s="175"/>
    </row>
    <row r="8" spans="1:7" ht="18" customHeight="1" x14ac:dyDescent="0.15">
      <c r="A8" s="116" t="str">
        <f>RTD("tickerplantrtdserver",,"17#3#1#5903#AUDINRCOMP#S#Descr.")</f>
        <v>AUDINRCOMP</v>
      </c>
      <c r="B8" s="117">
        <f>RTD("tickerplantrtdserver",,"17#3#1#5903#AUDINRCOMP#Open")</f>
        <v>55.307499999999997</v>
      </c>
      <c r="C8" s="117">
        <f>RTD("tickerplantrtdserver",,"17#3#1#5903#AUDINRCOMP#High")</f>
        <v>55.555</v>
      </c>
      <c r="D8" s="117">
        <f>RTD("tickerplantrtdserver",,"17#3#1#5903#AUDINRCOMP#Low")</f>
        <v>55.28</v>
      </c>
      <c r="E8" s="118">
        <f>RTD("tickerplantrtdserver",,"17#3#1#5903#AUDINRCOMP#LTP")</f>
        <v>55.545000000000002</v>
      </c>
      <c r="G8" s="175"/>
    </row>
    <row r="9" spans="1:7" ht="18" customHeight="1" x14ac:dyDescent="0.15">
      <c r="A9" s="116" t="str">
        <f>RTD("tickerplantrtdserver",,"17#3#1#6041#SGDINRCOMP#S#Descr.")</f>
        <v>SGDINRCOMP</v>
      </c>
      <c r="B9" s="117">
        <f>RTD("tickerplantrtdserver",,"17#3#1#6041#SGDINRCOMP#Open")</f>
        <v>61.68</v>
      </c>
      <c r="C9" s="117">
        <f>RTD("tickerplantrtdserver",,"17#3#1#6041#SGDINRCOMP#High")</f>
        <v>61.77</v>
      </c>
      <c r="D9" s="117">
        <f>RTD("tickerplantrtdserver",,"17#3#1#6041#SGDINRCOMP#Low")</f>
        <v>61.61</v>
      </c>
      <c r="E9" s="118">
        <f>RTD("tickerplantrtdserver",,"17#3#1#6041#SGDINRCOMP#LTP")</f>
        <v>61.765000000000001</v>
      </c>
      <c r="G9" s="175"/>
    </row>
    <row r="10" spans="1:7" ht="18" customHeight="1" x14ac:dyDescent="0.15">
      <c r="A10" s="116" t="str">
        <f>RTD("tickerplantrtdserver",,"12#2#1#5949#SEURUSD#S#Descr.")</f>
        <v>EURUSD</v>
      </c>
      <c r="B10" s="117">
        <f>RTD("tickerplantrtdserver",,"12#2#1#5949#SEURUSD#Open")</f>
        <v>1.10162</v>
      </c>
      <c r="C10" s="117">
        <f>RTD("tickerplantrtdserver",,"12#2#1#5949#SEURUSD#High")</f>
        <v>1.10538</v>
      </c>
      <c r="D10" s="117">
        <f>RTD("tickerplantrtdserver",,"12#2#1#5949#SEURUSD#Low")</f>
        <v>1.10137</v>
      </c>
      <c r="E10" s="118">
        <f>RTD("tickerplantrtdserver",,"12#2#1#5949#SEURUSD#LTP")</f>
        <v>1.10463</v>
      </c>
    </row>
    <row r="11" spans="1:7" ht="18" customHeight="1" x14ac:dyDescent="0.15">
      <c r="A11" s="116" t="str">
        <f>RTD("tickerplantrtdserver",,"12#2#1#6031#SGBPUSD#S#Descr.")</f>
        <v>GBPUSD</v>
      </c>
      <c r="B11" s="117">
        <f>RTD("tickerplantrtdserver",,"12#2#1#6031#SGBPUSD#Open")</f>
        <v>1.26274</v>
      </c>
      <c r="C11" s="117">
        <f>RTD("tickerplantrtdserver",,"12#2#1#6031#SGBPUSD#High")</f>
        <v>1.26596</v>
      </c>
      <c r="D11" s="117">
        <f>RTD("tickerplantrtdserver",,"12#2#1#6031#SGBPUSD#Low")</f>
        <v>1.2621</v>
      </c>
      <c r="E11" s="118">
        <f>RTD("tickerplantrtdserver",,"12#2#1#6031#SGBPUSD#LTP")</f>
        <v>1.26586</v>
      </c>
    </row>
    <row r="12" spans="1:7" ht="18" customHeight="1" x14ac:dyDescent="0.15">
      <c r="A12" s="116" t="str">
        <f>RTD("tickerplantrtdserver",,"12#2#1#6069#SUSDJPY#S#Descr.")</f>
        <v>USDJPY</v>
      </c>
      <c r="B12" s="119">
        <f>RTD("tickerplantrtdserver",,"12#2#1#6069#SUSDJPY#Open")</f>
        <v>134.80699999999999</v>
      </c>
      <c r="C12" s="119">
        <f>RTD("tickerplantrtdserver",,"12#2#1#6069#SUSDJPY#High")</f>
        <v>135.29900000000001</v>
      </c>
      <c r="D12" s="119">
        <f>RTD("tickerplantrtdserver",,"12#2#1#6069#SUSDJPY#Low")</f>
        <v>134.60499999999999</v>
      </c>
      <c r="E12" s="120">
        <f>RTD("tickerplantrtdserver",,"12#2#1#6069#SUSDJPY#LTP")</f>
        <v>134.989</v>
      </c>
    </row>
    <row r="13" spans="1:7" ht="18" customHeight="1" x14ac:dyDescent="0.15">
      <c r="A13" s="116" t="str">
        <f>RTD("tickerplantrtdserver",,"12#2#1#6069#SUSDCHF#S#Descr.")</f>
        <v>USDCHF</v>
      </c>
      <c r="B13" s="117">
        <f>RTD("tickerplantrtdserver",,"12#2#1#6069#SUSDCHF#Open")</f>
        <v>0.89032999999999995</v>
      </c>
      <c r="C13" s="117">
        <f>RTD("tickerplantrtdserver",,"12#2#1#6069#SUSDCHF#High")</f>
        <v>0.89126000000000005</v>
      </c>
      <c r="D13" s="117">
        <f>RTD("tickerplantrtdserver",,"12#2#1#6069#SUSDCHF#Low")</f>
        <v>0.88615999999999995</v>
      </c>
      <c r="E13" s="118">
        <f>RTD("tickerplantrtdserver",,"12#2#1#6069#SUSDCHF#LTP")</f>
        <v>0.88817999999999997</v>
      </c>
    </row>
    <row r="14" spans="1:7" ht="18" customHeight="1" x14ac:dyDescent="0.15">
      <c r="A14" s="116" t="str">
        <f>RTD("tickerplantrtdserver",,"12#2#1#6069#SUSDCAD#S#Descr.")</f>
        <v>USDCAD</v>
      </c>
      <c r="B14" s="117">
        <f>RTD("tickerplantrtdserver",,"12#2#1#6069#SUSDCAD#Open")</f>
        <v>1.3371</v>
      </c>
      <c r="C14" s="117">
        <f>RTD("tickerplantrtdserver",,"12#2#1#6069#SUSDCAD#High")</f>
        <v>1.33876</v>
      </c>
      <c r="D14" s="117">
        <f>RTD("tickerplantrtdserver",,"12#2#1#6069#SUSDCAD#Low")</f>
        <v>1.3332999999999999</v>
      </c>
      <c r="E14" s="118">
        <f>RTD("tickerplantrtdserver",,"12#2#1#6069#SUSDCAD#LTP")</f>
        <v>1.3345400000000001</v>
      </c>
    </row>
    <row r="15" spans="1:7" ht="18" customHeight="1" x14ac:dyDescent="0.15">
      <c r="A15" s="116" t="str">
        <f>RTD("tickerplantrtdserver",,"12#2#1#5903#SAUDUSD#S#Descr.")</f>
        <v>AUDUSD</v>
      </c>
      <c r="B15" s="117">
        <f>RTD("tickerplantrtdserver",,"12#2#1#5903#SAUDUSD#Open")</f>
        <v>0.67493999999999998</v>
      </c>
      <c r="C15" s="117">
        <f>RTD("tickerplantrtdserver",,"12#2#1#5903#SAUDUSD#High")</f>
        <v>0.67925000000000002</v>
      </c>
      <c r="D15" s="117">
        <f>RTD("tickerplantrtdserver",,"12#2#1#5903#SAUDUSD#Low")</f>
        <v>0.67366000000000004</v>
      </c>
      <c r="E15" s="118">
        <f>RTD("tickerplantrtdserver",,"12#2#1#5903#SAUDUSD#LTP")</f>
        <v>0.67905000000000004</v>
      </c>
    </row>
    <row r="16" spans="1:7" ht="18" customHeight="1" thickBot="1" x14ac:dyDescent="0.2">
      <c r="A16" s="121" t="str">
        <f>RTD("tickerplantrtdserver",,"12#2#1#6069#SUSDSGD#S#Descr.")</f>
        <v>USDSGD</v>
      </c>
      <c r="B16" s="122">
        <f>RTD("tickerplantrtdserver",,"12#2#1#6069#SUSDSGD#Open")</f>
        <v>1.3254999999999999</v>
      </c>
      <c r="C16" s="122">
        <f>RTD("tickerplantrtdserver",,"12#2#1#6069#SUSDSGD#High")</f>
        <v>1.3267</v>
      </c>
      <c r="D16" s="122">
        <f>RTD("tickerplantrtdserver",,"12#2#1#6069#SUSDSGD#Low")</f>
        <v>1.3232999999999999</v>
      </c>
      <c r="E16" s="123">
        <f>RTD("tickerplantrtdserver",,"12#2#1#6069#SUSDSGD#LTP")</f>
        <v>1.3243</v>
      </c>
    </row>
    <row r="17" spans="1:16" ht="18" customHeight="1" thickBot="1" x14ac:dyDescent="0.2">
      <c r="B17" s="125"/>
      <c r="C17" s="125"/>
      <c r="D17" s="125"/>
      <c r="E17" s="125"/>
    </row>
    <row r="18" spans="1:16" ht="18" customHeight="1" thickBot="1" x14ac:dyDescent="0.2">
      <c r="A18" s="109" t="s">
        <v>14</v>
      </c>
      <c r="B18" s="110" t="s">
        <v>55</v>
      </c>
      <c r="C18" s="110" t="s">
        <v>36</v>
      </c>
      <c r="D18" s="110" t="s">
        <v>37</v>
      </c>
      <c r="E18" s="110" t="s">
        <v>35</v>
      </c>
      <c r="F18" s="110" t="s">
        <v>38</v>
      </c>
      <c r="G18" s="110" t="s">
        <v>39</v>
      </c>
      <c r="H18" s="110" t="s">
        <v>34</v>
      </c>
      <c r="I18" s="110" t="s">
        <v>43</v>
      </c>
      <c r="J18" s="110" t="s">
        <v>44</v>
      </c>
      <c r="K18" s="110" t="s">
        <v>40</v>
      </c>
      <c r="L18" s="110" t="s">
        <v>45</v>
      </c>
      <c r="M18" s="110" t="s">
        <v>46</v>
      </c>
      <c r="N18" s="111" t="s">
        <v>33</v>
      </c>
    </row>
    <row r="19" spans="1:16" ht="18" customHeight="1" x14ac:dyDescent="0.15">
      <c r="A19" s="113" t="str">
        <f>RTD("tickerplantrtdserver",,"17#1#1#6069#USDINRCOMP#S#Descr.")</f>
        <v>USDINRCOMP</v>
      </c>
      <c r="B19" s="126">
        <f t="array" ref="B19">RTD("tickerplantrtdserver",,"FWRC1#USDINR#Month End Rates#0#Close0")</f>
        <v>81.8</v>
      </c>
      <c r="C19" s="127">
        <f>RTD("tickerplantrtdserver",,"FWRC1#USDINR#Month End Rates#0#Close0")+RTD("tickerplantrtdserver",,"FWRC1#USDINR#Month End Rates#0#Close4")/100</f>
        <v>81.864999999999995</v>
      </c>
      <c r="D19" s="126">
        <f>RTD("tickerplantrtdserver",,"FWRC1#USDINR#Month End Rates#0#Close0")+RTD("tickerplantrtdserver",,"FWRC1#USDINR#Month End Rates#0#Close5")/100</f>
        <v>81.977499999999992</v>
      </c>
      <c r="E19" s="128">
        <f>RTD("tickerplantrtdserver",,"FWRC1#USDINR#Month End Rates#0#Close0")+RTD("tickerplantrtdserver",,"FWRC1#USDINR#Month End Rates#0#Close6")/100</f>
        <v>82.105000000000004</v>
      </c>
      <c r="F19" s="128">
        <f>RTD("tickerplantrtdserver",,"FWRC1#USDINR#Month End Rates#0#Close0")+RTD("tickerplantrtdserver",,"FWRC1#USDINR#Month End Rates#0#Close7")/100</f>
        <v>82.234999999999999</v>
      </c>
      <c r="G19" s="128">
        <f>RTD("tickerplantrtdserver",,"FWRC1#USDINR#Month End Rates#0#Close0")+RTD("tickerplantrtdserver",,"FWRC1#USDINR#Month End Rates#0#Close8")/100</f>
        <v>82.36</v>
      </c>
      <c r="H19" s="128">
        <f>RTD("tickerplantrtdserver",,"FWRC1#USDINR#Month End Rates#0#Close0")+RTD("tickerplantrtdserver",,"FWRC1#USDINR#Month End Rates#0#Close9")/100</f>
        <v>82.504999999999995</v>
      </c>
      <c r="I19" s="128">
        <f>RTD("tickerplantrtdserver",,"FWRC1#USDINR#Month End Rates#0#Close0")+RTD("tickerplantrtdserver",,"FWRC1#USDINR#Month End Rates#0#Close10")/100</f>
        <v>82.649999999999991</v>
      </c>
      <c r="J19" s="128">
        <f>RTD("tickerplantrtdserver",,"FWRC1#USDINR#Month End Rates#0#Close0")+RTD("tickerplantrtdserver",,"FWRC1#USDINR#Month End Rates#0#Close11")/100</f>
        <v>82.789999999999992</v>
      </c>
      <c r="K19" s="128">
        <f>RTD("tickerplantrtdserver",,"FWRC1#USDINR#Month End Rates#0#Close0")+RTD("tickerplantrtdserver",,"FWRC1#USDINR#Month End Rates#0#Close12")/100</f>
        <v>82.965000000000003</v>
      </c>
      <c r="L19" s="128">
        <f>RTD("tickerplantrtdserver",,"FWRC1#USDINR#Month End Rates#0#Close0")+RTD("tickerplantrtdserver",,"FWRC1#USDINR#Month End Rates#0#Close13")/100</f>
        <v>83.122500000000002</v>
      </c>
      <c r="M19" s="128">
        <f>RTD("tickerplantrtdserver",,"FWRC1#USDINR#Month End Rates#0#Close0")+RTD("tickerplantrtdserver",,"FWRC1#USDINR#Month End Rates#0#Close14")/100</f>
        <v>83.274999999999991</v>
      </c>
      <c r="N19" s="129">
        <f>RTD("tickerplantrtdserver",,"FWRC1#USDINR#Month End Rates#0#Close0")+RTD("tickerplantrtdserver",,"FWRC1#USDINR#Month End Rates#0#Close15")/100</f>
        <v>83.53</v>
      </c>
    </row>
    <row r="20" spans="1:16" ht="18" customHeight="1" x14ac:dyDescent="0.15">
      <c r="A20" s="116" t="str">
        <f>RTD("tickerplantrtdserver",,"17#3#1#5949#EURINRCOMP#S#Descr.")</f>
        <v>EURINRCOMP</v>
      </c>
      <c r="B20" s="130">
        <f t="array" ref="B20">RTD("tickerplantrtdserver",,"FWRC1#EURINR#Month End Rates#0#Close0")</f>
        <v>90.237499999999997</v>
      </c>
      <c r="C20" s="131">
        <f>RTD("tickerplantrtdserver",,"FWRC1#EURINR#Month End Rates#0#Close0")+RTD("tickerplantrtdserver",,"FWRC1#EURINR#Month End Rates#0#Close4")/100</f>
        <v>90.421700000000001</v>
      </c>
      <c r="D20" s="131">
        <f>RTD("tickerplantrtdserver",,"FWRC1#EURINR#Month End Rates#0#Close0")+RTD("tickerplantrtdserver",,"FWRC1#EURINR#Month End Rates#0#Close5")/100</f>
        <v>90.7012</v>
      </c>
      <c r="E20" s="131">
        <f>RTD("tickerplantrtdserver",,"FWRC1#EURINR#Month End Rates#0#Close0")+RTD("tickerplantrtdserver",,"FWRC1#EURINR#Month End Rates#0#Close6")/100</f>
        <v>90.986024999999998</v>
      </c>
      <c r="F20" s="131">
        <f>RTD("tickerplantrtdserver",,"FWRC1#EURINR#Month End Rates#0#Close0")+RTD("tickerplantrtdserver",,"FWRC1#EURINR#Month End Rates#0#Close7")/100</f>
        <v>91.263824999999997</v>
      </c>
      <c r="G20" s="131">
        <f>RTD("tickerplantrtdserver",,"FWRC1#EURINR#Month End Rates#0#Close0")+RTD("tickerplantrtdserver",,"FWRC1#EURINR#Month End Rates#0#Close8")/100</f>
        <v>91.527000000000001</v>
      </c>
      <c r="H20" s="131">
        <f>RTD("tickerplantrtdserver",,"FWRC1#EURINR#Month End Rates#0#Close0")+RTD("tickerplantrtdserver",,"FWRC1#EURINR#Month End Rates#0#Close9")/100</f>
        <v>91.798225000000002</v>
      </c>
      <c r="I20" s="131">
        <f>RTD("tickerplantrtdserver",,"FWRC1#EURINR#Month End Rates#0#Close0")+RTD("tickerplantrtdserver",,"FWRC1#EURINR#Month End Rates#0#Close10")/100</f>
        <v>92.053174999999996</v>
      </c>
      <c r="J20" s="131">
        <f>RTD("tickerplantrtdserver",,"FWRC1#EURINR#Month End Rates#0#Close0")+RTD("tickerplantrtdserver",,"FWRC1#EURINR#Month End Rates#0#Close11")/100</f>
        <v>92.367249999999999</v>
      </c>
      <c r="K20" s="131">
        <f>RTD("tickerplantrtdserver",,"FWRC1#EURINR#Month End Rates#0#Close0")+RTD("tickerplantrtdserver",,"FWRC1#EURINR#Month End Rates#0#Close12")/100</f>
        <v>92.648825000000002</v>
      </c>
      <c r="L20" s="131">
        <f>RTD("tickerplantrtdserver",,"FWRC1#EURINR#Month End Rates#0#Close0")+RTD("tickerplantrtdserver",,"FWRC1#EURINR#Month End Rates#0#Close13")/100</f>
        <v>92.88862499999999</v>
      </c>
      <c r="M20" s="131">
        <f>RTD("tickerplantrtdserver",,"FWRC1#EURINR#Month End Rates#0#Close0")+RTD("tickerplantrtdserver",,"FWRC1#EURINR#Month End Rates#0#Close14")/100</f>
        <v>93.168525000000002</v>
      </c>
      <c r="N20" s="132">
        <f>RTD("tickerplantrtdserver",,"FWRC1#EURINR#Month End Rates#0#Close0")+RTD("tickerplantrtdserver",,"FWRC1#EURINR#Month End Rates#0#Close15")/100</f>
        <v>93.514749999999992</v>
      </c>
    </row>
    <row r="21" spans="1:16" ht="18" customHeight="1" x14ac:dyDescent="0.15">
      <c r="A21" s="116" t="str">
        <f>RTD("tickerplantrtdserver",,"17#3#1#6031#GBPINRCOMP#S#Descr.")</f>
        <v>GBPINRCOMP</v>
      </c>
      <c r="B21" s="131">
        <f t="array" ref="B21">RTD("tickerplantrtdserver",,"FWRC1#GBPINR#Month End Rates#0#Close0")</f>
        <v>103.36750000000001</v>
      </c>
      <c r="C21" s="131">
        <f>RTD("tickerplantrtdserver",,"FWRC1#GBPINR#Month End Rates#0#Close0")+RTD("tickerplantrtdserver",,"FWRC1#GBPINR#Month End Rates#0#Close4")/10000</f>
        <v>103.5044745</v>
      </c>
      <c r="D21" s="131">
        <f>RTD("tickerplantrtdserver",,"FWRC1#GBPINR#Month End Rates#0#Close0")+RTD("tickerplantrtdserver",,"FWRC1#GBPINR#Month End Rates#0#Close5")/10000</f>
        <v>103.70913325000001</v>
      </c>
      <c r="E21" s="131">
        <f>RTD("tickerplantrtdserver",,"FWRC1#GBPINR#Month End Rates#0#Close0")+RTD("tickerplantrtdserver",,"FWRC1#GBPINR#Month End Rates#0#Close6")/10000</f>
        <v>103.92286300000001</v>
      </c>
      <c r="F21" s="131">
        <f>RTD("tickerplantrtdserver",,"FWRC1#GBPINR#Month End Rates#0#Close0")+RTD("tickerplantrtdserver",,"FWRC1#GBPINR#Month End Rates#0#Close7")/10000</f>
        <v>104.12064775</v>
      </c>
      <c r="G21" s="131">
        <f>RTD("tickerplantrtdserver",,"FWRC1#GBPINR#Month End Rates#0#Close0")+RTD("tickerplantrtdserver",,"FWRC1#GBPINR#Month End Rates#0#Close8")/10000</f>
        <v>104.30143700000001</v>
      </c>
      <c r="H21" s="131">
        <f>RTD("tickerplantrtdserver",,"FWRC1#GBPINR#Month End Rates#0#Close0")+RTD("tickerplantrtdserver",,"FWRC1#GBPINR#Month End Rates#0#Close9")/10000</f>
        <v>104.49319025000001</v>
      </c>
      <c r="I21" s="131">
        <f>RTD("tickerplantrtdserver",,"FWRC1#GBPINR#Month End Rates#0#Close0")+RTD("tickerplantrtdserver",,"FWRC1#GBPINR#Month End Rates#0#Close10")/10000</f>
        <v>104.66185975</v>
      </c>
      <c r="J21" s="131">
        <f>RTD("tickerplantrtdserver",,"FWRC1#GBPINR#Month End Rates#0#Close0")+RTD("tickerplantrtdserver",,"FWRC1#GBPINR#Month End Rates#0#Close11")/10000</f>
        <v>104.87312700000001</v>
      </c>
      <c r="K21" s="131">
        <f>RTD("tickerplantrtdserver",,"FWRC1#GBPINR#Month End Rates#0#Close0")+RTD("tickerplantrtdserver",,"FWRC1#GBPINR#Month End Rates#0#Close12")/10000</f>
        <v>105.05508375000001</v>
      </c>
      <c r="L21" s="131">
        <f>RTD("tickerplantrtdserver",,"FWRC1#GBPINR#Month End Rates#0#Close0")+RTD("tickerplantrtdserver",,"FWRC1#GBPINR#Month End Rates#0#Close13")/10000</f>
        <v>105.23141525000001</v>
      </c>
      <c r="M21" s="131">
        <f>RTD("tickerplantrtdserver",,"FWRC1#GBPINR#Month End Rates#0#Close0")+RTD("tickerplantrtdserver",,"FWRC1#GBPINR#Month End Rates#0#Close14")/10000</f>
        <v>105.41931625000001</v>
      </c>
      <c r="N21" s="132">
        <f>RTD("tickerplantrtdserver",,"FWRC1#GBPINR#Month End Rates#0#Close0")+RTD("tickerplantrtdserver",,"FWRC1#GBPINR#Month End Rates#0#Close15")/10000</f>
        <v>105.67453250000001</v>
      </c>
    </row>
    <row r="22" spans="1:16" ht="18" customHeight="1" x14ac:dyDescent="0.15">
      <c r="A22" s="116" t="str">
        <f>RTD("tickerplantrtdserver",,"17#3#1#5978#JPYINRCOMP#S#Descr.")</f>
        <v>JPYINRCOMP</v>
      </c>
      <c r="B22" s="130">
        <f>RTD("tickerplantrtdserver",,"FWRC1#JPYINR#Month End Rates#0#Close0")</f>
        <v>60.627499999999998</v>
      </c>
      <c r="C22" s="131">
        <f>RTD("tickerplantrtdserver",,"FWRC1#JPYINR#Month End Rates#0#Close0")+RTD("tickerplantrtdserver",,"FWRC1#JPYINR#Month End Rates#0#Close4")/10000</f>
        <v>60.87017925</v>
      </c>
      <c r="D22" s="131">
        <f>RTD("tickerplantrtdserver",,"FWRC1#JPYINR#Month End Rates#0#Close0")+RTD("tickerplantrtdserver",,"FWRC1#JPYINR#Month End Rates#0#Close5")/10000</f>
        <v>61.235485249999996</v>
      </c>
      <c r="E22" s="131">
        <f>RTD("tickerplantrtdserver",,"FWRC1#JPYINR#Month End Rates#0#Close0")+RTD("tickerplantrtdserver",,"FWRC1#JPYINR#Month End Rates#0#Close6")/10000</f>
        <v>61.618437749999998</v>
      </c>
      <c r="F22" s="131">
        <f>RTD("tickerplantrtdserver",,"FWRC1#JPYINR#Month End Rates#0#Close0")+RTD("tickerplantrtdserver",,"FWRC1#JPYINR#Month End Rates#0#Close7")/10000</f>
        <v>61.999413249999996</v>
      </c>
      <c r="G22" s="131">
        <f>RTD("tickerplantrtdserver",,"FWRC1#JPYINR#Month End Rates#0#Close0")+RTD("tickerplantrtdserver",,"FWRC1#JPYINR#Month End Rates#0#Close8")/10000</f>
        <v>62.366443249999996</v>
      </c>
      <c r="H22" s="131">
        <f>RTD("tickerplantrtdserver",,"FWRC1#JPYINR#Month End Rates#0#Close0")+RTD("tickerplantrtdserver",,"FWRC1#JPYINR#Month End Rates#0#Close9")/10000</f>
        <v>62.742559</v>
      </c>
      <c r="I22" s="131">
        <f>RTD("tickerplantrtdserver",,"FWRC1#JPYINR#Month End Rates#0#Close0")+RTD("tickerplantrtdserver",,"FWRC1#JPYINR#Month End Rates#0#Close10")/10000</f>
        <v>63.142891249999998</v>
      </c>
      <c r="J22" s="131">
        <f>RTD("tickerplantrtdserver",,"FWRC1#JPYINR#Month End Rates#0#Close0")+RTD("tickerplantrtdserver",,"FWRC1#JPYINR#Month End Rates#0#Close11")/10000</f>
        <v>63.569878249999995</v>
      </c>
      <c r="K22" s="131">
        <f>RTD("tickerplantrtdserver",,"FWRC1#JPYINR#Month End Rates#0#Close0")+RTD("tickerplantrtdserver",,"FWRC1#JPYINR#Month End Rates#0#Close12")/10000</f>
        <v>63.99383675</v>
      </c>
      <c r="L22" s="131">
        <f>RTD("tickerplantrtdserver",,"FWRC1#JPYINR#Month End Rates#0#Close0")+RTD("tickerplantrtdserver",,"FWRC1#JPYINR#Month End Rates#0#Close13")/10000</f>
        <v>64.344773000000004</v>
      </c>
      <c r="M22" s="131">
        <f>RTD("tickerplantrtdserver",,"FWRC1#JPYINR#Month End Rates#0#Close0")+RTD("tickerplantrtdserver",,"FWRC1#JPYINR#Month End Rates#0#Close14")/10000</f>
        <v>64.714513999999994</v>
      </c>
      <c r="N22" s="132">
        <f>RTD("tickerplantrtdserver",,"FWRC1#JPYINR#Month End Rates#0#Close0")+RTD("tickerplantrtdserver",,"FWRC1#JPYINR#Month End Rates#0#Close15")/10000</f>
        <v>65.1643665</v>
      </c>
    </row>
    <row r="23" spans="1:16" ht="18" customHeight="1" x14ac:dyDescent="0.15">
      <c r="A23" s="116" t="str">
        <f>RTD("tickerplantrtdserver",,"17#3#1#6056#CHFINRCOMP#S#Descr.")</f>
        <v>CHFINRCOMP</v>
      </c>
      <c r="B23" s="130">
        <f>RTD("tickerplantrtdserver",,"FWRC1#CHFINR#Month Wise Rates#0#Close0")</f>
        <v>92.037499999999994</v>
      </c>
      <c r="C23" s="131">
        <f>RTD("tickerplantrtdserver",,"FWRC1#CHFINR#Month Wise Rates#0#Close0")+RTD("tickerplantrtdserver",,"FWRC1#CHFINR#Month Wise Rates#0#Close7")/10000</f>
        <v>92.499607879999999</v>
      </c>
      <c r="D23" s="131">
        <f>RTD("tickerplantrtdserver",,"FWRC1#CHFINR#Month Wise Rates#0#Close0")+RTD("tickerplantrtdserver",,"FWRC1#CHFINR#Month Wise Rates#0#Close8")/10000</f>
        <v>92.92080833</v>
      </c>
      <c r="E23" s="131">
        <f>RTD("tickerplantrtdserver",,"FWRC1#CHFINR#Month Wise Rates#0#Close0")+RTD("tickerplantrtdserver",,"FWRC1#CHFINR#Month Wise Rates#0#Close9")/10000</f>
        <v>93.372509319999992</v>
      </c>
      <c r="F23" s="131">
        <f>RTD("tickerplantrtdserver",,"FWRC1#CHFINR#Month Wise Rates#0#Close0")+RTD("tickerplantrtdserver",,"FWRC1#CHFINR#Month Wise Rates#0#Close10")/10000</f>
        <v>93.831697689999999</v>
      </c>
      <c r="G23" s="131">
        <f>RTD("tickerplantrtdserver",,"FWRC1#CHFINR#Month Wise Rates#0#Close0")+RTD("tickerplantrtdserver",,"FWRC1#CHFINR#Month Wise Rates#0#Close11")/10000</f>
        <v>94.257671009999996</v>
      </c>
      <c r="H23" s="131">
        <f>RTD("tickerplantrtdserver",,"FWRC1#CHFINR#Month Wise Rates#0#Close0")+RTD("tickerplantrtdserver",,"FWRC1#CHFINR#Month Wise Rates#0#Close12")/10000</f>
        <v>94.710656399999991</v>
      </c>
      <c r="I23" s="131">
        <f>RTD("tickerplantrtdserver",,"FWRC1#CHFINR#Month Wise Rates#0#Close0")+RTD("tickerplantrtdserver",,"FWRC1#CHFINR#Month Wise Rates#0#Close13")/10000</f>
        <v>95.10839593</v>
      </c>
      <c r="J23" s="131">
        <f>RTD("tickerplantrtdserver",,"FWRC1#CHFINR#Month Wise Rates#0#Close0")+RTD("tickerplantrtdserver",,"FWRC1#CHFINR#Month Wise Rates#0#Close14")/10000</f>
        <v>95.609701509999994</v>
      </c>
      <c r="K23" s="131">
        <f>RTD("tickerplantrtdserver",,"FWRC1#CHFINR#Month Wise Rates#0#Close0")+RTD("tickerplantrtdserver",,"FWRC1#CHFINR#Month Wise Rates#0#Close15")/10000</f>
        <v>96.05482481</v>
      </c>
      <c r="L23" s="131">
        <f>RTD("tickerplantrtdserver",,"FWRC1#CHFINR#Month Wise Rates#0#Close0")+RTD("tickerplantrtdserver",,"FWRC1#CHFINR#Month Wise Rates#0#Close16")/10000</f>
        <v>96.370361379999991</v>
      </c>
      <c r="M23" s="131">
        <f>RTD("tickerplantrtdserver",,"FWRC1#CHFINR#Month Wise Rates#0#Close0")+RTD("tickerplantrtdserver",,"FWRC1#CHFINR#Month Wise Rates#0#Close17")/10000</f>
        <v>96.811767689999996</v>
      </c>
      <c r="N23" s="132">
        <f>RTD("tickerplantrtdserver",,"FWRC1#CHFINR#Month Wise Rates#0#Close0")+RTD("tickerplantrtdserver",,"FWRC1#CHFINR#Month Wise Rates#0#Close18")/10000</f>
        <v>97.345850799999994</v>
      </c>
      <c r="P23" s="175" t="s">
        <v>60</v>
      </c>
    </row>
    <row r="24" spans="1:16" ht="18" customHeight="1" x14ac:dyDescent="0.15">
      <c r="A24" s="116" t="str">
        <f>RTD("tickerplantrtdserver",,"17#3#1#5921#CADINRCOMP#S#Descr.")</f>
        <v>CADINRCOMP</v>
      </c>
      <c r="B24" s="131">
        <f>RTD("tickerplantrtdserver",,"FWRC1#CADINR#Month Wise Rates#0#Close0")</f>
        <v>61.302500000000002</v>
      </c>
      <c r="C24" s="131">
        <f>RTD("tickerplantrtdserver",,"FWRC1#CADINR#Month Wise Rates#0#Close0")+RTD("tickerplantrtdserver",,"FWRC1#CADINR#Month Wise Rates#0#Close7")/10000</f>
        <v>61.424806289999999</v>
      </c>
      <c r="D24" s="131">
        <f>RTD("tickerplantrtdserver",,"FWRC1#CADINR#Month Wise Rates#0#Close0")+RTD("tickerplantrtdserver",,"FWRC1#CADINR#Month Wise Rates#0#Close8")/10000</f>
        <v>61.544718590000002</v>
      </c>
      <c r="E24" s="131">
        <f>RTD("tickerplantrtdserver",,"FWRC1#CADINR#Month Wise Rates#0#Close0")+RTD("tickerplantrtdserver",,"FWRC1#CADINR#Month Wise Rates#0#Close9")/10000</f>
        <v>61.677403310000003</v>
      </c>
      <c r="F24" s="131">
        <f>RTD("tickerplantrtdserver",,"FWRC1#CADINR#Month Wise Rates#0#Close0")+RTD("tickerplantrtdserver",,"FWRC1#CADINR#Month Wise Rates#0#Close10")/10000</f>
        <v>61.811190310000001</v>
      </c>
      <c r="G24" s="131">
        <f>RTD("tickerplantrtdserver",,"FWRC1#CADINR#Month Wise Rates#0#Close0")+RTD("tickerplantrtdserver",,"FWRC1#CADINR#Month Wise Rates#0#Close11")/10000</f>
        <v>61.935984310000002</v>
      </c>
      <c r="H24" s="131">
        <f>RTD("tickerplantrtdserver",,"FWRC1#CADINR#Month Wise Rates#0#Close0")+RTD("tickerplantrtdserver",,"FWRC1#CADINR#Month Wise Rates#0#Close12")/10000</f>
        <v>62.088375020000001</v>
      </c>
      <c r="I24" s="131">
        <f>RTD("tickerplantrtdserver",,"FWRC1#CADINR#Month Wise Rates#0#Close0")+RTD("tickerplantrtdserver",,"FWRC1#CADINR#Month Wise Rates#0#Close13")/10000</f>
        <v>62.199637550000006</v>
      </c>
      <c r="J24" s="131">
        <f>RTD("tickerplantrtdserver",,"FWRC1#CADINR#Month Wise Rates#0#Close0")+RTD("tickerplantrtdserver",,"FWRC1#CADINR#Month Wise Rates#0#Close14")/10000</f>
        <v>62.339288530000005</v>
      </c>
      <c r="K24" s="131">
        <f>RTD("tickerplantrtdserver",,"FWRC1#CADINR#Month Wise Rates#0#Close0")+RTD("tickerplantrtdserver",,"FWRC1#CADINR#Month Wise Rates#0#Close15")/10000</f>
        <v>62.496611640000005</v>
      </c>
      <c r="L24" s="131">
        <f>RTD("tickerplantrtdserver",,"FWRC1#CADINR#Month Wise Rates#0#Close0")+RTD("tickerplantrtdserver",,"FWRC1#CADINR#Month Wise Rates#0#Close16")/10000</f>
        <v>62.606535270000002</v>
      </c>
      <c r="M24" s="131">
        <f>RTD("tickerplantrtdserver",,"FWRC1#CADINR#Month Wise Rates#0#Close0")+RTD("tickerplantrtdserver",,"FWRC1#CADINR#Month Wise Rates#0#Close17")/10000</f>
        <v>62.757590900000004</v>
      </c>
      <c r="N24" s="132">
        <f>RTD("tickerplantrtdserver",,"FWRC1#CADINR#Month Wise Rates#0#Close0")+RTD("tickerplantrtdserver",,"FWRC1#CADINR#Month Wise Rates#0#Close18")/10000</f>
        <v>62.939439890000003</v>
      </c>
      <c r="P24" s="175"/>
    </row>
    <row r="25" spans="1:16" ht="18" customHeight="1" x14ac:dyDescent="0.15">
      <c r="A25" s="116" t="str">
        <f>RTD("tickerplantrtdserver",,"17#3#1#5903#AUDINRCOMP#S#Descr.")</f>
        <v>AUDINRCOMP</v>
      </c>
      <c r="B25" s="131">
        <f>RTD("tickerplantrtdserver",,"FWRC1#AUDINR#Month Wise Rates#0#Close0")</f>
        <v>55.545000000000002</v>
      </c>
      <c r="C25" s="131">
        <f>RTD("tickerplantrtdserver",,"FWRC1#AUDINR#Month Wise Rates#0#Close0")+RTD("tickerplantrtdserver",,"FWRC1#AUDINR#Month Wise Rates#0#Close7")/10000</f>
        <v>55.689072170000003</v>
      </c>
      <c r="D25" s="131">
        <f>RTD("tickerplantrtdserver",,"FWRC1#AUDINR#Month Wise Rates#0#Close0")+RTD("tickerplantrtdserver",,"FWRC1#AUDINR#Month Wise Rates#0#Close8")/10000</f>
        <v>55.820012580000004</v>
      </c>
      <c r="E25" s="131">
        <f>RTD("tickerplantrtdserver",,"FWRC1#AUDINR#Month Wise Rates#0#Close0")+RTD("tickerplantrtdserver",,"FWRC1#AUDINR#Month Wise Rates#0#Close9")/10000</f>
        <v>55.968945660000003</v>
      </c>
      <c r="F25" s="131">
        <f>RTD("tickerplantrtdserver",,"FWRC1#AUDINR#Month Wise Rates#0#Close0")+RTD("tickerplantrtdserver",,"FWRC1#AUDINR#Month Wise Rates#0#Close10")/10000</f>
        <v>56.12247009</v>
      </c>
      <c r="G25" s="131">
        <f>RTD("tickerplantrtdserver",,"FWRC1#AUDINR#Month Wise Rates#0#Close0")+RTD("tickerplantrtdserver",,"FWRC1#AUDINR#Month Wise Rates#0#Close11")/10000</f>
        <v>56.257844150000004</v>
      </c>
      <c r="H25" s="131">
        <f>RTD("tickerplantrtdserver",,"FWRC1#AUDINR#Month Wise Rates#0#Close0")+RTD("tickerplantrtdserver",,"FWRC1#AUDINR#Month Wise Rates#0#Close12")/10000</f>
        <v>56.413917330000004</v>
      </c>
      <c r="I25" s="131">
        <f>RTD("tickerplantrtdserver",,"FWRC1#AUDINR#Month Wise Rates#0#Close0")+RTD("tickerplantrtdserver",,"FWRC1#AUDINR#Month Wise Rates#0#Close13")/10000</f>
        <v>56.546037910000003</v>
      </c>
      <c r="J25" s="131">
        <f>RTD("tickerplantrtdserver",,"FWRC1#AUDINR#Month Wise Rates#0#Close0")+RTD("tickerplantrtdserver",,"FWRC1#AUDINR#Month Wise Rates#0#Close14")/10000</f>
        <v>56.690875089999999</v>
      </c>
      <c r="K25" s="131">
        <f>RTD("tickerplantrtdserver",,"FWRC1#AUDINR#Month Wise Rates#0#Close0")+RTD("tickerplantrtdserver",,"FWRC1#AUDINR#Month Wise Rates#0#Close15")/10000</f>
        <v>56.842066780000003</v>
      </c>
      <c r="L25" s="131">
        <f>RTD("tickerplantrtdserver",,"FWRC1#AUDINR#Month Wise Rates#0#Close0")+RTD("tickerplantrtdserver",,"FWRC1#AUDINR#Month Wise Rates#0#Close16")/10000</f>
        <v>56.95650681</v>
      </c>
      <c r="M25" s="131">
        <f>RTD("tickerplantrtdserver",,"FWRC1#AUDINR#Month Wise Rates#0#Close0")+RTD("tickerplantrtdserver",,"FWRC1#AUDINR#Month Wise Rates#0#Close17")/10000</f>
        <v>57.09840165</v>
      </c>
      <c r="N25" s="132">
        <f>RTD("tickerplantrtdserver",,"FWRC1#AUDINR#Month Wise Rates#0#Close0")+RTD("tickerplantrtdserver",,"FWRC1#AUDINR#Month Wise Rates#0#Close18")/10000</f>
        <v>57.273836469999999</v>
      </c>
      <c r="P25" s="175"/>
    </row>
    <row r="26" spans="1:16" ht="18" customHeight="1" x14ac:dyDescent="0.15">
      <c r="A26" s="116" t="str">
        <f>RTD("tickerplantrtdserver",,"17#3#1#6041#SGDINRCOMP#S#Descr.")</f>
        <v>SGDINRCOMP</v>
      </c>
      <c r="B26" s="131">
        <f>RTD("tickerplantrtdserver",,"FWRC1#SGDINR#Month Wise Rates#0#Close0")</f>
        <v>61.765000000000001</v>
      </c>
      <c r="C26" s="131">
        <f>RTD("tickerplantrtdserver",,"FWRC1#SGDINR#Month Wise Rates#0#Close0")+RTD("tickerplantrtdserver",,"FWRC1#SGDINR#Month Wise Rates#0#Close7")/10000</f>
        <v>61.918697800000004</v>
      </c>
      <c r="D26" s="131">
        <f>RTD("tickerplantrtdserver",,"FWRC1#SGDINR#Month Wise Rates#0#Close0")+RTD("tickerplantrtdserver",,"FWRC1#SGDINR#Month Wise Rates#0#Close8")/10000</f>
        <v>62.0451336</v>
      </c>
      <c r="E26" s="131">
        <f>RTD("tickerplantrtdserver",,"FWRC1#SGDINR#Month Wise Rates#0#Close0")+RTD("tickerplantrtdserver",,"FWRC1#SGDINR#Month Wise Rates#0#Close9")/10000</f>
        <v>62.214290910000003</v>
      </c>
      <c r="F26" s="131">
        <f>RTD("tickerplantrtdserver",,"FWRC1#SGDINR#Month Wise Rates#0#Close0")+RTD("tickerplantrtdserver",,"FWRC1#SGDINR#Month Wise Rates#0#Close10")/10000</f>
        <v>62.428045820000001</v>
      </c>
      <c r="G26" s="131">
        <f>RTD("tickerplantrtdserver",,"FWRC1#SGDINR#Month Wise Rates#0#Close0")+RTD("tickerplantrtdserver",,"FWRC1#SGDINR#Month Wise Rates#0#Close11")/10000</f>
        <v>62.588449709999999</v>
      </c>
      <c r="H26" s="131">
        <f>RTD("tickerplantrtdserver",,"FWRC1#SGDINR#Month Wise Rates#0#Close0")+RTD("tickerplantrtdserver",,"FWRC1#SGDINR#Month Wise Rates#0#Close12")/10000</f>
        <v>62.802539490000001</v>
      </c>
      <c r="I26" s="131">
        <f>RTD("tickerplantrtdserver",,"FWRC1#SGDINR#Month Wise Rates#0#Close0")+RTD("tickerplantrtdserver",,"FWRC1#SGDINR#Month Wise Rates#0#Close13")/10000</f>
        <v>62.953547460000003</v>
      </c>
      <c r="J26" s="131">
        <f>RTD("tickerplantrtdserver",,"FWRC1#SGDINR#Month Wise Rates#0#Close0")+RTD("tickerplantrtdserver",,"FWRC1#SGDINR#Month Wise Rates#0#Close14")/10000</f>
        <v>63.133726750000001</v>
      </c>
      <c r="K26" s="131">
        <f>RTD("tickerplantrtdserver",,"FWRC1#SGDINR#Month Wise Rates#0#Close0")+RTD("tickerplantrtdserver",,"FWRC1#SGDINR#Month Wise Rates#0#Close15")/10000</f>
        <v>63.359487659999999</v>
      </c>
      <c r="L26" s="131">
        <f>RTD("tickerplantrtdserver",,"FWRC1#SGDINR#Month Wise Rates#0#Close0")+RTD("tickerplantrtdserver",,"FWRC1#SGDINR#Month Wise Rates#0#Close16")/10000</f>
        <v>63.526676139999999</v>
      </c>
      <c r="M26" s="131">
        <f>RTD("tickerplantrtdserver",,"FWRC1#SGDINR#Month Wise Rates#0#Close0")+RTD("tickerplantrtdserver",,"FWRC1#SGDINR#Month Wise Rates#0#Close17")/10000</f>
        <v>63.71062689</v>
      </c>
      <c r="N26" s="132">
        <f>RTD("tickerplantrtdserver",,"FWRC1#SGDINR#Month Wise Rates#0#Close0")+RTD("tickerplantrtdserver",,"FWRC1#SGDINR#Month Wise Rates#0#Close18")/10000</f>
        <v>63.970009650000001</v>
      </c>
      <c r="P26" s="175"/>
    </row>
    <row r="27" spans="1:16" ht="18" customHeight="1" x14ac:dyDescent="0.15">
      <c r="A27" s="116" t="str">
        <f>RTD("tickerplantrtdserver",,"12#2#1#5949#SEURUSD#S#Descr.")</f>
        <v>EURUSD</v>
      </c>
      <c r="B27" s="131">
        <f>RTD("tickerplantrtdserver",,"FWRC1#EURUSD#Month Wise Rates#0#Close0")</f>
        <v>1.10463</v>
      </c>
      <c r="C27" s="131">
        <f>RTD("tickerplantrtdserver",,"FWRC1#EURUSD#Month Wise Rates#0#Close0")+RTD("tickerplantrtdserver",,"FWRC1#EURUSD#Month Wise Rates#0#Close7")/10000</f>
        <v>1.106689</v>
      </c>
      <c r="D27" s="131">
        <f>RTD("tickerplantrtdserver",,"FWRC1#EURUSD#Month Wise Rates#0#Close0")+RTD("tickerplantrtdserver",,"FWRC1#EURUSD#Month Wise Rates#0#Close8")/10000</f>
        <v>1.1084685999999999</v>
      </c>
      <c r="E27" s="131">
        <f>RTD("tickerplantrtdserver",,"FWRC1#EURUSD#Month Wise Rates#0#Close0")+RTD("tickerplantrtdserver",,"FWRC1#EURUSD#Month Wise Rates#0#Close9")/10000</f>
        <v>1.110217</v>
      </c>
      <c r="F27" s="131">
        <f>RTD("tickerplantrtdserver",,"FWRC1#EURUSD#Month Wise Rates#0#Close0")+RTD("tickerplantrtdserver",,"FWRC1#EURUSD#Month Wise Rates#0#Close10")/10000</f>
        <v>1.1118570000000001</v>
      </c>
      <c r="G27" s="131">
        <f>RTD("tickerplantrtdserver",,"FWRC1#EURUSD#Month Wise Rates#0#Close0")+RTD("tickerplantrtdserver",,"FWRC1#EURUSD#Month Wise Rates#0#Close11")/10000</f>
        <v>1.1133390000000001</v>
      </c>
      <c r="H27" s="131">
        <f>RTD("tickerplantrtdserver",,"FWRC1#EURUSD#Month Wise Rates#0#Close0")+RTD("tickerplantrtdserver",,"FWRC1#EURUSD#Month Wise Rates#0#Close12")/10000</f>
        <v>1.114689</v>
      </c>
      <c r="I27" s="131">
        <f>RTD("tickerplantrtdserver",,"FWRC1#EURUSD#Month Wise Rates#0#Close0")+RTD("tickerplantrtdserver",,"FWRC1#EURUSD#Month Wise Rates#0#Close13")/10000</f>
        <v>1.115745</v>
      </c>
      <c r="J27" s="131">
        <f>RTD("tickerplantrtdserver",,"FWRC1#EURUSD#Month Wise Rates#0#Close0")+RTD("tickerplantrtdserver",,"FWRC1#EURUSD#Month Wise Rates#0#Close14")/10000</f>
        <v>1.117645</v>
      </c>
      <c r="K27" s="131">
        <f>RTD("tickerplantrtdserver",,"FWRC1#EURUSD#Month Wise Rates#0#Close0")+RTD("tickerplantrtdserver",,"FWRC1#EURUSD#Month Wise Rates#0#Close15")/10000</f>
        <v>1.118784</v>
      </c>
      <c r="L27" s="131">
        <f>RTD("tickerplantrtdserver",,"FWRC1#EURUSD#Month Wise Rates#0#Close0")+RTD("tickerplantrtdserver",,"FWRC1#EURUSD#Month Wise Rates#0#Close16")/10000</f>
        <v>1.119588</v>
      </c>
      <c r="M27" s="131">
        <f>RTD("tickerplantrtdserver",,"FWRC1#EURUSD#Month Wise Rates#0#Close0")+RTD("tickerplantrtdserver",,"FWRC1#EURUSD#Month Wise Rates#0#Close17")/10000</f>
        <v>1.1203620000000001</v>
      </c>
      <c r="N27" s="132">
        <f>RTD("tickerplantrtdserver",,"FWRC1#EURUSD#Month Wise Rates#0#Close0")+RTD("tickerplantrtdserver",,"FWRC1#EURUSD#Month Wise Rates#0#Close18")/10000</f>
        <v>1.121</v>
      </c>
      <c r="P27" s="175"/>
    </row>
    <row r="28" spans="1:16" ht="18" customHeight="1" x14ac:dyDescent="0.15">
      <c r="A28" s="116" t="str">
        <f>RTD("tickerplantrtdserver",,"12#2#1#6031#SGBPUSD#S#Descr.")</f>
        <v>GBPUSD</v>
      </c>
      <c r="B28" s="131">
        <f>RTD("tickerplantrtdserver",,"FWRC1#GBPUSD#Month Wise Rates#0#Close0")</f>
        <v>1.26586</v>
      </c>
      <c r="C28" s="131">
        <f>RTD("tickerplantrtdserver",,"FWRC1#GBPUSD#Month Wise Rates#0#Close0")+RTD("tickerplantrtdserver",,"FWRC1#GBPUSD#Month Wise Rates#0#Close7")/10000</f>
        <v>1.2668159999999999</v>
      </c>
      <c r="D28" s="131">
        <f>RTD("tickerplantrtdserver",,"FWRC1#GBPUSD#Month Wise Rates#0#Close0")+RTD("tickerplantrtdserver",,"FWRC1#GBPUSD#Month Wise Rates#0#Close8")/10000</f>
        <v>1.26749</v>
      </c>
      <c r="E28" s="131">
        <f>RTD("tickerplantrtdserver",,"FWRC1#GBPUSD#Month Wise Rates#0#Close0")+RTD("tickerplantrtdserver",,"FWRC1#GBPUSD#Month Wise Rates#0#Close9")/10000</f>
        <v>1.2680450000000001</v>
      </c>
      <c r="F28" s="131">
        <f>RTD("tickerplantrtdserver",,"FWRC1#GBPUSD#Month Wise Rates#0#Close0")+RTD("tickerplantrtdserver",,"FWRC1#GBPUSD#Month Wise Rates#0#Close10")/10000</f>
        <v>1.268451</v>
      </c>
      <c r="G28" s="131">
        <f>RTD("tickerplantrtdserver",,"FWRC1#GBPUSD#Month Wise Rates#0#Close0")+RTD("tickerplantrtdserver",,"FWRC1#GBPUSD#Month Wise Rates#0#Close11")/10000</f>
        <v>1.2686839999999999</v>
      </c>
      <c r="H28" s="131">
        <f>RTD("tickerplantrtdserver",,"FWRC1#GBPUSD#Month Wise Rates#0#Close0")+RTD("tickerplantrtdserver",,"FWRC1#GBPUSD#Month Wise Rates#0#Close12")/10000</f>
        <v>1.2687850000000001</v>
      </c>
      <c r="I28" s="131">
        <f>RTD("tickerplantrtdserver",,"FWRC1#GBPUSD#Month Wise Rates#0#Close0")+RTD("tickerplantrtdserver",,"FWRC1#GBPUSD#Month Wise Rates#0#Close13")/10000</f>
        <v>1.2686169999999999</v>
      </c>
      <c r="J28" s="131">
        <f>RTD("tickerplantrtdserver",,"FWRC1#GBPUSD#Month Wise Rates#0#Close0")+RTD("tickerplantrtdserver",,"FWRC1#GBPUSD#Month Wise Rates#0#Close14")/10000</f>
        <v>1.2689269999999999</v>
      </c>
      <c r="K28" s="131">
        <f>RTD("tickerplantrtdserver",,"FWRC1#GBPUSD#Month Wise Rates#0#Close0")+RTD("tickerplantrtdserver",,"FWRC1#GBPUSD#Month Wise Rates#0#Close15")/10000</f>
        <v>1.2681530000000001</v>
      </c>
      <c r="L28" s="131">
        <f>RTD("tickerplantrtdserver",,"FWRC1#GBPUSD#Month Wise Rates#0#Close0")+RTD("tickerplantrtdserver",,"FWRC1#GBPUSD#Month Wise Rates#0#Close16")/10000</f>
        <v>1.268176</v>
      </c>
      <c r="M28" s="131">
        <f>RTD("tickerplantrtdserver",,"FWRC1#GBPUSD#Month Wise Rates#0#Close0")+RTD("tickerplantrtdserver",,"FWRC1#GBPUSD#Month Wise Rates#0#Close17")/10000</f>
        <v>1.267622</v>
      </c>
      <c r="N28" s="132">
        <f>RTD("tickerplantrtdserver",,"FWRC1#GBPUSD#Month Wise Rates#0#Close0")+RTD("tickerplantrtdserver",,"FWRC1#GBPUSD#Month Wise Rates#0#Close18")/10000</f>
        <v>1.266688</v>
      </c>
    </row>
    <row r="29" spans="1:16" ht="18" customHeight="1" x14ac:dyDescent="0.15">
      <c r="A29" s="116" t="str">
        <f>RTD("tickerplantrtdserver",,"12#2#1#6069#SUSDJPY#S#Descr.")</f>
        <v>USDJPY</v>
      </c>
      <c r="B29" s="133">
        <f>RTD("tickerplantrtdserver",,"FWRC1#USDJPY#Month Wise Rates#0#Close0")</f>
        <v>134.989</v>
      </c>
      <c r="C29" s="133">
        <f>RTD("tickerplantrtdserver",,"FWRC1#USDJPY#Month Wise Rates#0#Close0")+RTD("tickerplantrtdserver",,"FWRC1#USDJPY#Month Wise Rates#0#Close7")/100</f>
        <v>134.31970000000001</v>
      </c>
      <c r="D29" s="133">
        <f>RTD("tickerplantrtdserver",,"FWRC1#USDJPY#Month Wise Rates#0#Close0")+RTD("tickerplantrtdserver",,"FWRC1#USDJPY#Month Wise Rates#0#Close8")/100</f>
        <v>133.7388</v>
      </c>
      <c r="E29" s="133">
        <f>RTD("tickerplantrtdserver",,"FWRC1#USDJPY#Month Wise Rates#0#Close0")+RTD("tickerplantrtdserver",,"FWRC1#USDJPY#Month Wise Rates#0#Close9")/100</f>
        <v>133.11789999999999</v>
      </c>
      <c r="F29" s="133">
        <f>RTD("tickerplantrtdserver",,"FWRC1#USDJPY#Month Wise Rates#0#Close0")+RTD("tickerplantrtdserver",,"FWRC1#USDJPY#Month Wise Rates#0#Close10")/100</f>
        <v>132.48000000000002</v>
      </c>
      <c r="G29" s="133">
        <f>RTD("tickerplantrtdserver",,"FWRC1#USDJPY#Month Wise Rates#0#Close0")+RTD("tickerplantrtdserver",,"FWRC1#USDJPY#Month Wise Rates#0#Close11")/100</f>
        <v>131.90049999999999</v>
      </c>
      <c r="H29" s="133">
        <f>RTD("tickerplantrtdserver",,"FWRC1#USDJPY#Month Wise Rates#0#Close0")+RTD("tickerplantrtdserver",,"FWRC1#USDJPY#Month Wise Rates#0#Close12")/100</f>
        <v>131.31200000000001</v>
      </c>
      <c r="I29" s="133">
        <f>RTD("tickerplantrtdserver",,"FWRC1#USDJPY#Month Wise Rates#0#Close0")+RTD("tickerplantrtdserver",,"FWRC1#USDJPY#Month Wise Rates#0#Close13")/100</f>
        <v>130.7373</v>
      </c>
      <c r="J29" s="133">
        <f>RTD("tickerplantrtdserver",,"FWRC1#USDJPY#Month Wise Rates#0#Close0")+RTD("tickerplantrtdserver",,"FWRC1#USDJPY#Month Wise Rates#0#Close14")/100</f>
        <v>130.07400000000001</v>
      </c>
      <c r="K29" s="133">
        <f>RTD("tickerplantrtdserver",,"FWRC1#USDJPY#Month Wise Rates#0#Close0")+RTD("tickerplantrtdserver",,"FWRC1#USDJPY#Month Wise Rates#0#Close15")/100</f>
        <v>129.48500000000001</v>
      </c>
      <c r="L29" s="133">
        <f>RTD("tickerplantrtdserver",,"FWRC1#USDJPY#Month Wise Rates#0#Close0")+RTD("tickerplantrtdserver",,"FWRC1#USDJPY#Month Wise Rates#0#Close16")/100</f>
        <v>129.05250000000001</v>
      </c>
      <c r="M29" s="133">
        <f>RTD("tickerplantrtdserver",,"FWRC1#USDJPY#Month Wise Rates#0#Close0")+RTD("tickerplantrtdserver",,"FWRC1#USDJPY#Month Wise Rates#0#Close17")/100</f>
        <v>128.55000000000001</v>
      </c>
      <c r="N29" s="134">
        <f>RTD("tickerplantrtdserver",,"FWRC1#USDJPY#Month Wise Rates#0#Close0")+RTD("tickerplantrtdserver",,"FWRC1#USDJPY#Month Wise Rates#0#Close18")/100</f>
        <v>128.10980000000001</v>
      </c>
    </row>
    <row r="30" spans="1:16" ht="18" customHeight="1" x14ac:dyDescent="0.15">
      <c r="A30" s="116" t="str">
        <f>RTD("tickerplantrtdserver",,"12#2#1#6069#SUSDCHF#S#Descr.")</f>
        <v>USDCHF</v>
      </c>
      <c r="B30" s="131">
        <f>RTD("tickerplantrtdserver",,"FWRC1#USDCHF#Month Wise Rates#0#Close0")</f>
        <v>0.88817999999999997</v>
      </c>
      <c r="C30" s="131">
        <f>RTD("tickerplantrtdserver",,"FWRC1#USDCHF#Month Wise Rates#0#Close0")+RTD("tickerplantrtdserver",,"FWRC1#USDCHF#Month Wise Rates#0#Close7")/10000</f>
        <v>0.88488499999999992</v>
      </c>
      <c r="D30" s="131">
        <f>RTD("tickerplantrtdserver",,"FWRC1#USDCHF#Month Wise Rates#0#Close0")+RTD("tickerplantrtdserver",,"FWRC1#USDCHF#Month Wise Rates#0#Close8")/10000</f>
        <v>0.88201999999999992</v>
      </c>
      <c r="E30" s="131">
        <f>RTD("tickerplantrtdserver",,"FWRC1#USDCHF#Month Wise Rates#0#Close0")+RTD("tickerplantrtdserver",,"FWRC1#USDCHF#Month Wise Rates#0#Close9")/10000</f>
        <v>0.87917000000000001</v>
      </c>
      <c r="F30" s="131">
        <f>RTD("tickerplantrtdserver",,"FWRC1#USDCHF#Month Wise Rates#0#Close0")+RTD("tickerplantrtdserver",,"FWRC1#USDCHF#Month Wise Rates#0#Close10")/10000</f>
        <v>0.876224</v>
      </c>
      <c r="G30" s="131">
        <f>RTD("tickerplantrtdserver",,"FWRC1#USDCHF#Month Wise Rates#0#Close0")+RTD("tickerplantrtdserver",,"FWRC1#USDCHF#Month Wise Rates#0#Close11")/10000</f>
        <v>0.87363400000000002</v>
      </c>
      <c r="H30" s="131">
        <f>RTD("tickerplantrtdserver",,"FWRC1#USDCHF#Month Wise Rates#0#Close0")+RTD("tickerplantrtdserver",,"FWRC1#USDCHF#Month Wise Rates#0#Close12")/10000</f>
        <v>0.87113499999999999</v>
      </c>
      <c r="I30" s="131">
        <f>RTD("tickerplantrtdserver",,"FWRC1#USDCHF#Month Wise Rates#0#Close0")+RTD("tickerplantrtdserver",,"FWRC1#USDCHF#Month Wise Rates#0#Close13")/10000</f>
        <v>0.86860099999999996</v>
      </c>
      <c r="J30" s="131">
        <f>RTD("tickerplantrtdserver",,"FWRC1#USDCHF#Month Wise Rates#0#Close0")+RTD("tickerplantrtdserver",,"FWRC1#USDCHF#Month Wise Rates#0#Close14")/10000</f>
        <v>0.86555399999999993</v>
      </c>
      <c r="K30" s="131">
        <f>RTD("tickerplantrtdserver",,"FWRC1#USDCHF#Month Wise Rates#0#Close0")+RTD("tickerplantrtdserver",,"FWRC1#USDCHF#Month Wise Rates#0#Close15")/10000</f>
        <v>0.86359900000000001</v>
      </c>
      <c r="L30" s="131">
        <f>RTD("tickerplantrtdserver",,"FWRC1#USDCHF#Month Wise Rates#0#Close0")+RTD("tickerplantrtdserver",,"FWRC1#USDCHF#Month Wise Rates#0#Close16")/10000</f>
        <v>0.86152899999999999</v>
      </c>
      <c r="M30" s="131">
        <f>RTD("tickerplantrtdserver",,"FWRC1#USDCHF#Month Wise Rates#0#Close0")+RTD("tickerplantrtdserver",,"FWRC1#USDCHF#Month Wise Rates#0#Close17")/10000</f>
        <v>0.85954699999999995</v>
      </c>
      <c r="N30" s="132">
        <f>RTD("tickerplantrtdserver",,"FWRC1#USDCHF#Month Wise Rates#0#Close0")+RTD("tickerplantrtdserver",,"FWRC1#USDCHF#Month Wise Rates#0#Close18")/10000</f>
        <v>0.85788599999999993</v>
      </c>
    </row>
    <row r="31" spans="1:16" ht="18" customHeight="1" x14ac:dyDescent="0.15">
      <c r="A31" s="116" t="str">
        <f>RTD("tickerplantrtdserver",,"12#2#1#6069#SUSDCAD#S#Descr.")</f>
        <v>USDCAD</v>
      </c>
      <c r="B31" s="131">
        <f>RTD("tickerplantrtdserver",,"FWRC1#USDCAD#Month Wise Rates#0#Close0")</f>
        <v>1.3345400000000001</v>
      </c>
      <c r="C31" s="131">
        <f>RTD("tickerplantrtdserver",,"FWRC1#USDCAD#Month Wise Rates#0#Close0")+RTD("tickerplantrtdserver",,"FWRC1#USDCAD#Month Wise Rates#0#Close7")/10000</f>
        <v>1.3336680000000001</v>
      </c>
      <c r="D31" s="131">
        <f>RTD("tickerplantrtdserver",,"FWRC1#USDCAD#Month Wise Rates#0#Close0")+RTD("tickerplantrtdserver",,"FWRC1#USDCAD#Month Wise Rates#0#Close8")/10000</f>
        <v>1.332768</v>
      </c>
      <c r="E31" s="131">
        <f>RTD("tickerplantrtdserver",,"FWRC1#USDCAD#Month Wise Rates#0#Close0")+RTD("tickerplantrtdserver",,"FWRC1#USDCAD#Month Wise Rates#0#Close9")/10000</f>
        <v>1.3319780000000001</v>
      </c>
      <c r="F31" s="131">
        <f>RTD("tickerplantrtdserver",,"FWRC1#USDCAD#Month Wise Rates#0#Close0")+RTD("tickerplantrtdserver",,"FWRC1#USDCAD#Month Wise Rates#0#Close10")/10000</f>
        <v>1.3311920000000002</v>
      </c>
      <c r="G31" s="131">
        <f>RTD("tickerplantrtdserver",,"FWRC1#USDCAD#Month Wise Rates#0#Close0")+RTD("tickerplantrtdserver",,"FWRC1#USDCAD#Month Wise Rates#0#Close11")/10000</f>
        <v>1.330527</v>
      </c>
      <c r="H31" s="131">
        <f>RTD("tickerplantrtdserver",,"FWRC1#USDCAD#Month Wise Rates#0#Close0")+RTD("tickerplantrtdserver",,"FWRC1#USDCAD#Month Wise Rates#0#Close12")/10000</f>
        <v>1.329987</v>
      </c>
      <c r="I31" s="131">
        <f>RTD("tickerplantrtdserver",,"FWRC1#USDCAD#Month Wise Rates#0#Close0")+RTD("tickerplantrtdserver",,"FWRC1#USDCAD#Month Wise Rates#0#Close13")/10000</f>
        <v>1.329526</v>
      </c>
      <c r="J31" s="131">
        <f>RTD("tickerplantrtdserver",,"FWRC1#USDCAD#Month Wise Rates#0#Close0")+RTD("tickerplantrtdserver",,"FWRC1#USDCAD#Month Wise Rates#0#Close14")/10000</f>
        <v>1.328792</v>
      </c>
      <c r="K31" s="131">
        <f>RTD("tickerplantrtdserver",,"FWRC1#USDCAD#Month Wise Rates#0#Close0")+RTD("tickerplantrtdserver",,"FWRC1#USDCAD#Month Wise Rates#0#Close15")/10000</f>
        <v>1.328473</v>
      </c>
      <c r="L31" s="131">
        <f>RTD("tickerplantrtdserver",,"FWRC1#USDCAD#Month Wise Rates#0#Close0")+RTD("tickerplantrtdserver",,"FWRC1#USDCAD#Month Wise Rates#0#Close16")/10000</f>
        <v>1.328349</v>
      </c>
      <c r="M31" s="131">
        <f>RTD("tickerplantrtdserver",,"FWRC1#USDCAD#Month Wise Rates#0#Close0")+RTD("tickerplantrtdserver",,"FWRC1#USDCAD#Month Wise Rates#0#Close17")/10000</f>
        <v>1.32826</v>
      </c>
      <c r="N31" s="132">
        <f>RTD("tickerplantrtdserver",,"FWRC1#USDCAD#Month Wise Rates#0#Close0")+RTD("tickerplantrtdserver",,"FWRC1#USDCAD#Month Wise Rates#0#Close18")/10000</f>
        <v>1.3282400000000001</v>
      </c>
    </row>
    <row r="32" spans="1:16" ht="18" customHeight="1" x14ac:dyDescent="0.15">
      <c r="A32" s="116" t="str">
        <f>RTD("tickerplantrtdserver",,"12#2#1#5903#SAUDUSD#S#Descr.")</f>
        <v>AUDUSD</v>
      </c>
      <c r="B32" s="131">
        <f>RTD("tickerplantrtdserver",,"FWRC1#AUDUSD#Month Wise Rates#0#Close0")</f>
        <v>0.67905000000000004</v>
      </c>
      <c r="C32" s="131">
        <f>RTD("tickerplantrtdserver",,"FWRC1#AUDUSD#Month Wise Rates#0#Close0")+RTD("tickerplantrtdserver",,"FWRC1#AUDUSD#Month Wise Rates#0#Close7")/10000</f>
        <v>0.67989600000000006</v>
      </c>
      <c r="D32" s="131">
        <f>RTD("tickerplantrtdserver",,"FWRC1#AUDUSD#Month Wise Rates#0#Close0")+RTD("tickerplantrtdserver",,"FWRC1#AUDUSD#Month Wise Rates#0#Close8")/10000</f>
        <v>0.68060900000000002</v>
      </c>
      <c r="E32" s="131">
        <f>RTD("tickerplantrtdserver",,"FWRC1#AUDUSD#Month Wise Rates#0#Close0")+RTD("tickerplantrtdserver",,"FWRC1#AUDUSD#Month Wise Rates#0#Close9")/10000</f>
        <v>0.68135600000000007</v>
      </c>
      <c r="F32" s="131">
        <f>RTD("tickerplantrtdserver",,"FWRC1#AUDUSD#Month Wise Rates#0#Close0")+RTD("tickerplantrtdserver",,"FWRC1#AUDUSD#Month Wise Rates#0#Close10")/10000</f>
        <v>0.68208000000000002</v>
      </c>
      <c r="G32" s="131">
        <f>RTD("tickerplantrtdserver",,"FWRC1#AUDUSD#Month Wise Rates#0#Close0")+RTD("tickerplantrtdserver",,"FWRC1#AUDUSD#Month Wise Rates#0#Close11")/10000</f>
        <v>0.68267700000000009</v>
      </c>
      <c r="H32" s="131">
        <f>RTD("tickerplantrtdserver",,"FWRC1#AUDUSD#Month Wise Rates#0#Close0")+RTD("tickerplantrtdserver",,"FWRC1#AUDUSD#Month Wise Rates#0#Close12")/10000</f>
        <v>0.68318800000000002</v>
      </c>
      <c r="I32" s="131">
        <f>RTD("tickerplantrtdserver",,"FWRC1#AUDUSD#Month Wise Rates#0#Close0")+RTD("tickerplantrtdserver",,"FWRC1#AUDUSD#Month Wise Rates#0#Close13")/10000</f>
        <v>0.68375900000000001</v>
      </c>
      <c r="J32" s="131">
        <f>RTD("tickerplantrtdserver",,"FWRC1#AUDUSD#Month Wise Rates#0#Close0")+RTD("tickerplantrtdserver",,"FWRC1#AUDUSD#Month Wise Rates#0#Close14")/10000</f>
        <v>0.68428900000000004</v>
      </c>
      <c r="K32" s="131">
        <f>RTD("tickerplantrtdserver",,"FWRC1#AUDUSD#Month Wise Rates#0#Close0")+RTD("tickerplantrtdserver",,"FWRC1#AUDUSD#Month Wise Rates#0#Close15")/10000</f>
        <v>0.68461000000000005</v>
      </c>
      <c r="L32" s="131">
        <f>RTD("tickerplantrtdserver",,"FWRC1#AUDUSD#Month Wise Rates#0#Close0")+RTD("tickerplantrtdserver",,"FWRC1#AUDUSD#Month Wise Rates#0#Close16")/10000</f>
        <v>0.68479600000000007</v>
      </c>
      <c r="M32" s="131">
        <f>RTD("tickerplantrtdserver",,"FWRC1#AUDUSD#Month Wise Rates#0#Close0")+RTD("tickerplantrtdserver",,"FWRC1#AUDUSD#Month Wise Rates#0#Close17")/10000</f>
        <v>0.68492300000000006</v>
      </c>
      <c r="N32" s="132">
        <f>RTD("tickerplantrtdserver",,"FWRC1#AUDUSD#Month Wise Rates#0#Close0")+RTD("tickerplantrtdserver",,"FWRC1#AUDUSD#Month Wise Rates#0#Close18")/10000</f>
        <v>0.68506100000000003</v>
      </c>
    </row>
    <row r="33" spans="1:18" ht="18" customHeight="1" thickBot="1" x14ac:dyDescent="0.2">
      <c r="A33" s="121" t="str">
        <f>RTD("tickerplantrtdserver",,"12#2#1#6069#SUSDSGD#S#Descr.")</f>
        <v>USDSGD</v>
      </c>
      <c r="B33" s="122">
        <f>RTD("tickerplantrtdserver",,"12#2#1#6069#SUSDSGD#LTP")</f>
        <v>1.3243</v>
      </c>
      <c r="C33" s="122">
        <f>RTD("tickerplantrtdserver",,"12#2#1#6069#SUSDSGD#LTP")+RTD("tickerplantrtdserver",,"12#1#1#6069#FUSDSGD\01M#LTP")/10000</f>
        <v>1.3225800000000001</v>
      </c>
      <c r="D33" s="122">
        <f>RTD("tickerplantrtdserver",,"12#2#1#6069#SUSDSGD#LTP")+RTD("tickerplantrtdserver",,"12#1#1#6069#FUSDSGD\02M#LTP")/10000</f>
        <v>1.3211440000000001</v>
      </c>
      <c r="E33" s="122">
        <f>RTD("tickerplantrtdserver",,"12#2#1#6069#SUSDSGD#LTP")+RTD("tickerplantrtdserver",,"12#1#1#6069#FUSDSGD\03M#LTP")/10000</f>
        <v>1.3195049999999999</v>
      </c>
      <c r="F33" s="122">
        <f>RTD("tickerplantrtdserver",,"12#2#1#6069#SUSDSGD#LTP")+RTD("tickerplantrtdserver",,"12#1#1#6069#FUSDSGD\04M#LTP")/10000</f>
        <v>1.3176920000000001</v>
      </c>
      <c r="G33" s="122">
        <f>RTD("tickerplantrtdserver",,"12#2#1#6069#SUSDSGD#LTP")+RTD("tickerplantrtdserver",,"12#1#1#6069#FUSDSGD\05M#LTP")/10000</f>
        <v>1.316109</v>
      </c>
      <c r="H33" s="122">
        <f>RTD("tickerplantrtdserver",,"12#2#1#6069#SUSDSGD#LTP")+RTD("tickerplantrtdserver",,"12#1#1#6069#FUSDSGD\06M#LTP")/10000</f>
        <v>1.3143340000000001</v>
      </c>
      <c r="I33" s="122">
        <f>RTD("tickerplantrtdserver",,"12#2#1#6069#SUSDSGD#LTP")+RTD("tickerplantrtdserver",,"12#1#1#6069#FUSDSGD\07M#LTP")/10000</f>
        <v>1.3123050000000001</v>
      </c>
      <c r="J33" s="122">
        <f>RTD("tickerplantrtdserver",,"12#2#1#6069#SUSDSGD#LTP")+RTD("tickerplantrtdserver",,"12#1#1#6069#FUSDSGD\08M#LTP")/10000</f>
        <v>1.3106880000000001</v>
      </c>
      <c r="K33" s="122">
        <f>RTD("tickerplantrtdserver",,"12#2#1#6069#SUSDSGD#LTP")+RTD("tickerplantrtdserver",,"12#1#1#6069#FUSDSGD\09M#LTP")/10000</f>
        <v>1.3099259999999999</v>
      </c>
      <c r="L33" s="122">
        <f>RTD("tickerplantrtdserver",,"12#2#1#6069#SUSDSGD#LTP")+RTD("tickerplantrtdserver",,"12#1#1#6069#FUSDSGD\10M#LTP")/10000</f>
        <v>1.308535</v>
      </c>
      <c r="M33" s="122">
        <f>RTD("tickerplantrtdserver",,"12#2#1#6069#SUSDSGD#LTP")+RTD("tickerplantrtdserver",,"12#1#1#6069#FUSDSGD\11M#LTP")/10000</f>
        <v>1.3069170000000001</v>
      </c>
      <c r="N33" s="123">
        <f>RTD("tickerplantrtdserver",,"12#2#1#6069#SUSDSGD#LTP")+RTD("tickerplantrtdserver",,"12#1#1#6069#FUSDSGD\12M#LTP")/10000</f>
        <v>1.3056750000000001</v>
      </c>
    </row>
    <row r="34" spans="1:18" ht="18" customHeight="1" thickBot="1" x14ac:dyDescent="0.2"/>
    <row r="35" spans="1:18" ht="18" customHeight="1" thickBot="1" x14ac:dyDescent="0.2">
      <c r="A35" s="109" t="s">
        <v>14</v>
      </c>
      <c r="B35" s="135" t="s">
        <v>56</v>
      </c>
      <c r="C35" s="135" t="s">
        <v>57</v>
      </c>
      <c r="D35" s="135" t="s">
        <v>58</v>
      </c>
      <c r="E35" s="135" t="s">
        <v>36</v>
      </c>
      <c r="F35" s="135" t="s">
        <v>37</v>
      </c>
      <c r="G35" s="135" t="s">
        <v>35</v>
      </c>
      <c r="H35" s="135" t="s">
        <v>38</v>
      </c>
      <c r="I35" s="135" t="s">
        <v>39</v>
      </c>
      <c r="J35" s="135" t="s">
        <v>34</v>
      </c>
      <c r="K35" s="136" t="s">
        <v>43</v>
      </c>
      <c r="L35" s="136" t="s">
        <v>44</v>
      </c>
      <c r="M35" s="136" t="s">
        <v>40</v>
      </c>
      <c r="N35" s="136" t="s">
        <v>45</v>
      </c>
      <c r="O35" s="136" t="s">
        <v>46</v>
      </c>
      <c r="P35" s="137" t="s">
        <v>33</v>
      </c>
      <c r="R35" s="175" t="s">
        <v>61</v>
      </c>
    </row>
    <row r="36" spans="1:18" ht="18" customHeight="1" x14ac:dyDescent="0.15">
      <c r="A36" s="113" t="s">
        <v>27</v>
      </c>
      <c r="B36" s="138" t="str">
        <f>RTD("tickerplantrtdserver",,"47#5#1#5629#USDON.LIBOR#LTP")</f>
        <v/>
      </c>
      <c r="C36" s="138" t="str">
        <f>RTD("tickerplantrtdserver",,"47#5#1#5629#USD1W.LIBOR#LTP")</f>
        <v/>
      </c>
      <c r="D36" s="138" t="str">
        <f>RTD("tickerplantrtdserver",,"47#5#1#5629#USD2W.LIBOR#LTP")</f>
        <v/>
      </c>
      <c r="E36" s="139" t="str">
        <f>RTD("tickerplantrtdserver",,"47#5#1#5629#USD1M.LIBOR#LTP")</f>
        <v/>
      </c>
      <c r="F36" s="139" t="str">
        <f>RTD("tickerplantrtdserver",,"47#5#1#5629#USD2M.LIBOR#LTP")</f>
        <v/>
      </c>
      <c r="G36" s="139" t="str">
        <f>RTD("tickerplantrtdserver",,"47#5#1#5629#USD3M.LIBOR#LTP")</f>
        <v/>
      </c>
      <c r="H36" s="139" t="str">
        <f>RTD("tickerplantrtdserver",,"47#5#1#5629#USD4M.LIBOR#LTP")</f>
        <v/>
      </c>
      <c r="I36" s="139" t="str">
        <f>RTD("tickerplantrtdserver",,"47#5#1#5629#USD5M.LIBOR#LTP")</f>
        <v/>
      </c>
      <c r="J36" s="139" t="str">
        <f>RTD("tickerplantrtdserver",,"47#5#1#5629#USD6M.LIBOR#LTP")</f>
        <v/>
      </c>
      <c r="K36" s="140" t="str">
        <f>RTD("tickerplantrtdserver",,"47#5#1#5629#USD7M.LIBOR#LTP")</f>
        <v/>
      </c>
      <c r="L36" s="140" t="str">
        <f>RTD("tickerplantrtdserver",,"47#5#1#5629#USD8M.LIBOR#LTP")</f>
        <v/>
      </c>
      <c r="M36" s="140" t="str">
        <f>RTD("tickerplantrtdserver",,"47#5#1#5629#USD9M.LIBOR#LTP")</f>
        <v/>
      </c>
      <c r="N36" s="140" t="str">
        <f>RTD("tickerplantrtdserver",,"47#5#1#5629#USD10M.LIBOR#LTP")</f>
        <v/>
      </c>
      <c r="O36" s="140" t="str">
        <f>RTD("tickerplantrtdserver",,"47#5#1#5629#USD11M.LIBOR#LTP")</f>
        <v/>
      </c>
      <c r="P36" s="141" t="str">
        <f>RTD("tickerplantrtdserver",,"47#5#1#5629#USD1Y.LIBOR#LTP")</f>
        <v/>
      </c>
      <c r="R36" s="175"/>
    </row>
    <row r="37" spans="1:18" ht="18" customHeight="1" x14ac:dyDescent="0.15">
      <c r="A37" s="116" t="s">
        <v>25</v>
      </c>
      <c r="B37" s="142" t="str">
        <f>RTD("tickerplantrtdserver",,"47#5#1#5629#EURON.LIBOR#LTP")</f>
        <v/>
      </c>
      <c r="C37" s="142" t="str">
        <f>RTD("tickerplantrtdserver",,"47#5#1#5629#EUR1W.LIBOR#LTP")</f>
        <v/>
      </c>
      <c r="D37" s="142" t="str">
        <f>RTD("tickerplantrtdserver",,"47#5#1#5629#EUR2W.LIBOR#LTP")</f>
        <v/>
      </c>
      <c r="E37" s="143" t="str">
        <f>RTD("tickerplantrtdserver",,"47#5#1#5629#EUR1M.LIBOR#LTP")</f>
        <v/>
      </c>
      <c r="F37" s="143" t="str">
        <f>RTD("tickerplantrtdserver",,"47#5#1#5629#EUR2M.LIBOR#LTP")</f>
        <v/>
      </c>
      <c r="G37" s="143" t="str">
        <f>RTD("tickerplantrtdserver",,"47#5#1#5629#EUR3M.LIBOR#LTP")</f>
        <v/>
      </c>
      <c r="H37" s="143" t="str">
        <f>RTD("tickerplantrtdserver",,"47#5#1#5629#EUR4M.LIBOR#LTP")</f>
        <v/>
      </c>
      <c r="I37" s="143" t="str">
        <f>RTD("tickerplantrtdserver",,"47#5#1#5629#EUR5M.LIBOR#LTP")</f>
        <v/>
      </c>
      <c r="J37" s="143" t="str">
        <f>RTD("tickerplantrtdserver",,"47#5#1#5629#EUR6M.LIBOR#LTP")</f>
        <v/>
      </c>
      <c r="K37" s="144" t="str">
        <f>RTD("tickerplantrtdserver",,"47#5#1#5629#EUR7M.LIBOR#LTP")</f>
        <v/>
      </c>
      <c r="L37" s="144" t="str">
        <f>RTD("tickerplantrtdserver",,"47#5#1#5629#EUR8M.LIBOR#LTP")</f>
        <v/>
      </c>
      <c r="M37" s="144" t="str">
        <f>RTD("tickerplantrtdserver",,"47#5#1#5629#EUR9M.LIBOR#LTP")</f>
        <v/>
      </c>
      <c r="N37" s="144" t="str">
        <f>RTD("tickerplantrtdserver",,"47#5#1#5629#EUR10M.LIBOR#LTP")</f>
        <v/>
      </c>
      <c r="O37" s="144" t="str">
        <f>RTD("tickerplantrtdserver",,"47#5#1#5629#EUR11M.LIBOR#LTP")</f>
        <v/>
      </c>
      <c r="P37" s="145" t="str">
        <f>RTD("tickerplantrtdserver",,"47#5#1#5629#EUR1Y.LIBOR#LTP")</f>
        <v/>
      </c>
      <c r="R37" s="175"/>
    </row>
    <row r="38" spans="1:18" ht="18" customHeight="1" x14ac:dyDescent="0.15">
      <c r="A38" s="116" t="s">
        <v>23</v>
      </c>
      <c r="B38" s="142" t="str">
        <f>RTD("tickerplantrtdserver",,"47#5#1#5629#GBPON.LIBOR#LTP")</f>
        <v/>
      </c>
      <c r="C38" s="142" t="str">
        <f>RTD("tickerplantrtdserver",,"47#5#1#5629#GBP1W.LIBOR#LTP")</f>
        <v/>
      </c>
      <c r="D38" s="142" t="str">
        <f>RTD("tickerplantrtdserver",,"47#5#1#5629#GBP1W.LIBOR#LTP")</f>
        <v/>
      </c>
      <c r="E38" s="143" t="str">
        <f>RTD("tickerplantrtdserver",,"47#5#1#5629#GBP1M.LIBOR#LTP")</f>
        <v/>
      </c>
      <c r="F38" s="143" t="str">
        <f>RTD("tickerplantrtdserver",,"47#5#1#5629#GBP2M.LIBOR#LTP")</f>
        <v/>
      </c>
      <c r="G38" s="143" t="str">
        <f>RTD("tickerplantrtdserver",,"47#5#1#5629#GBP3M.LIBOR#LTP")</f>
        <v/>
      </c>
      <c r="H38" s="143" t="str">
        <f>RTD("tickerplantrtdserver",,"47#5#1#5629#GBP4M.LIBOR#LTP")</f>
        <v/>
      </c>
      <c r="I38" s="143" t="str">
        <f>RTD("tickerplantrtdserver",,"47#5#1#5629#GBP5M.LIBOR#LTP")</f>
        <v/>
      </c>
      <c r="J38" s="143" t="str">
        <f>RTD("tickerplantrtdserver",,"47#5#1#5629#GBP6M.LIBOR#LTP")</f>
        <v/>
      </c>
      <c r="K38" s="144" t="str">
        <f>RTD("tickerplantrtdserver",,"47#5#1#5629#GBP7M.LIBOR#LTP")</f>
        <v/>
      </c>
      <c r="L38" s="144" t="str">
        <f>RTD("tickerplantrtdserver",,"47#5#1#5629#GBP8M.LIBOR#LTP")</f>
        <v/>
      </c>
      <c r="M38" s="144" t="str">
        <f>RTD("tickerplantrtdserver",,"47#5#1#5629#GBP9M.LIBOR#LTP")</f>
        <v/>
      </c>
      <c r="N38" s="144" t="str">
        <f>RTD("tickerplantrtdserver",,"47#5#1#5629#GBP10M.LIBOR#LTP")</f>
        <v/>
      </c>
      <c r="O38" s="144" t="str">
        <f>RTD("tickerplantrtdserver",,"47#5#1#5629#GBP11M.LIBOR#LTP")</f>
        <v/>
      </c>
      <c r="P38" s="145" t="str">
        <f>RTD("tickerplantrtdserver",,"47#5#1#5629#GBP1Y.LIBOR#LTP")</f>
        <v/>
      </c>
      <c r="R38" s="175"/>
    </row>
    <row r="39" spans="1:18" ht="18" customHeight="1" thickBot="1" x14ac:dyDescent="0.2">
      <c r="A39" s="121" t="s">
        <v>22</v>
      </c>
      <c r="B39" s="146" t="str">
        <f>RTD("tickerplantrtdserver",,"47#5#1#5629#JPYSN.LIBOR#LTP")</f>
        <v/>
      </c>
      <c r="C39" s="146" t="str">
        <f>RTD("tickerplantrtdserver",,"47#5#1#5629#JPY1W.LIBOR#LTP")</f>
        <v/>
      </c>
      <c r="D39" s="146" t="str">
        <f>RTD("tickerplantrtdserver",,"47#5#1#5629#JPY2W.LIBOR#LTP")</f>
        <v/>
      </c>
      <c r="E39" s="147" t="str">
        <f>RTD("tickerplantrtdserver",,"47#5#1#5629#JPY1M.LIBOR#LTP")</f>
        <v/>
      </c>
      <c r="F39" s="147" t="str">
        <f>RTD("tickerplantrtdserver",,"47#5#1#5629#JPY2M.LIBOR#LTP")</f>
        <v/>
      </c>
      <c r="G39" s="147" t="str">
        <f>RTD("tickerplantrtdserver",,"47#5#1#5629#JPY3M.LIBOR#LTP")</f>
        <v/>
      </c>
      <c r="H39" s="147" t="str">
        <f>RTD("tickerplantrtdserver",,"47#5#1#5629#JPY2M.LIBOR#LTP")</f>
        <v/>
      </c>
      <c r="I39" s="147" t="str">
        <f>RTD("tickerplantrtdserver",,"47#5#1#5629#JPY5M.LIBOR#LTP")</f>
        <v/>
      </c>
      <c r="J39" s="147" t="str">
        <f>RTD("tickerplantrtdserver",,"47#5#1#5629#JPY6M.LIBOR#LTP")</f>
        <v/>
      </c>
      <c r="K39" s="148" t="str">
        <f>RTD("tickerplantrtdserver",,"47#5#1#5629#JPY7M.LIBOR#LTP")</f>
        <v/>
      </c>
      <c r="L39" s="148" t="str">
        <f>RTD("tickerplantrtdserver",,"47#5#1#5629#JPY8M.LIBOR#LTP")</f>
        <v/>
      </c>
      <c r="M39" s="148" t="str">
        <f>RTD("tickerplantrtdserver",,"47#5#1#5629#JPY9M.LIBOR#LTP")</f>
        <v/>
      </c>
      <c r="N39" s="148" t="str">
        <f>RTD("tickerplantrtdserver",,"47#5#1#5629#JPY10M.LIBOR#LTP")</f>
        <v/>
      </c>
      <c r="O39" s="148" t="str">
        <f>RTD("tickerplantrtdserver",,"47#5#1#5629#JPY11M.LIBOR#LTP")</f>
        <v/>
      </c>
      <c r="P39" s="149" t="str">
        <f>RTD("tickerplantrtdserver",,"47#5#1#5629#JPY1Y.LIBOR#LTP")</f>
        <v/>
      </c>
      <c r="R39" s="175"/>
    </row>
  </sheetData>
  <mergeCells count="3">
    <mergeCell ref="G5:G9"/>
    <mergeCell ref="P23:P27"/>
    <mergeCell ref="R35:R3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USDINR</vt:lpstr>
      <vt:lpstr>EURINR</vt:lpstr>
      <vt:lpstr>GBPINR</vt:lpstr>
      <vt:lpstr>JPYINR</vt:lpstr>
      <vt:lpstr>LIBOR</vt:lpstr>
      <vt:lpstr>OHLC</vt:lpstr>
      <vt:lpstr>Currency futures 1 Month</vt:lpstr>
      <vt:lpstr>Currency Futures 2 Month</vt:lpstr>
      <vt:lpstr>Currency Futures 3 Month</vt:lpstr>
      <vt:lpstr>Forward Rates Tab 1USDINR ME</vt:lpstr>
      <vt:lpstr>Forward Rates Tab 2USDINR MW</vt:lpstr>
      <vt:lpstr>Forward Rates Tab 3EURINR ME</vt:lpstr>
      <vt:lpstr>Forward Rates Tab 4GBPINR ME</vt:lpstr>
      <vt:lpstr>Forward Rates Tab 5JPYINR ME</vt:lpstr>
      <vt:lpstr>Forward Rates Tab 6EURUSD MW</vt:lpstr>
      <vt:lpstr>Forward Rates Tab 7GBPUSD MW</vt:lpstr>
      <vt:lpstr>Forward Rates Tab 8USDJPY MW</vt:lpstr>
      <vt:lpstr>Forward Rate Calculator</vt:lpstr>
      <vt:lpstr>Historical Rates</vt:lpstr>
      <vt:lpstr>LIBOR!Print_Area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siddhesh.ghare</dc:creator>
  <cp:lastModifiedBy>Windows User</cp:lastModifiedBy>
  <dcterms:created xsi:type="dcterms:W3CDTF">2020-04-23T19:35:55Z</dcterms:created>
  <dcterms:modified xsi:type="dcterms:W3CDTF">2023-05-08T10:35:03Z</dcterms:modified>
</cp:coreProperties>
</file>